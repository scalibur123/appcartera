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mabascal/AppCartera_Data/"/>
    </mc:Choice>
  </mc:AlternateContent>
  <xr:revisionPtr revIDLastSave="0" documentId="13_ncr:1_{D9FA4701-6AB4-9B49-BD88-CB921AF152C4}" xr6:coauthVersionLast="47" xr6:coauthVersionMax="47" xr10:uidLastSave="{00000000-0000-0000-0000-000000000000}"/>
  <bookViews>
    <workbookView xWindow="0" yWindow="600" windowWidth="30720" windowHeight="16980" xr2:uid="{B8F8CF2B-7859-1F45-B421-002EAF0BBF25}"/>
  </bookViews>
  <sheets>
    <sheet name="2026" sheetId="5" r:id="rId1"/>
    <sheet name="DIANA" sheetId="8" r:id="rId2"/>
    <sheet name="dividendos 26" sheetId="4" r:id="rId3"/>
    <sheet name="Mensual" sheetId="6" r:id="rId4"/>
    <sheet name="Histórico" sheetId="14" r:id="rId5"/>
    <sheet name="IRPF" sheetId="11" r:id="rId6"/>
    <sheet name="liquidez" sheetId="12" r:id="rId7"/>
    <sheet name="Calendario sueldo mensual" sheetId="10" r:id="rId8"/>
    <sheet name="Semanal" sheetId="15" r:id="rId9"/>
    <sheet name="Gráfico posiciones activas" sheetId="13" r:id="rId10"/>
  </sheets>
  <definedNames>
    <definedName name="_xlnm._FilterDatabase" localSheetId="0" hidden="1">'2026'!$A$4:$AH$257</definedName>
    <definedName name="_xlnm._FilterDatabase" localSheetId="1" hidden="1">DIANA!$A$212:$AO$220</definedName>
    <definedName name="_xlnm._FilterDatabase" localSheetId="2" hidden="1">'dividendos 26'!$A$3:$R$20</definedName>
    <definedName name="ABRIL">'2026'!$B$297</definedName>
    <definedName name="Cartera">DIANA!$S$1:$S$4</definedName>
    <definedName name="Idea">DIANA!$S$1:$S$2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50" i="8" l="1"/>
  <c r="E63" i="4"/>
  <c r="E64" i="4"/>
  <c r="E65" i="4"/>
  <c r="E66" i="4"/>
  <c r="F67" i="4"/>
  <c r="E67" i="4"/>
  <c r="AB168" i="8"/>
  <c r="H72" i="4"/>
  <c r="M69" i="4"/>
  <c r="F69" i="4"/>
  <c r="E69" i="4"/>
  <c r="M68" i="4"/>
  <c r="F68" i="4"/>
  <c r="E68" i="4"/>
  <c r="A23" i="11"/>
  <c r="M7" i="4"/>
  <c r="M8" i="4"/>
  <c r="M67" i="4"/>
  <c r="M64" i="4"/>
  <c r="J67" i="4"/>
  <c r="I67" i="4"/>
  <c r="H67" i="4"/>
  <c r="AO251" i="8"/>
  <c r="AS251" i="8" s="1"/>
  <c r="AR251" i="8"/>
  <c r="D115" i="5" a="1"/>
  <c r="D115" i="5" s="1"/>
  <c r="E115" i="5" a="1"/>
  <c r="E115" i="5" s="1"/>
  <c r="T115" i="5" s="1"/>
  <c r="F115" i="5" a="1"/>
  <c r="F115" i="5" s="1"/>
  <c r="G115" i="5" a="1"/>
  <c r="G115" i="5" s="1"/>
  <c r="M115" i="5"/>
  <c r="Q115" i="5"/>
  <c r="S115" i="5"/>
  <c r="Y115" i="5"/>
  <c r="C251" i="8" a="1"/>
  <c r="C251" i="8" s="1"/>
  <c r="D251" i="8" a="1"/>
  <c r="D251" i="8" s="1"/>
  <c r="AP251" i="8" s="1"/>
  <c r="AQ251" i="8" s="1"/>
  <c r="AD123" i="8"/>
  <c r="P123" i="8"/>
  <c r="AM123" i="8"/>
  <c r="AE123" i="8"/>
  <c r="E123" i="8" s="1"/>
  <c r="O123" i="8" a="1"/>
  <c r="O123" i="8" s="1"/>
  <c r="L123" i="8" a="1"/>
  <c r="L123" i="8" s="1"/>
  <c r="K123" i="8" a="1"/>
  <c r="K123" i="8" s="1"/>
  <c r="J123" i="8" a="1"/>
  <c r="J123" i="8" s="1"/>
  <c r="D123" i="8" a="1"/>
  <c r="D123" i="8" s="1"/>
  <c r="C123" i="8" a="1"/>
  <c r="C123" i="8" s="1"/>
  <c r="B123" i="8" a="1"/>
  <c r="B123" i="8" s="1"/>
  <c r="G164" i="5" a="1"/>
  <c r="G164" i="5" s="1"/>
  <c r="G165" i="5" a="1"/>
  <c r="G165" i="5" s="1"/>
  <c r="G166" i="5" a="1"/>
  <c r="G166" i="5" s="1"/>
  <c r="G167" i="5" a="1"/>
  <c r="G167" i="5" s="1"/>
  <c r="F166" i="5" a="1"/>
  <c r="F166" i="5" s="1"/>
  <c r="Y166" i="5"/>
  <c r="S166" i="5"/>
  <c r="Q166" i="5"/>
  <c r="M166" i="5"/>
  <c r="E166" i="5" a="1"/>
  <c r="E166" i="5" s="1"/>
  <c r="T166" i="5" s="1"/>
  <c r="U166" i="5" s="1"/>
  <c r="AD166" i="5" s="1"/>
  <c r="D166" i="5" a="1"/>
  <c r="D166" i="5" s="1"/>
  <c r="AD133" i="8"/>
  <c r="P133" i="8"/>
  <c r="AM133" i="8"/>
  <c r="AE133" i="8"/>
  <c r="E133" i="8" s="1"/>
  <c r="O133" i="8" a="1"/>
  <c r="O133" i="8" s="1"/>
  <c r="L133" i="8" a="1"/>
  <c r="L133" i="8" s="1"/>
  <c r="K133" i="8" a="1"/>
  <c r="K133" i="8" s="1"/>
  <c r="J133" i="8" a="1"/>
  <c r="J133" i="8" s="1"/>
  <c r="D133" i="8" a="1"/>
  <c r="D133" i="8" s="1"/>
  <c r="C133" i="8" a="1"/>
  <c r="C133" i="8" s="1"/>
  <c r="B133" i="8" a="1"/>
  <c r="B133" i="8" s="1"/>
  <c r="E206" i="5" a="1"/>
  <c r="E206" i="5" s="1"/>
  <c r="AB28" i="8"/>
  <c r="AB51" i="8"/>
  <c r="AH51" i="8" s="1"/>
  <c r="M66" i="4"/>
  <c r="F66" i="4"/>
  <c r="M65" i="4"/>
  <c r="F65" i="4"/>
  <c r="D175" i="5" a="1"/>
  <c r="D175" i="5" s="1"/>
  <c r="E175" i="5" a="1"/>
  <c r="E175" i="5" s="1"/>
  <c r="T175" i="5" s="1"/>
  <c r="F175" i="5" a="1"/>
  <c r="F175" i="5" s="1"/>
  <c r="G175" i="5" a="1"/>
  <c r="G175" i="5" s="1"/>
  <c r="M175" i="5"/>
  <c r="Q175" i="5"/>
  <c r="S175" i="5"/>
  <c r="Y175" i="5"/>
  <c r="AD115" i="8"/>
  <c r="P115" i="8"/>
  <c r="AM115" i="8"/>
  <c r="AE115" i="8"/>
  <c r="E115" i="8" s="1"/>
  <c r="O115" i="8" a="1"/>
  <c r="O115" i="8" s="1"/>
  <c r="L115" i="8" a="1"/>
  <c r="L115" i="8" s="1"/>
  <c r="K115" i="8" a="1"/>
  <c r="K115" i="8" s="1"/>
  <c r="J115" i="8" a="1"/>
  <c r="J115" i="8" s="1"/>
  <c r="D115" i="8" a="1"/>
  <c r="D115" i="8" s="1"/>
  <c r="C115" i="8" a="1"/>
  <c r="C115" i="8" s="1"/>
  <c r="B115" i="8" a="1"/>
  <c r="B115" i="8" s="1"/>
  <c r="D6" i="5" a="1"/>
  <c r="D6" i="5" s="1"/>
  <c r="E6" i="5" a="1"/>
  <c r="E6" i="5" s="1"/>
  <c r="T6" i="5" s="1"/>
  <c r="F6" i="5" a="1"/>
  <c r="F6" i="5" s="1"/>
  <c r="G6" i="5" a="1"/>
  <c r="G6" i="5" s="1"/>
  <c r="M6" i="5"/>
  <c r="Q6" i="5"/>
  <c r="S6" i="5"/>
  <c r="Y6" i="5"/>
  <c r="AD131" i="8"/>
  <c r="P131" i="8"/>
  <c r="AM131" i="8"/>
  <c r="AE131" i="8"/>
  <c r="E131" i="8" s="1"/>
  <c r="O131" i="8" a="1"/>
  <c r="O131" i="8" s="1"/>
  <c r="L131" i="8" a="1"/>
  <c r="L131" i="8" s="1"/>
  <c r="K131" i="8" a="1"/>
  <c r="K131" i="8" s="1"/>
  <c r="J131" i="8" a="1"/>
  <c r="J131" i="8" s="1"/>
  <c r="D131" i="8" a="1"/>
  <c r="D131" i="8" s="1"/>
  <c r="AN131" i="8" s="1"/>
  <c r="C131" i="8" a="1"/>
  <c r="C131" i="8" s="1"/>
  <c r="B131" i="8" a="1"/>
  <c r="B131" i="8" s="1"/>
  <c r="Y212" i="5"/>
  <c r="W212" i="5"/>
  <c r="S212" i="5"/>
  <c r="Q212" i="5"/>
  <c r="M212" i="5"/>
  <c r="G212" i="5" a="1"/>
  <c r="G212" i="5" s="1"/>
  <c r="F212" i="5" a="1"/>
  <c r="F212" i="5" s="1"/>
  <c r="E212" i="5" a="1"/>
  <c r="E212" i="5" s="1"/>
  <c r="T212" i="5" s="1"/>
  <c r="D212" i="5" a="1"/>
  <c r="D212" i="5" s="1"/>
  <c r="AB125" i="8"/>
  <c r="AH125" i="8" s="1"/>
  <c r="J64" i="4"/>
  <c r="I64" i="4"/>
  <c r="H64" i="4"/>
  <c r="M63" i="4"/>
  <c r="F63" i="4"/>
  <c r="AR250" i="8"/>
  <c r="C250" i="8" a="1"/>
  <c r="C250" i="8" s="1"/>
  <c r="D250" i="8" a="1"/>
  <c r="D250" i="8" s="1"/>
  <c r="AP250" i="8" s="1"/>
  <c r="AM520" i="8"/>
  <c r="AE520" i="8"/>
  <c r="E520" i="8" s="1"/>
  <c r="O520" i="8" a="1"/>
  <c r="O520" i="8" s="1"/>
  <c r="L520" i="8" a="1"/>
  <c r="L520" i="8" s="1"/>
  <c r="K520" i="8" a="1"/>
  <c r="K520" i="8" s="1"/>
  <c r="J520" i="8" a="1"/>
  <c r="J520" i="8" s="1"/>
  <c r="D520" i="8" a="1"/>
  <c r="D520" i="8" s="1"/>
  <c r="C520" i="8" a="1"/>
  <c r="C520" i="8" s="1"/>
  <c r="B520" i="8" a="1"/>
  <c r="B520" i="8" s="1"/>
  <c r="AM519" i="8"/>
  <c r="AE519" i="8"/>
  <c r="E519" i="8" s="1"/>
  <c r="O519" i="8" a="1"/>
  <c r="O519" i="8" s="1"/>
  <c r="L519" i="8" a="1"/>
  <c r="L519" i="8" s="1"/>
  <c r="K519" i="8" a="1"/>
  <c r="K519" i="8" s="1"/>
  <c r="J519" i="8" a="1"/>
  <c r="J519" i="8" s="1"/>
  <c r="D519" i="8" a="1"/>
  <c r="D519" i="8" s="1"/>
  <c r="C519" i="8" a="1"/>
  <c r="C519" i="8" s="1"/>
  <c r="B519" i="8" a="1"/>
  <c r="B519" i="8" s="1"/>
  <c r="AM518" i="8"/>
  <c r="AE518" i="8"/>
  <c r="E518" i="8" s="1"/>
  <c r="O518" i="8" a="1"/>
  <c r="O518" i="8" s="1"/>
  <c r="L518" i="8" a="1"/>
  <c r="L518" i="8" s="1"/>
  <c r="K518" i="8" a="1"/>
  <c r="K518" i="8" s="1"/>
  <c r="J518" i="8" a="1"/>
  <c r="J518" i="8" s="1"/>
  <c r="D518" i="8" a="1"/>
  <c r="D518" i="8" s="1"/>
  <c r="C518" i="8" a="1"/>
  <c r="C518" i="8" s="1"/>
  <c r="B518" i="8" a="1"/>
  <c r="B518" i="8" s="1"/>
  <c r="AM517" i="8"/>
  <c r="AE517" i="8"/>
  <c r="E517" i="8" s="1"/>
  <c r="O517" i="8" a="1"/>
  <c r="O517" i="8" s="1"/>
  <c r="L517" i="8" a="1"/>
  <c r="L517" i="8" s="1"/>
  <c r="K517" i="8" a="1"/>
  <c r="K517" i="8" s="1"/>
  <c r="J517" i="8" a="1"/>
  <c r="J517" i="8" s="1"/>
  <c r="D517" i="8" a="1"/>
  <c r="D517" i="8" s="1"/>
  <c r="C517" i="8" a="1"/>
  <c r="C517" i="8" s="1"/>
  <c r="B517" i="8" a="1"/>
  <c r="B517" i="8" s="1"/>
  <c r="AM516" i="8"/>
  <c r="AE516" i="8"/>
  <c r="E516" i="8" s="1"/>
  <c r="O516" i="8" a="1"/>
  <c r="O516" i="8" s="1"/>
  <c r="L516" i="8" a="1"/>
  <c r="L516" i="8" s="1"/>
  <c r="K516" i="8" a="1"/>
  <c r="K516" i="8" s="1"/>
  <c r="J516" i="8" a="1"/>
  <c r="J516" i="8" s="1"/>
  <c r="D516" i="8" a="1"/>
  <c r="D516" i="8" s="1"/>
  <c r="C516" i="8" a="1"/>
  <c r="C516" i="8" s="1"/>
  <c r="B516" i="8" a="1"/>
  <c r="B516" i="8" s="1"/>
  <c r="AM515" i="8"/>
  <c r="AE515" i="8"/>
  <c r="E515" i="8" s="1"/>
  <c r="O515" i="8" a="1"/>
  <c r="O515" i="8" s="1"/>
  <c r="L515" i="8" a="1"/>
  <c r="L515" i="8" s="1"/>
  <c r="K515" i="8" a="1"/>
  <c r="K515" i="8" s="1"/>
  <c r="J515" i="8" a="1"/>
  <c r="J515" i="8" s="1"/>
  <c r="D515" i="8" a="1"/>
  <c r="D515" i="8" s="1"/>
  <c r="AI515" i="8" s="1"/>
  <c r="C515" i="8" a="1"/>
  <c r="C515" i="8" s="1"/>
  <c r="B515" i="8" a="1"/>
  <c r="B515" i="8" s="1"/>
  <c r="B213" i="8" a="1"/>
  <c r="B213" i="8" s="1"/>
  <c r="C213" i="8" a="1"/>
  <c r="C213" i="8" s="1"/>
  <c r="D213" i="8" a="1"/>
  <c r="D213" i="8" s="1"/>
  <c r="J213" i="8" a="1"/>
  <c r="J213" i="8" s="1"/>
  <c r="K213" i="8" a="1"/>
  <c r="K213" i="8" s="1"/>
  <c r="L213" i="8" a="1"/>
  <c r="L213" i="8" s="1"/>
  <c r="O213" i="8" a="1"/>
  <c r="O213" i="8" s="1"/>
  <c r="AE213" i="8"/>
  <c r="E213" i="8" s="1"/>
  <c r="AM213" i="8"/>
  <c r="AM214" i="8"/>
  <c r="AE214" i="8"/>
  <c r="E214" i="8" s="1"/>
  <c r="O214" i="8" a="1"/>
  <c r="O214" i="8" s="1"/>
  <c r="L214" i="8" a="1"/>
  <c r="L214" i="8" s="1"/>
  <c r="K214" i="8" a="1"/>
  <c r="K214" i="8" s="1"/>
  <c r="J214" i="8" a="1"/>
  <c r="J214" i="8" s="1"/>
  <c r="D214" i="8" a="1"/>
  <c r="D214" i="8" s="1"/>
  <c r="C214" i="8" a="1"/>
  <c r="C214" i="8" s="1"/>
  <c r="B214" i="8" a="1"/>
  <c r="B214" i="8" s="1"/>
  <c r="Y256" i="5"/>
  <c r="S256" i="5"/>
  <c r="Q256" i="5"/>
  <c r="M256" i="5"/>
  <c r="G256" i="5" a="1"/>
  <c r="G256" i="5" s="1"/>
  <c r="F256" i="5" a="1"/>
  <c r="F256" i="5" s="1"/>
  <c r="E256" i="5" a="1"/>
  <c r="E256" i="5" s="1"/>
  <c r="T256" i="5" s="1"/>
  <c r="D256" i="5" a="1"/>
  <c r="D256" i="5" s="1"/>
  <c r="AD76" i="8"/>
  <c r="P76" i="8"/>
  <c r="AM76" i="8"/>
  <c r="AE76" i="8"/>
  <c r="E76" i="8" s="1"/>
  <c r="O76" i="8" a="1"/>
  <c r="O76" i="8" s="1"/>
  <c r="L76" i="8" a="1"/>
  <c r="L76" i="8" s="1"/>
  <c r="K76" i="8" a="1"/>
  <c r="K76" i="8" s="1"/>
  <c r="J76" i="8" a="1"/>
  <c r="J76" i="8" s="1"/>
  <c r="D76" i="8" a="1"/>
  <c r="D76" i="8" s="1"/>
  <c r="C76" i="8" a="1"/>
  <c r="C76" i="8" s="1"/>
  <c r="B76" i="8" a="1"/>
  <c r="B76" i="8" s="1"/>
  <c r="Y124" i="5"/>
  <c r="S124" i="5"/>
  <c r="Q124" i="5"/>
  <c r="M124" i="5"/>
  <c r="G124" i="5" a="1"/>
  <c r="G124" i="5" s="1"/>
  <c r="F124" i="5" a="1"/>
  <c r="F124" i="5" s="1"/>
  <c r="E124" i="5" a="1"/>
  <c r="E124" i="5" s="1"/>
  <c r="T124" i="5" s="1"/>
  <c r="D124" i="5" a="1"/>
  <c r="D124" i="5" s="1"/>
  <c r="AD90" i="8"/>
  <c r="P105" i="8"/>
  <c r="P106" i="8"/>
  <c r="P90" i="8"/>
  <c r="AM90" i="8"/>
  <c r="AE90" i="8"/>
  <c r="E90" i="8" s="1"/>
  <c r="O90" i="8" a="1"/>
  <c r="O90" i="8" s="1"/>
  <c r="L90" i="8" a="1"/>
  <c r="L90" i="8" s="1"/>
  <c r="K90" i="8" a="1"/>
  <c r="K90" i="8" s="1"/>
  <c r="J90" i="8" a="1"/>
  <c r="J90" i="8" s="1"/>
  <c r="D90" i="8" a="1"/>
  <c r="D90" i="8" s="1"/>
  <c r="C90" i="8" a="1"/>
  <c r="C90" i="8" s="1"/>
  <c r="B90" i="8" a="1"/>
  <c r="B90" i="8" s="1"/>
  <c r="C249" i="8" a="1"/>
  <c r="C249" i="8" s="1"/>
  <c r="D249" i="8" a="1"/>
  <c r="D249" i="8" s="1"/>
  <c r="AN249" i="8" s="1"/>
  <c r="AR249" i="8"/>
  <c r="Y237" i="5"/>
  <c r="S237" i="5"/>
  <c r="Q237" i="5"/>
  <c r="M237" i="5"/>
  <c r="G237" i="5" a="1"/>
  <c r="G237" i="5" s="1"/>
  <c r="F237" i="5" a="1"/>
  <c r="F237" i="5" s="1"/>
  <c r="E237" i="5" a="1"/>
  <c r="E237" i="5" s="1"/>
  <c r="T237" i="5" s="1"/>
  <c r="D237" i="5" a="1"/>
  <c r="D237" i="5" s="1"/>
  <c r="P83" i="8"/>
  <c r="AM83" i="8"/>
  <c r="AE83" i="8"/>
  <c r="E83" i="8" s="1"/>
  <c r="O83" i="8" a="1"/>
  <c r="O83" i="8" s="1"/>
  <c r="L83" i="8" a="1"/>
  <c r="L83" i="8" s="1"/>
  <c r="K83" i="8" a="1"/>
  <c r="K83" i="8" s="1"/>
  <c r="J83" i="8" a="1"/>
  <c r="J83" i="8" s="1"/>
  <c r="D83" i="8" a="1"/>
  <c r="D83" i="8" s="1"/>
  <c r="C83" i="8" a="1"/>
  <c r="C83" i="8" s="1"/>
  <c r="B83" i="8" a="1"/>
  <c r="B83" i="8" s="1"/>
  <c r="AD97" i="8"/>
  <c r="AD143" i="8"/>
  <c r="AD127" i="8"/>
  <c r="AD152" i="8"/>
  <c r="AD142" i="8"/>
  <c r="AD146" i="8"/>
  <c r="AD139" i="8"/>
  <c r="AD138" i="8"/>
  <c r="AD135" i="8"/>
  <c r="AD99" i="8"/>
  <c r="AD140" i="8"/>
  <c r="AD151" i="8"/>
  <c r="AD170" i="8"/>
  <c r="AD91" i="8"/>
  <c r="AD164" i="8"/>
  <c r="AD159" i="8"/>
  <c r="AD161" i="8"/>
  <c r="AD149" i="8"/>
  <c r="AD171" i="8"/>
  <c r="AD174" i="8"/>
  <c r="AD175" i="8"/>
  <c r="AD169" i="8"/>
  <c r="AD181" i="8"/>
  <c r="AD173" i="8"/>
  <c r="AD179" i="8"/>
  <c r="AD172" i="8"/>
  <c r="AD178" i="8"/>
  <c r="AD184" i="8"/>
  <c r="AD183" i="8"/>
  <c r="AD186" i="8"/>
  <c r="AD190" i="8"/>
  <c r="AD182" i="8"/>
  <c r="AD191" i="8"/>
  <c r="AD192" i="8"/>
  <c r="AD193" i="8"/>
  <c r="AD197" i="8"/>
  <c r="AD188" i="8"/>
  <c r="AD132" i="8"/>
  <c r="AD108" i="8"/>
  <c r="AD114" i="8"/>
  <c r="AD106" i="8"/>
  <c r="AD104" i="8"/>
  <c r="AD109" i="8"/>
  <c r="AD87" i="8"/>
  <c r="AD68" i="8"/>
  <c r="AD73" i="8"/>
  <c r="Y19" i="5"/>
  <c r="S19" i="5"/>
  <c r="Q19" i="5"/>
  <c r="M19" i="5"/>
  <c r="G19" i="5" a="1"/>
  <c r="G19" i="5" s="1"/>
  <c r="F19" i="5" a="1"/>
  <c r="F19" i="5" s="1"/>
  <c r="E19" i="5" a="1"/>
  <c r="E19" i="5" s="1"/>
  <c r="T19" i="5" s="1"/>
  <c r="D19" i="5" a="1"/>
  <c r="D19" i="5" s="1"/>
  <c r="P68" i="8"/>
  <c r="AM68" i="8"/>
  <c r="AE68" i="8"/>
  <c r="E68" i="8" s="1"/>
  <c r="O68" i="8" a="1"/>
  <c r="O68" i="8" s="1"/>
  <c r="L68" i="8" a="1"/>
  <c r="L68" i="8" s="1"/>
  <c r="K68" i="8" a="1"/>
  <c r="K68" i="8" s="1"/>
  <c r="J68" i="8" a="1"/>
  <c r="J68" i="8" s="1"/>
  <c r="D68" i="8" a="1"/>
  <c r="D68" i="8" s="1"/>
  <c r="C68" i="8" a="1"/>
  <c r="C68" i="8" s="1"/>
  <c r="B68" i="8" a="1"/>
  <c r="B68" i="8" s="1"/>
  <c r="P87" i="8"/>
  <c r="P73" i="8"/>
  <c r="AM73" i="8"/>
  <c r="AE73" i="8"/>
  <c r="E73" i="8" s="1"/>
  <c r="O73" i="8" a="1"/>
  <c r="O73" i="8" s="1"/>
  <c r="L73" i="8" a="1"/>
  <c r="L73" i="8" s="1"/>
  <c r="K73" i="8" a="1"/>
  <c r="K73" i="8" s="1"/>
  <c r="J73" i="8" a="1"/>
  <c r="J73" i="8" s="1"/>
  <c r="D73" i="8" a="1"/>
  <c r="D73" i="8" s="1"/>
  <c r="C73" i="8" a="1"/>
  <c r="C73" i="8" s="1"/>
  <c r="B73" i="8" a="1"/>
  <c r="B73" i="8" s="1"/>
  <c r="AM87" i="8"/>
  <c r="AE87" i="8"/>
  <c r="E87" i="8" s="1"/>
  <c r="O87" i="8" a="1"/>
  <c r="O87" i="8" s="1"/>
  <c r="L87" i="8" a="1"/>
  <c r="L87" i="8" s="1"/>
  <c r="K87" i="8" a="1"/>
  <c r="K87" i="8" s="1"/>
  <c r="J87" i="8" a="1"/>
  <c r="J87" i="8" s="1"/>
  <c r="D87" i="8" a="1"/>
  <c r="D87" i="8" s="1"/>
  <c r="C87" i="8" a="1"/>
  <c r="C87" i="8" s="1"/>
  <c r="B87" i="8" a="1"/>
  <c r="B87" i="8" s="1"/>
  <c r="D193" i="5" a="1"/>
  <c r="D193" i="5" s="1"/>
  <c r="E193" i="5" a="1"/>
  <c r="E193" i="5" s="1"/>
  <c r="T193" i="5" s="1"/>
  <c r="F193" i="5" a="1"/>
  <c r="F193" i="5" s="1"/>
  <c r="G193" i="5" a="1"/>
  <c r="G193" i="5" s="1"/>
  <c r="M193" i="5"/>
  <c r="Q193" i="5"/>
  <c r="S193" i="5"/>
  <c r="Y193" i="5"/>
  <c r="Y192" i="5"/>
  <c r="S192" i="5"/>
  <c r="Q192" i="5"/>
  <c r="M192" i="5"/>
  <c r="G192" i="5" a="1"/>
  <c r="G192" i="5" s="1"/>
  <c r="F192" i="5" a="1"/>
  <c r="F192" i="5" s="1"/>
  <c r="E192" i="5" a="1"/>
  <c r="E192" i="5" s="1"/>
  <c r="T192" i="5" s="1"/>
  <c r="D192" i="5" a="1"/>
  <c r="D192" i="5" s="1"/>
  <c r="AR248" i="8"/>
  <c r="C248" i="8" a="1"/>
  <c r="C248" i="8" s="1"/>
  <c r="D248" i="8" a="1"/>
  <c r="D248" i="8" s="1"/>
  <c r="AP248" i="8" s="1"/>
  <c r="S303" i="5"/>
  <c r="U303" i="5" s="1"/>
  <c r="M303" i="5"/>
  <c r="G303" i="5" a="1"/>
  <c r="G303" i="5" s="1"/>
  <c r="F303" i="5" a="1"/>
  <c r="F303" i="5" s="1"/>
  <c r="E303" i="5" a="1"/>
  <c r="E303" i="5" s="1"/>
  <c r="D303" i="5" a="1"/>
  <c r="D303" i="5" s="1"/>
  <c r="C247" i="8" a="1"/>
  <c r="C247" i="8" s="1"/>
  <c r="D247" i="8" a="1"/>
  <c r="D247" i="8" s="1"/>
  <c r="AR247" i="8"/>
  <c r="AR246" i="8"/>
  <c r="C246" i="8" a="1"/>
  <c r="C246" i="8" s="1"/>
  <c r="D246" i="8" a="1"/>
  <c r="D246" i="8" s="1"/>
  <c r="AP246" i="8" s="1"/>
  <c r="D205" i="5" a="1"/>
  <c r="D205" i="5" s="1"/>
  <c r="E205" i="5" a="1"/>
  <c r="E205" i="5" s="1"/>
  <c r="T205" i="5" s="1"/>
  <c r="F205" i="5" a="1"/>
  <c r="F205" i="5" s="1"/>
  <c r="G205" i="5" a="1"/>
  <c r="G205" i="5" s="1"/>
  <c r="M205" i="5"/>
  <c r="Q205" i="5"/>
  <c r="S205" i="5"/>
  <c r="Y205" i="5"/>
  <c r="AD105" i="8"/>
  <c r="AM105" i="8"/>
  <c r="AE105" i="8"/>
  <c r="E105" i="8" s="1"/>
  <c r="O105" i="8" a="1"/>
  <c r="O105" i="8" s="1"/>
  <c r="L105" i="8" a="1"/>
  <c r="L105" i="8" s="1"/>
  <c r="K105" i="8" a="1"/>
  <c r="K105" i="8" s="1"/>
  <c r="J105" i="8" a="1"/>
  <c r="J105" i="8" s="1"/>
  <c r="D105" i="8" a="1"/>
  <c r="D105" i="8" s="1"/>
  <c r="C105" i="8" a="1"/>
  <c r="C105" i="8" s="1"/>
  <c r="B105" i="8" a="1"/>
  <c r="B105" i="8" s="1"/>
  <c r="AQ33" i="8" a="1"/>
  <c r="AQ33" i="8" s="1"/>
  <c r="AM33" i="8"/>
  <c r="AD33" i="8"/>
  <c r="AU33" i="8"/>
  <c r="P33" i="8"/>
  <c r="O33" i="8" a="1"/>
  <c r="O33" i="8" s="1"/>
  <c r="L33" i="8" a="1"/>
  <c r="L33" i="8" s="1"/>
  <c r="K33" i="8" a="1"/>
  <c r="K33" i="8" s="1"/>
  <c r="J33" i="8" a="1"/>
  <c r="J33" i="8" s="1"/>
  <c r="I33" i="8"/>
  <c r="D33" i="8" a="1"/>
  <c r="D33" i="8" s="1"/>
  <c r="C33" i="8" a="1"/>
  <c r="C33" i="8" s="1"/>
  <c r="B33" i="8" a="1"/>
  <c r="B33" i="8" s="1"/>
  <c r="P112" i="8"/>
  <c r="AD112" i="8"/>
  <c r="AM112" i="8"/>
  <c r="AE112" i="8"/>
  <c r="E112" i="8" s="1"/>
  <c r="O112" i="8" a="1"/>
  <c r="O112" i="8" s="1"/>
  <c r="L112" i="8" a="1"/>
  <c r="L112" i="8" s="1"/>
  <c r="K112" i="8" a="1"/>
  <c r="K112" i="8" s="1"/>
  <c r="J112" i="8" a="1"/>
  <c r="J112" i="8" s="1"/>
  <c r="D112" i="8" a="1"/>
  <c r="D112" i="8" s="1"/>
  <c r="C112" i="8" a="1"/>
  <c r="C112" i="8" s="1"/>
  <c r="B112" i="8" a="1"/>
  <c r="B112" i="8" s="1"/>
  <c r="D52" i="5" a="1"/>
  <c r="D52" i="5" s="1"/>
  <c r="E52" i="5" a="1"/>
  <c r="E52" i="5" s="1"/>
  <c r="T52" i="5" s="1"/>
  <c r="F52" i="5" a="1"/>
  <c r="F52" i="5" s="1"/>
  <c r="G52" i="5" a="1"/>
  <c r="G52" i="5" s="1"/>
  <c r="M52" i="5"/>
  <c r="Q52" i="5"/>
  <c r="S52" i="5"/>
  <c r="Y52" i="5"/>
  <c r="D254" i="5" a="1"/>
  <c r="D254" i="5" s="1"/>
  <c r="E254" i="5" a="1"/>
  <c r="E254" i="5" s="1"/>
  <c r="T254" i="5" s="1"/>
  <c r="F254" i="5" a="1"/>
  <c r="F254" i="5" s="1"/>
  <c r="G254" i="5" a="1"/>
  <c r="G254" i="5" s="1"/>
  <c r="M254" i="5"/>
  <c r="Q254" i="5"/>
  <c r="S254" i="5"/>
  <c r="Y254" i="5"/>
  <c r="AB89" i="8"/>
  <c r="AB14" i="8"/>
  <c r="E62" i="4"/>
  <c r="F62" i="4"/>
  <c r="M62" i="4"/>
  <c r="M61" i="4"/>
  <c r="F61" i="4"/>
  <c r="M60" i="4"/>
  <c r="F60" i="4"/>
  <c r="M59" i="4"/>
  <c r="F59" i="4"/>
  <c r="D92" i="5" a="1"/>
  <c r="D92" i="5" s="1"/>
  <c r="E92" i="5" a="1"/>
  <c r="E92" i="5" s="1"/>
  <c r="T92" i="5" s="1"/>
  <c r="F92" i="5" a="1"/>
  <c r="F92" i="5" s="1"/>
  <c r="G92" i="5" a="1"/>
  <c r="G92" i="5" s="1"/>
  <c r="M92" i="5"/>
  <c r="Q92" i="5"/>
  <c r="S92" i="5"/>
  <c r="Y92" i="5"/>
  <c r="P171" i="8"/>
  <c r="AM171" i="8"/>
  <c r="AE171" i="8"/>
  <c r="E171" i="8" s="1"/>
  <c r="O171" i="8" a="1"/>
  <c r="O171" i="8" s="1"/>
  <c r="L171" i="8" a="1"/>
  <c r="L171" i="8" s="1"/>
  <c r="K171" i="8" a="1"/>
  <c r="K171" i="8" s="1"/>
  <c r="J171" i="8" a="1"/>
  <c r="J171" i="8" s="1"/>
  <c r="D171" i="8" a="1"/>
  <c r="D171" i="8" s="1"/>
  <c r="C171" i="8" a="1"/>
  <c r="C171" i="8" s="1"/>
  <c r="B171" i="8" a="1"/>
  <c r="B171" i="8" s="1"/>
  <c r="AN251" i="8" l="1"/>
  <c r="AT251" i="8"/>
  <c r="U115" i="5"/>
  <c r="AD115" i="5" s="1"/>
  <c r="N115" i="5"/>
  <c r="AN123" i="8"/>
  <c r="AK123" i="8"/>
  <c r="G123" i="8" s="1"/>
  <c r="AJ123" i="8"/>
  <c r="F123" i="8" s="1"/>
  <c r="AI123" i="8"/>
  <c r="AG123" i="8"/>
  <c r="H123" i="8" s="1"/>
  <c r="M123" i="8"/>
  <c r="Q123" i="8" s="1"/>
  <c r="N123" i="8"/>
  <c r="R123" i="8" s="1"/>
  <c r="N166" i="5"/>
  <c r="AN133" i="8"/>
  <c r="AK133" i="8"/>
  <c r="G133" i="8" s="1"/>
  <c r="AJ133" i="8"/>
  <c r="F133" i="8" s="1"/>
  <c r="AI133" i="8"/>
  <c r="AG133" i="8"/>
  <c r="H133" i="8" s="1"/>
  <c r="M133" i="8"/>
  <c r="Q133" i="8" s="1"/>
  <c r="N133" i="8"/>
  <c r="R133" i="8" s="1"/>
  <c r="AC51" i="8"/>
  <c r="Z51" i="8"/>
  <c r="U175" i="5"/>
  <c r="AD175" i="5" s="1"/>
  <c r="N175" i="5"/>
  <c r="U256" i="5"/>
  <c r="AD256" i="5" s="1"/>
  <c r="AN115" i="8"/>
  <c r="AK115" i="8"/>
  <c r="G115" i="8" s="1"/>
  <c r="AJ115" i="8"/>
  <c r="F115" i="8" s="1"/>
  <c r="AI115" i="8"/>
  <c r="AG115" i="8"/>
  <c r="H115" i="8" s="1"/>
  <c r="M115" i="8"/>
  <c r="Q115" i="8" s="1"/>
  <c r="N115" i="8"/>
  <c r="R115" i="8" s="1"/>
  <c r="U6" i="5"/>
  <c r="AD6" i="5" s="1"/>
  <c r="N6" i="5"/>
  <c r="M131" i="8"/>
  <c r="Q131" i="8" s="1"/>
  <c r="N131" i="8"/>
  <c r="R131" i="8" s="1"/>
  <c r="AG131" i="8"/>
  <c r="H131" i="8" s="1"/>
  <c r="AI131" i="8"/>
  <c r="AJ131" i="8"/>
  <c r="F131" i="8" s="1"/>
  <c r="AK131" i="8"/>
  <c r="G131" i="8" s="1"/>
  <c r="N212" i="5"/>
  <c r="U212" i="5"/>
  <c r="AD212" i="5" s="1"/>
  <c r="Z125" i="8"/>
  <c r="AC125" i="8"/>
  <c r="AD125" i="8" s="1"/>
  <c r="AN250" i="8"/>
  <c r="AN520" i="8"/>
  <c r="AK520" i="8"/>
  <c r="AJ520" i="8"/>
  <c r="AI520" i="8"/>
  <c r="AG520" i="8"/>
  <c r="M520" i="8"/>
  <c r="Q520" i="8" s="1"/>
  <c r="N520" i="8"/>
  <c r="R520" i="8" s="1"/>
  <c r="AN515" i="8"/>
  <c r="AJ515" i="8"/>
  <c r="AK515" i="8"/>
  <c r="AN519" i="8"/>
  <c r="AK519" i="8"/>
  <c r="AJ519" i="8"/>
  <c r="AI519" i="8"/>
  <c r="AG519" i="8"/>
  <c r="AN518" i="8"/>
  <c r="AK518" i="8"/>
  <c r="AJ518" i="8"/>
  <c r="AI518" i="8"/>
  <c r="AG518" i="8"/>
  <c r="AN516" i="8"/>
  <c r="AK516" i="8"/>
  <c r="AJ516" i="8"/>
  <c r="AI516" i="8"/>
  <c r="AG516" i="8"/>
  <c r="AN517" i="8"/>
  <c r="AK517" i="8"/>
  <c r="AJ517" i="8"/>
  <c r="AI517" i="8"/>
  <c r="AG517" i="8"/>
  <c r="N515" i="8"/>
  <c r="R515" i="8" s="1"/>
  <c r="M515" i="8"/>
  <c r="Q515" i="8" s="1"/>
  <c r="M519" i="8"/>
  <c r="Q519" i="8" s="1"/>
  <c r="N519" i="8"/>
  <c r="R519" i="8" s="1"/>
  <c r="N518" i="8"/>
  <c r="R518" i="8" s="1"/>
  <c r="M518" i="8"/>
  <c r="Q518" i="8" s="1"/>
  <c r="N517" i="8"/>
  <c r="R517" i="8" s="1"/>
  <c r="M517" i="8"/>
  <c r="Q517" i="8" s="1"/>
  <c r="N516" i="8"/>
  <c r="R516" i="8" s="1"/>
  <c r="M516" i="8"/>
  <c r="Q516" i="8" s="1"/>
  <c r="AG515" i="8"/>
  <c r="M213" i="8"/>
  <c r="Q213" i="8" s="1"/>
  <c r="N213" i="8"/>
  <c r="R213" i="8" s="1"/>
  <c r="AN213" i="8"/>
  <c r="AG213" i="8"/>
  <c r="AI213" i="8"/>
  <c r="AJ213" i="8"/>
  <c r="AK213" i="8"/>
  <c r="AN214" i="8"/>
  <c r="AK214" i="8"/>
  <c r="AJ214" i="8"/>
  <c r="AI214" i="8"/>
  <c r="AG214" i="8"/>
  <c r="M214" i="8"/>
  <c r="Q214" i="8" s="1"/>
  <c r="N214" i="8"/>
  <c r="R214" i="8" s="1"/>
  <c r="N256" i="5"/>
  <c r="U237" i="5"/>
  <c r="AD237" i="5" s="1"/>
  <c r="AN76" i="8"/>
  <c r="AK76" i="8"/>
  <c r="G76" i="8" s="1"/>
  <c r="AJ76" i="8"/>
  <c r="F76" i="8" s="1"/>
  <c r="AI76" i="8"/>
  <c r="AG76" i="8"/>
  <c r="H76" i="8" s="1"/>
  <c r="N76" i="8"/>
  <c r="R76" i="8" s="1"/>
  <c r="M76" i="8"/>
  <c r="Q76" i="8" s="1"/>
  <c r="U124" i="5"/>
  <c r="AD124" i="5" s="1"/>
  <c r="AI124" i="5"/>
  <c r="N124" i="5"/>
  <c r="V124" i="5"/>
  <c r="U192" i="5"/>
  <c r="AD192" i="5" s="1"/>
  <c r="AN90" i="8"/>
  <c r="AK90" i="8"/>
  <c r="G90" i="8" s="1"/>
  <c r="AJ90" i="8"/>
  <c r="F90" i="8" s="1"/>
  <c r="AI90" i="8"/>
  <c r="AG90" i="8"/>
  <c r="H90" i="8" s="1"/>
  <c r="M90" i="8"/>
  <c r="Q90" i="8" s="1"/>
  <c r="N90" i="8"/>
  <c r="R90" i="8" s="1"/>
  <c r="AP249" i="8"/>
  <c r="N237" i="5"/>
  <c r="U19" i="5"/>
  <c r="AD19" i="5" s="1"/>
  <c r="M83" i="8"/>
  <c r="Q83" i="8" s="1"/>
  <c r="N83" i="8"/>
  <c r="R83" i="8" s="1"/>
  <c r="AN83" i="8"/>
  <c r="AK83" i="8"/>
  <c r="G83" i="8" s="1"/>
  <c r="AJ83" i="8"/>
  <c r="F83" i="8" s="1"/>
  <c r="AI83" i="8"/>
  <c r="AG83" i="8"/>
  <c r="H83" i="8" s="1"/>
  <c r="N19" i="5"/>
  <c r="AN68" i="8"/>
  <c r="AK68" i="8"/>
  <c r="G68" i="8" s="1"/>
  <c r="AJ68" i="8"/>
  <c r="F68" i="8" s="1"/>
  <c r="AI68" i="8"/>
  <c r="AG68" i="8"/>
  <c r="H68" i="8" s="1"/>
  <c r="M68" i="8"/>
  <c r="Q68" i="8" s="1"/>
  <c r="N68" i="8"/>
  <c r="R68" i="8" s="1"/>
  <c r="AN73" i="8"/>
  <c r="AK73" i="8"/>
  <c r="G73" i="8" s="1"/>
  <c r="AJ73" i="8"/>
  <c r="F73" i="8" s="1"/>
  <c r="AI73" i="8"/>
  <c r="AG73" i="8"/>
  <c r="H73" i="8" s="1"/>
  <c r="AN87" i="8"/>
  <c r="AK87" i="8"/>
  <c r="G87" i="8" s="1"/>
  <c r="AJ87" i="8"/>
  <c r="F87" i="8" s="1"/>
  <c r="AI87" i="8"/>
  <c r="AG87" i="8"/>
  <c r="H87" i="8" s="1"/>
  <c r="M73" i="8"/>
  <c r="Q73" i="8" s="1"/>
  <c r="N73" i="8"/>
  <c r="R73" i="8" s="1"/>
  <c r="N87" i="8"/>
  <c r="R87" i="8" s="1"/>
  <c r="M87" i="8"/>
  <c r="Q87" i="8" s="1"/>
  <c r="U193" i="5"/>
  <c r="AD193" i="5" s="1"/>
  <c r="N193" i="5"/>
  <c r="AD303" i="5"/>
  <c r="N192" i="5"/>
  <c r="AO248" i="8"/>
  <c r="AQ248" i="8" s="1"/>
  <c r="AN248" i="8"/>
  <c r="AI303" i="5"/>
  <c r="N303" i="5"/>
  <c r="V303" i="5"/>
  <c r="AP247" i="8"/>
  <c r="AN247" i="8"/>
  <c r="AN246" i="8"/>
  <c r="U205" i="5"/>
  <c r="AD205" i="5" s="1"/>
  <c r="V205" i="5"/>
  <c r="N205" i="5"/>
  <c r="AI205" i="5"/>
  <c r="AN105" i="8"/>
  <c r="AK105" i="8"/>
  <c r="G105" i="8" s="1"/>
  <c r="AJ105" i="8"/>
  <c r="F105" i="8" s="1"/>
  <c r="AI105" i="8"/>
  <c r="AG105" i="8"/>
  <c r="H105" i="8" s="1"/>
  <c r="M105" i="8"/>
  <c r="Q105" i="8" s="1"/>
  <c r="N105" i="8"/>
  <c r="R105" i="8" s="1"/>
  <c r="AE33" i="8"/>
  <c r="E33" i="8" s="1"/>
  <c r="AN33" i="8"/>
  <c r="AK33" i="8"/>
  <c r="G33" i="8" s="1"/>
  <c r="AJ33" i="8"/>
  <c r="F33" i="8" s="1"/>
  <c r="AI33" i="8"/>
  <c r="AG33" i="8"/>
  <c r="H33" i="8" s="1"/>
  <c r="N33" i="8"/>
  <c r="R33" i="8" s="1"/>
  <c r="M33" i="8"/>
  <c r="Q33" i="8" s="1"/>
  <c r="AN112" i="8"/>
  <c r="AK112" i="8"/>
  <c r="G112" i="8" s="1"/>
  <c r="AJ112" i="8"/>
  <c r="F112" i="8" s="1"/>
  <c r="AI112" i="8"/>
  <c r="AG112" i="8"/>
  <c r="H112" i="8" s="1"/>
  <c r="M112" i="8"/>
  <c r="Q112" i="8" s="1"/>
  <c r="N112" i="8"/>
  <c r="R112" i="8" s="1"/>
  <c r="U52" i="5"/>
  <c r="AD52" i="5" s="1"/>
  <c r="N52" i="5"/>
  <c r="U254" i="5"/>
  <c r="AD254" i="5" s="1"/>
  <c r="V254" i="5"/>
  <c r="N254" i="5"/>
  <c r="AI254" i="5"/>
  <c r="E59" i="4"/>
  <c r="E60" i="4"/>
  <c r="E61" i="4"/>
  <c r="U92" i="5"/>
  <c r="AD92" i="5" s="1"/>
  <c r="N92" i="5"/>
  <c r="V92" i="5"/>
  <c r="AI92" i="5"/>
  <c r="AN171" i="8"/>
  <c r="AK171" i="8"/>
  <c r="G171" i="8" s="1"/>
  <c r="AJ171" i="8"/>
  <c r="F171" i="8" s="1"/>
  <c r="AI171" i="8"/>
  <c r="AG171" i="8"/>
  <c r="H171" i="8" s="1"/>
  <c r="M171" i="8"/>
  <c r="Q171" i="8" s="1"/>
  <c r="N171" i="8"/>
  <c r="R171" i="8" s="1"/>
  <c r="AB124" i="5" l="1"/>
  <c r="AS248" i="8"/>
  <c r="AT248" i="8" s="1"/>
  <c r="AB303" i="5"/>
  <c r="Y303" i="5"/>
  <c r="AB205" i="5"/>
  <c r="AB254" i="5"/>
  <c r="AB92" i="5"/>
  <c r="I25" i="11"/>
  <c r="AR245" i="8"/>
  <c r="C245" i="8" a="1"/>
  <c r="C245" i="8" s="1"/>
  <c r="D245" i="8" a="1"/>
  <c r="D245" i="8" s="1"/>
  <c r="AP245" i="8" s="1"/>
  <c r="AN245" i="8" l="1"/>
  <c r="AR244" i="8" l="1"/>
  <c r="C244" i="8" a="1"/>
  <c r="C244" i="8" s="1"/>
  <c r="D244" i="8" a="1"/>
  <c r="D244" i="8" s="1"/>
  <c r="AP244" i="8" s="1"/>
  <c r="Y168" i="5"/>
  <c r="S168" i="5"/>
  <c r="Q168" i="5"/>
  <c r="M168" i="5"/>
  <c r="G168" i="5" a="1"/>
  <c r="G168" i="5" s="1"/>
  <c r="F168" i="5" a="1"/>
  <c r="F168" i="5" s="1"/>
  <c r="E168" i="5" a="1"/>
  <c r="E168" i="5" s="1"/>
  <c r="T168" i="5" s="1"/>
  <c r="D168" i="5" a="1"/>
  <c r="D168" i="5" s="1"/>
  <c r="AM106" i="8"/>
  <c r="AE106" i="8"/>
  <c r="E106" i="8" s="1"/>
  <c r="O106" i="8" a="1"/>
  <c r="O106" i="8" s="1"/>
  <c r="L106" i="8" a="1"/>
  <c r="L106" i="8" s="1"/>
  <c r="K106" i="8" a="1"/>
  <c r="K106" i="8" s="1"/>
  <c r="J106" i="8" a="1"/>
  <c r="J106" i="8" s="1"/>
  <c r="D106" i="8" a="1"/>
  <c r="D106" i="8" s="1"/>
  <c r="C106" i="8" a="1"/>
  <c r="C106" i="8" s="1"/>
  <c r="B106" i="8" a="1"/>
  <c r="B106" i="8" s="1"/>
  <c r="Y76" i="5"/>
  <c r="S76" i="5"/>
  <c r="Q76" i="5"/>
  <c r="M76" i="5"/>
  <c r="G76" i="5" a="1"/>
  <c r="G76" i="5" s="1"/>
  <c r="F76" i="5" a="1"/>
  <c r="F76" i="5" s="1"/>
  <c r="E76" i="5" a="1"/>
  <c r="E76" i="5" s="1"/>
  <c r="T76" i="5" s="1"/>
  <c r="D76" i="5" a="1"/>
  <c r="D76" i="5" s="1"/>
  <c r="P146" i="8"/>
  <c r="AM146" i="8"/>
  <c r="AE146" i="8"/>
  <c r="E146" i="8" s="1"/>
  <c r="O146" i="8" a="1"/>
  <c r="O146" i="8" s="1"/>
  <c r="L146" i="8" a="1"/>
  <c r="L146" i="8" s="1"/>
  <c r="K146" i="8" a="1"/>
  <c r="K146" i="8" s="1"/>
  <c r="J146" i="8" a="1"/>
  <c r="J146" i="8" s="1"/>
  <c r="D146" i="8" a="1"/>
  <c r="D146" i="8" s="1"/>
  <c r="C146" i="8" a="1"/>
  <c r="C146" i="8" s="1"/>
  <c r="B146" i="8" a="1"/>
  <c r="B146" i="8" s="1"/>
  <c r="D305" i="5" a="1"/>
  <c r="D305" i="5" s="1"/>
  <c r="E305" i="5" a="1"/>
  <c r="E305" i="5" s="1"/>
  <c r="F305" i="5" a="1"/>
  <c r="F305" i="5" s="1"/>
  <c r="G305" i="5" a="1"/>
  <c r="G305" i="5" s="1"/>
  <c r="M305" i="5"/>
  <c r="S305" i="5"/>
  <c r="AO250" i="8" s="1"/>
  <c r="I34" i="4"/>
  <c r="AR243" i="8"/>
  <c r="AR242" i="8"/>
  <c r="C243" i="8" a="1"/>
  <c r="C243" i="8" s="1"/>
  <c r="D243" i="8" a="1"/>
  <c r="D243" i="8" s="1"/>
  <c r="AN243" i="8" s="1"/>
  <c r="D228" i="5" a="1"/>
  <c r="D228" i="5" s="1"/>
  <c r="E228" i="5" a="1"/>
  <c r="E228" i="5" s="1"/>
  <c r="T228" i="5" s="1"/>
  <c r="F228" i="5" a="1"/>
  <c r="F228" i="5" s="1"/>
  <c r="G228" i="5" a="1"/>
  <c r="G228" i="5" s="1"/>
  <c r="M228" i="5"/>
  <c r="Q228" i="5"/>
  <c r="S228" i="5"/>
  <c r="Y228" i="5"/>
  <c r="P114" i="8"/>
  <c r="AM114" i="8"/>
  <c r="AE114" i="8"/>
  <c r="E114" i="8" s="1"/>
  <c r="O114" i="8" a="1"/>
  <c r="O114" i="8" s="1"/>
  <c r="L114" i="8" a="1"/>
  <c r="L114" i="8" s="1"/>
  <c r="K114" i="8" a="1"/>
  <c r="K114" i="8" s="1"/>
  <c r="J114" i="8" a="1"/>
  <c r="J114" i="8" s="1"/>
  <c r="D114" i="8" a="1"/>
  <c r="D114" i="8" s="1"/>
  <c r="C114" i="8" a="1"/>
  <c r="C114" i="8" s="1"/>
  <c r="B114" i="8" a="1"/>
  <c r="B114" i="8" s="1"/>
  <c r="K189" i="5"/>
  <c r="S292" i="5"/>
  <c r="AO242" i="8" s="1"/>
  <c r="M292" i="5"/>
  <c r="G292" i="5" a="1"/>
  <c r="G292" i="5" s="1"/>
  <c r="F292" i="5" a="1"/>
  <c r="F292" i="5" s="1"/>
  <c r="E292" i="5" a="1"/>
  <c r="E292" i="5" s="1"/>
  <c r="D292" i="5" a="1"/>
  <c r="D292" i="5" s="1"/>
  <c r="C242" i="8" a="1"/>
  <c r="C242" i="8" s="1"/>
  <c r="D242" i="8" a="1"/>
  <c r="D242" i="8" s="1"/>
  <c r="AN242" i="8" s="1"/>
  <c r="M54" i="4"/>
  <c r="Y54" i="5"/>
  <c r="S54" i="5"/>
  <c r="Q54" i="5"/>
  <c r="M54" i="5"/>
  <c r="G54" i="5" a="1"/>
  <c r="G54" i="5" s="1"/>
  <c r="F54" i="5" a="1"/>
  <c r="F54" i="5" s="1"/>
  <c r="E54" i="5" a="1"/>
  <c r="E54" i="5" s="1"/>
  <c r="T54" i="5" s="1"/>
  <c r="D54" i="5" a="1"/>
  <c r="D54" i="5" s="1"/>
  <c r="P132" i="8"/>
  <c r="AM132" i="8"/>
  <c r="AE132" i="8"/>
  <c r="E132" i="8" s="1"/>
  <c r="O132" i="8" a="1"/>
  <c r="O132" i="8" s="1"/>
  <c r="L132" i="8" a="1"/>
  <c r="L132" i="8" s="1"/>
  <c r="K132" i="8" a="1"/>
  <c r="K132" i="8" s="1"/>
  <c r="J132" i="8" a="1"/>
  <c r="J132" i="8" s="1"/>
  <c r="D132" i="8" a="1"/>
  <c r="D132" i="8" s="1"/>
  <c r="C132" i="8" a="1"/>
  <c r="C132" i="8" s="1"/>
  <c r="B132" i="8" a="1"/>
  <c r="B132" i="8" s="1"/>
  <c r="AE396" i="5"/>
  <c r="AB137" i="8"/>
  <c r="M52" i="4"/>
  <c r="M53" i="4"/>
  <c r="M51" i="4"/>
  <c r="M50" i="4"/>
  <c r="M49" i="4"/>
  <c r="M48" i="4"/>
  <c r="M47" i="4"/>
  <c r="M46" i="4"/>
  <c r="F46" i="4"/>
  <c r="E46" i="4"/>
  <c r="AB26" i="8" s="1"/>
  <c r="AD199" i="8"/>
  <c r="AD21" i="8"/>
  <c r="AD19" i="8"/>
  <c r="AD43" i="8"/>
  <c r="AD51" i="8"/>
  <c r="AD71" i="8"/>
  <c r="AD62" i="8"/>
  <c r="AD36" i="8"/>
  <c r="AD46" i="8"/>
  <c r="AD60" i="8"/>
  <c r="AD54" i="8"/>
  <c r="AD47" i="8"/>
  <c r="AD75" i="8"/>
  <c r="AD70" i="8"/>
  <c r="AD56" i="8"/>
  <c r="AD65" i="8"/>
  <c r="AD78" i="8"/>
  <c r="Z198" i="8"/>
  <c r="J32" i="4"/>
  <c r="H32" i="4"/>
  <c r="H31" i="4"/>
  <c r="I31" i="4" s="1"/>
  <c r="J45" i="4"/>
  <c r="H45" i="4"/>
  <c r="M45" i="4" s="1"/>
  <c r="J44" i="4"/>
  <c r="H44" i="4"/>
  <c r="AM70" i="8"/>
  <c r="AE70" i="8"/>
  <c r="E70" i="8" s="1"/>
  <c r="O70" i="8" a="1"/>
  <c r="O70" i="8" s="1"/>
  <c r="L70" i="8" a="1"/>
  <c r="L70" i="8" s="1"/>
  <c r="K70" i="8" a="1"/>
  <c r="K70" i="8" s="1"/>
  <c r="J70" i="8" a="1"/>
  <c r="J70" i="8" s="1"/>
  <c r="D70" i="8" a="1"/>
  <c r="D70" i="8" s="1"/>
  <c r="C70" i="8" a="1"/>
  <c r="C70" i="8" s="1"/>
  <c r="B70" i="8" a="1"/>
  <c r="B70" i="8" s="1"/>
  <c r="AR241" i="8"/>
  <c r="C241" i="8" a="1"/>
  <c r="C241" i="8" s="1"/>
  <c r="D241" i="8" a="1"/>
  <c r="D241" i="8" s="1"/>
  <c r="AP241" i="8" s="1"/>
  <c r="AR240" i="8"/>
  <c r="C240" i="8" a="1"/>
  <c r="C240" i="8" s="1"/>
  <c r="D240" i="8" a="1"/>
  <c r="D240" i="8" s="1"/>
  <c r="AP240" i="8" s="1"/>
  <c r="I21" i="8"/>
  <c r="I71" i="8"/>
  <c r="I19" i="8"/>
  <c r="I51" i="8"/>
  <c r="I43" i="8"/>
  <c r="I54" i="8"/>
  <c r="I60" i="8"/>
  <c r="I36" i="8"/>
  <c r="I46" i="8"/>
  <c r="I62" i="8"/>
  <c r="I47" i="8"/>
  <c r="I109" i="8"/>
  <c r="I75" i="8"/>
  <c r="I65" i="8"/>
  <c r="I56" i="8"/>
  <c r="I78" i="8"/>
  <c r="I110" i="8"/>
  <c r="I84" i="8"/>
  <c r="I45" i="8"/>
  <c r="I82" i="8"/>
  <c r="I79" i="8"/>
  <c r="I95" i="8"/>
  <c r="I92" i="8"/>
  <c r="I96" i="8"/>
  <c r="I108" i="8"/>
  <c r="I98" i="8"/>
  <c r="I64" i="8"/>
  <c r="I104" i="8"/>
  <c r="I118" i="8"/>
  <c r="I69" i="8"/>
  <c r="I117" i="8"/>
  <c r="I124" i="8"/>
  <c r="I120" i="8"/>
  <c r="I50" i="8"/>
  <c r="I122" i="8"/>
  <c r="I121" i="8"/>
  <c r="I126" i="8"/>
  <c r="I77" i="8"/>
  <c r="I116" i="8"/>
  <c r="I88" i="8"/>
  <c r="I107" i="8"/>
  <c r="I144" i="8"/>
  <c r="I141" i="8"/>
  <c r="I72" i="8"/>
  <c r="I101" i="8"/>
  <c r="I99" i="8"/>
  <c r="I113" i="8"/>
  <c r="I127" i="8"/>
  <c r="I119" i="8"/>
  <c r="I102" i="8"/>
  <c r="I152" i="8"/>
  <c r="I142" i="8"/>
  <c r="I143" i="8"/>
  <c r="I138" i="8"/>
  <c r="I140" i="8"/>
  <c r="I164" i="8"/>
  <c r="I97" i="8"/>
  <c r="I170" i="8"/>
  <c r="I125" i="8"/>
  <c r="I135" i="8"/>
  <c r="I151" i="8"/>
  <c r="I196" i="8"/>
  <c r="I139" i="8"/>
  <c r="I179" i="8"/>
  <c r="I161" i="8"/>
  <c r="I159" i="8"/>
  <c r="I174" i="8"/>
  <c r="I149" i="8"/>
  <c r="I178" i="8"/>
  <c r="I190" i="8"/>
  <c r="I175" i="8"/>
  <c r="I198" i="8"/>
  <c r="I181" i="8"/>
  <c r="I169" i="8"/>
  <c r="I173" i="8"/>
  <c r="I186" i="8"/>
  <c r="I172" i="8"/>
  <c r="I91" i="8"/>
  <c r="I184" i="8"/>
  <c r="I188" i="8"/>
  <c r="I191" i="8"/>
  <c r="I192" i="8"/>
  <c r="I193" i="8"/>
  <c r="I195" i="8"/>
  <c r="I183" i="8"/>
  <c r="I206" i="8"/>
  <c r="I201" i="8"/>
  <c r="I182" i="8"/>
  <c r="I202" i="8"/>
  <c r="I187" i="8"/>
  <c r="I197" i="8"/>
  <c r="I200" i="8"/>
  <c r="I194" i="8"/>
  <c r="I199" i="8"/>
  <c r="I204" i="8"/>
  <c r="I205" i="8"/>
  <c r="I207" i="8"/>
  <c r="I209" i="8"/>
  <c r="I210" i="8"/>
  <c r="I335" i="8"/>
  <c r="I315" i="8"/>
  <c r="I309" i="8"/>
  <c r="I308" i="8"/>
  <c r="I306" i="8"/>
  <c r="I305" i="8"/>
  <c r="I301" i="8"/>
  <c r="I294" i="8"/>
  <c r="I283" i="8"/>
  <c r="I282" i="8"/>
  <c r="I281" i="8"/>
  <c r="I280" i="8"/>
  <c r="I275" i="8"/>
  <c r="I273" i="8"/>
  <c r="I259" i="8"/>
  <c r="I3" i="8"/>
  <c r="M43" i="4"/>
  <c r="F43" i="4"/>
  <c r="M42" i="4"/>
  <c r="M41" i="4"/>
  <c r="D162" i="5" a="1"/>
  <c r="D162" i="5" s="1"/>
  <c r="E162" i="5" a="1"/>
  <c r="E162" i="5" s="1"/>
  <c r="T162" i="5" s="1"/>
  <c r="F162" i="5" a="1"/>
  <c r="F162" i="5" s="1"/>
  <c r="G162" i="5" a="1"/>
  <c r="G162" i="5" s="1"/>
  <c r="M162" i="5"/>
  <c r="Q162" i="5"/>
  <c r="S162" i="5"/>
  <c r="Y162" i="5"/>
  <c r="D68" i="5" a="1"/>
  <c r="D68" i="5" s="1"/>
  <c r="E68" i="5" a="1"/>
  <c r="E68" i="5" s="1"/>
  <c r="T68" i="5" s="1"/>
  <c r="F68" i="5" a="1"/>
  <c r="F68" i="5" s="1"/>
  <c r="G68" i="5" a="1"/>
  <c r="G68" i="5" s="1"/>
  <c r="M68" i="5"/>
  <c r="Q68" i="5"/>
  <c r="S68" i="5"/>
  <c r="Y68" i="5"/>
  <c r="P108" i="8"/>
  <c r="AM108" i="8"/>
  <c r="O108" i="8" a="1"/>
  <c r="O108" i="8" s="1"/>
  <c r="L108" i="8" a="1"/>
  <c r="L108" i="8" s="1"/>
  <c r="K108" i="8" a="1"/>
  <c r="K108" i="8" s="1"/>
  <c r="J108" i="8" a="1"/>
  <c r="J108" i="8" s="1"/>
  <c r="D108" i="8" a="1"/>
  <c r="D108" i="8" s="1"/>
  <c r="C108" i="8" a="1"/>
  <c r="C108" i="8" s="1"/>
  <c r="B108" i="8" a="1"/>
  <c r="B108" i="8" s="1"/>
  <c r="AS250" i="8" l="1"/>
  <c r="AQ250" i="8"/>
  <c r="AN244" i="8"/>
  <c r="U168" i="5"/>
  <c r="AD168" i="5" s="1"/>
  <c r="AI168" i="5"/>
  <c r="N168" i="5"/>
  <c r="V168" i="5"/>
  <c r="U76" i="5"/>
  <c r="AD76" i="5" s="1"/>
  <c r="AN106" i="8"/>
  <c r="AK106" i="8"/>
  <c r="G106" i="8" s="1"/>
  <c r="AJ106" i="8"/>
  <c r="F106" i="8" s="1"/>
  <c r="AI106" i="8"/>
  <c r="AG106" i="8"/>
  <c r="H106" i="8" s="1"/>
  <c r="M106" i="8"/>
  <c r="Q106" i="8" s="1"/>
  <c r="N106" i="8"/>
  <c r="R106" i="8" s="1"/>
  <c r="N76" i="5"/>
  <c r="AN146" i="8"/>
  <c r="AK146" i="8"/>
  <c r="G146" i="8" s="1"/>
  <c r="AJ146" i="8"/>
  <c r="F146" i="8" s="1"/>
  <c r="AI146" i="8"/>
  <c r="AG146" i="8"/>
  <c r="H146" i="8" s="1"/>
  <c r="M146" i="8"/>
  <c r="Q146" i="8" s="1"/>
  <c r="N146" i="8"/>
  <c r="R146" i="8" s="1"/>
  <c r="U305" i="5"/>
  <c r="AD305" i="5" s="1"/>
  <c r="N305" i="5"/>
  <c r="AS242" i="8"/>
  <c r="AP242" i="8"/>
  <c r="AQ242" i="8" s="1"/>
  <c r="AP243" i="8"/>
  <c r="N228" i="5"/>
  <c r="U228" i="5"/>
  <c r="AD228" i="5" s="1"/>
  <c r="U292" i="5"/>
  <c r="AD292" i="5" s="1"/>
  <c r="AN114" i="8"/>
  <c r="AK114" i="8"/>
  <c r="G114" i="8" s="1"/>
  <c r="AJ114" i="8"/>
  <c r="F114" i="8" s="1"/>
  <c r="AI114" i="8"/>
  <c r="AG114" i="8"/>
  <c r="H114" i="8" s="1"/>
  <c r="M114" i="8"/>
  <c r="Q114" i="8" s="1"/>
  <c r="N114" i="8"/>
  <c r="R114" i="8" s="1"/>
  <c r="AI292" i="5"/>
  <c r="N292" i="5"/>
  <c r="V292" i="5"/>
  <c r="U54" i="5"/>
  <c r="AD54" i="5" s="1"/>
  <c r="AI54" i="5"/>
  <c r="N54" i="5"/>
  <c r="V54" i="5"/>
  <c r="M132" i="8"/>
  <c r="Q132" i="8" s="1"/>
  <c r="N132" i="8"/>
  <c r="R132" i="8" s="1"/>
  <c r="AN132" i="8"/>
  <c r="AK132" i="8"/>
  <c r="G132" i="8" s="1"/>
  <c r="AJ132" i="8"/>
  <c r="F132" i="8" s="1"/>
  <c r="AI132" i="8"/>
  <c r="AG132" i="8"/>
  <c r="H132" i="8" s="1"/>
  <c r="I44" i="4"/>
  <c r="M32" i="4"/>
  <c r="I32" i="4"/>
  <c r="M44" i="4"/>
  <c r="I45" i="4"/>
  <c r="AN70" i="8"/>
  <c r="AK70" i="8"/>
  <c r="G70" i="8" s="1"/>
  <c r="AJ70" i="8"/>
  <c r="F70" i="8" s="1"/>
  <c r="AI70" i="8"/>
  <c r="AG70" i="8"/>
  <c r="H70" i="8" s="1"/>
  <c r="M70" i="8"/>
  <c r="Q70" i="8" s="1"/>
  <c r="N70" i="8"/>
  <c r="R70" i="8" s="1"/>
  <c r="AN241" i="8"/>
  <c r="AN240" i="8"/>
  <c r="E43" i="4"/>
  <c r="AB86" i="8" s="1"/>
  <c r="Z86" i="8" s="1"/>
  <c r="U162" i="5"/>
  <c r="AD162" i="5" s="1"/>
  <c r="N162" i="5"/>
  <c r="U68" i="5"/>
  <c r="AD68" i="5" s="1"/>
  <c r="N68" i="5"/>
  <c r="AN108" i="8"/>
  <c r="AK108" i="8"/>
  <c r="G108" i="8" s="1"/>
  <c r="AJ108" i="8"/>
  <c r="F108" i="8" s="1"/>
  <c r="AI108" i="8"/>
  <c r="AG108" i="8"/>
  <c r="H108" i="8" s="1"/>
  <c r="AE108" i="8"/>
  <c r="E108" i="8" s="1"/>
  <c r="M108" i="8"/>
  <c r="Q108" i="8" s="1"/>
  <c r="N108" i="8"/>
  <c r="R108" i="8" s="1"/>
  <c r="AM514" i="8"/>
  <c r="O514" i="8" a="1"/>
  <c r="O514" i="8" s="1"/>
  <c r="L514" i="8" a="1"/>
  <c r="L514" i="8" s="1"/>
  <c r="K514" i="8" a="1"/>
  <c r="K514" i="8" s="1"/>
  <c r="J514" i="8" a="1"/>
  <c r="J514" i="8" s="1"/>
  <c r="D514" i="8" a="1"/>
  <c r="D514" i="8" s="1"/>
  <c r="C514" i="8" a="1"/>
  <c r="C514" i="8" s="1"/>
  <c r="B514" i="8" a="1"/>
  <c r="B514" i="8" s="1"/>
  <c r="AM513" i="8"/>
  <c r="O513" i="8" a="1"/>
  <c r="O513" i="8" s="1"/>
  <c r="L513" i="8" a="1"/>
  <c r="L513" i="8" s="1"/>
  <c r="K513" i="8" a="1"/>
  <c r="K513" i="8" s="1"/>
  <c r="J513" i="8" a="1"/>
  <c r="J513" i="8" s="1"/>
  <c r="D513" i="8" a="1"/>
  <c r="D513" i="8" s="1"/>
  <c r="AN513" i="8" s="1"/>
  <c r="C513" i="8" a="1"/>
  <c r="C513" i="8" s="1"/>
  <c r="B513" i="8" a="1"/>
  <c r="B513" i="8" s="1"/>
  <c r="AM512" i="8"/>
  <c r="O512" i="8" a="1"/>
  <c r="O512" i="8" s="1"/>
  <c r="L512" i="8" a="1"/>
  <c r="L512" i="8" s="1"/>
  <c r="K512" i="8" a="1"/>
  <c r="K512" i="8" s="1"/>
  <c r="J512" i="8" a="1"/>
  <c r="J512" i="8" s="1"/>
  <c r="D512" i="8" a="1"/>
  <c r="D512" i="8" s="1"/>
  <c r="C512" i="8" a="1"/>
  <c r="C512" i="8" s="1"/>
  <c r="B512" i="8" a="1"/>
  <c r="B512" i="8" s="1"/>
  <c r="AM511" i="8"/>
  <c r="O511" i="8" a="1"/>
  <c r="O511" i="8" s="1"/>
  <c r="L511" i="8" a="1"/>
  <c r="L511" i="8" s="1"/>
  <c r="K511" i="8" a="1"/>
  <c r="K511" i="8" s="1"/>
  <c r="J511" i="8" a="1"/>
  <c r="J511" i="8" s="1"/>
  <c r="D511" i="8" a="1"/>
  <c r="D511" i="8" s="1"/>
  <c r="C511" i="8" a="1"/>
  <c r="C511" i="8" s="1"/>
  <c r="B511" i="8" a="1"/>
  <c r="B511" i="8" s="1"/>
  <c r="P173" i="8"/>
  <c r="AM173" i="8"/>
  <c r="O173" i="8" a="1"/>
  <c r="O173" i="8" s="1"/>
  <c r="L173" i="8" a="1"/>
  <c r="L173" i="8" s="1"/>
  <c r="K173" i="8" a="1"/>
  <c r="K173" i="8" s="1"/>
  <c r="J173" i="8" a="1"/>
  <c r="J173" i="8" s="1"/>
  <c r="D173" i="8" a="1"/>
  <c r="D173" i="8" s="1"/>
  <c r="C173" i="8" a="1"/>
  <c r="C173" i="8" s="1"/>
  <c r="B173" i="8" a="1"/>
  <c r="B173" i="8" s="1"/>
  <c r="AC148" i="8"/>
  <c r="Z148" i="8"/>
  <c r="M40" i="4"/>
  <c r="M39" i="4"/>
  <c r="D82" i="5" a="1"/>
  <c r="D82" i="5" s="1"/>
  <c r="E82" i="5" a="1"/>
  <c r="E82" i="5" s="1"/>
  <c r="T82" i="5" s="1"/>
  <c r="F82" i="5" a="1"/>
  <c r="F82" i="5" s="1"/>
  <c r="G82" i="5" a="1"/>
  <c r="G82" i="5" s="1"/>
  <c r="S82" i="5"/>
  <c r="Q82" i="5"/>
  <c r="Y82" i="5"/>
  <c r="P104" i="8"/>
  <c r="AM104" i="8"/>
  <c r="AE104" i="8"/>
  <c r="E104" i="8" s="1"/>
  <c r="O104" i="8" a="1"/>
  <c r="O104" i="8" s="1"/>
  <c r="L104" i="8" a="1"/>
  <c r="L104" i="8" s="1"/>
  <c r="K104" i="8" a="1"/>
  <c r="K104" i="8" s="1"/>
  <c r="J104" i="8" a="1"/>
  <c r="J104" i="8" s="1"/>
  <c r="D104" i="8" a="1"/>
  <c r="D104" i="8" s="1"/>
  <c r="C104" i="8" a="1"/>
  <c r="C104" i="8" s="1"/>
  <c r="B104" i="8" a="1"/>
  <c r="B104" i="8" s="1"/>
  <c r="B193" i="8" a="1"/>
  <c r="B193" i="8" s="1"/>
  <c r="C193" i="8" a="1"/>
  <c r="C193" i="8" s="1"/>
  <c r="D193" i="8" a="1"/>
  <c r="D193" i="8" s="1"/>
  <c r="J193" i="8" a="1"/>
  <c r="J193" i="8" s="1"/>
  <c r="K193" i="8" a="1"/>
  <c r="K193" i="8" s="1"/>
  <c r="L193" i="8" a="1"/>
  <c r="L193" i="8" s="1"/>
  <c r="O193" i="8" a="1"/>
  <c r="O193" i="8" s="1"/>
  <c r="P193" i="8"/>
  <c r="AM193" i="8"/>
  <c r="AQ193" i="8" a="1"/>
  <c r="AQ193" i="8" s="1"/>
  <c r="AU193" i="8"/>
  <c r="D146" i="5" a="1"/>
  <c r="D146" i="5" s="1"/>
  <c r="E146" i="5" a="1"/>
  <c r="E146" i="5" s="1"/>
  <c r="T146" i="5" s="1"/>
  <c r="F146" i="5" a="1"/>
  <c r="F146" i="5" s="1"/>
  <c r="G146" i="5" a="1"/>
  <c r="G146" i="5" s="1"/>
  <c r="M146" i="5"/>
  <c r="Q146" i="5"/>
  <c r="S146" i="5"/>
  <c r="W146" i="5"/>
  <c r="Y146" i="5"/>
  <c r="D91" i="5" a="1"/>
  <c r="D91" i="5" s="1"/>
  <c r="E91" i="5" a="1"/>
  <c r="E91" i="5" s="1"/>
  <c r="T91" i="5" s="1"/>
  <c r="F91" i="5" a="1"/>
  <c r="F91" i="5" s="1"/>
  <c r="G91" i="5" a="1"/>
  <c r="G91" i="5" s="1"/>
  <c r="M91" i="5"/>
  <c r="Q91" i="5"/>
  <c r="S91" i="5"/>
  <c r="Y91" i="5"/>
  <c r="AD98" i="8"/>
  <c r="P98" i="8"/>
  <c r="AM98" i="8"/>
  <c r="AE98" i="8"/>
  <c r="E98" i="8" s="1"/>
  <c r="O98" i="8" a="1"/>
  <c r="O98" i="8" s="1"/>
  <c r="L98" i="8" a="1"/>
  <c r="L98" i="8" s="1"/>
  <c r="K98" i="8" a="1"/>
  <c r="K98" i="8" s="1"/>
  <c r="J98" i="8" a="1"/>
  <c r="J98" i="8" s="1"/>
  <c r="D98" i="8" a="1"/>
  <c r="D98" i="8" s="1"/>
  <c r="C98" i="8" a="1"/>
  <c r="C98" i="8" s="1"/>
  <c r="B98" i="8" a="1"/>
  <c r="B98" i="8" s="1"/>
  <c r="AD45" i="8"/>
  <c r="Y57" i="5"/>
  <c r="S57" i="5"/>
  <c r="Q57" i="5"/>
  <c r="M57" i="5"/>
  <c r="G57" i="5" a="1"/>
  <c r="G57" i="5" s="1"/>
  <c r="F57" i="5" a="1"/>
  <c r="F57" i="5" s="1"/>
  <c r="E57" i="5" a="1"/>
  <c r="E57" i="5" s="1"/>
  <c r="T57" i="5" s="1"/>
  <c r="D57" i="5" a="1"/>
  <c r="D57" i="5" s="1"/>
  <c r="AD77" i="8"/>
  <c r="P77" i="8"/>
  <c r="AM77" i="8"/>
  <c r="O77" i="8" a="1"/>
  <c r="O77" i="8" s="1"/>
  <c r="L77" i="8" a="1"/>
  <c r="L77" i="8" s="1"/>
  <c r="K77" i="8" a="1"/>
  <c r="K77" i="8" s="1"/>
  <c r="J77" i="8" a="1"/>
  <c r="J77" i="8" s="1"/>
  <c r="D77" i="8" a="1"/>
  <c r="D77" i="8" s="1"/>
  <c r="C77" i="8" a="1"/>
  <c r="C77" i="8" s="1"/>
  <c r="B77" i="8" a="1"/>
  <c r="B77" i="8" s="1"/>
  <c r="M31" i="4"/>
  <c r="J38" i="4"/>
  <c r="H38" i="4"/>
  <c r="AM510" i="8"/>
  <c r="O510" i="8" a="1"/>
  <c r="O510" i="8" s="1"/>
  <c r="L510" i="8" a="1"/>
  <c r="L510" i="8" s="1"/>
  <c r="K510" i="8" a="1"/>
  <c r="K510" i="8" s="1"/>
  <c r="J510" i="8" a="1"/>
  <c r="J510" i="8" s="1"/>
  <c r="D510" i="8" a="1"/>
  <c r="D510" i="8" s="1"/>
  <c r="C510" i="8" a="1"/>
  <c r="C510" i="8" s="1"/>
  <c r="B510" i="8" a="1"/>
  <c r="B510" i="8" s="1"/>
  <c r="AM509" i="8"/>
  <c r="O509" i="8" a="1"/>
  <c r="O509" i="8" s="1"/>
  <c r="L509" i="8" a="1"/>
  <c r="L509" i="8" s="1"/>
  <c r="K509" i="8" a="1"/>
  <c r="K509" i="8" s="1"/>
  <c r="J509" i="8" a="1"/>
  <c r="J509" i="8" s="1"/>
  <c r="D509" i="8" a="1"/>
  <c r="D509" i="8" s="1"/>
  <c r="C509" i="8" a="1"/>
  <c r="C509" i="8" s="1"/>
  <c r="B509" i="8" a="1"/>
  <c r="B509" i="8" s="1"/>
  <c r="AM508" i="8"/>
  <c r="O508" i="8" a="1"/>
  <c r="O508" i="8" s="1"/>
  <c r="L508" i="8" a="1"/>
  <c r="L508" i="8" s="1"/>
  <c r="K508" i="8" a="1"/>
  <c r="K508" i="8" s="1"/>
  <c r="J508" i="8" a="1"/>
  <c r="J508" i="8" s="1"/>
  <c r="D508" i="8" a="1"/>
  <c r="D508" i="8" s="1"/>
  <c r="C508" i="8" a="1"/>
  <c r="C508" i="8" s="1"/>
  <c r="B508" i="8" a="1"/>
  <c r="B508" i="8" s="1"/>
  <c r="AM507" i="8"/>
  <c r="O507" i="8" a="1"/>
  <c r="O507" i="8" s="1"/>
  <c r="L507" i="8" a="1"/>
  <c r="L507" i="8" s="1"/>
  <c r="K507" i="8" a="1"/>
  <c r="K507" i="8" s="1"/>
  <c r="J507" i="8" a="1"/>
  <c r="J507" i="8" s="1"/>
  <c r="D507" i="8" a="1"/>
  <c r="D507" i="8" s="1"/>
  <c r="C507" i="8" a="1"/>
  <c r="C507" i="8" s="1"/>
  <c r="B507" i="8" a="1"/>
  <c r="B507" i="8" s="1"/>
  <c r="AM506" i="8"/>
  <c r="O506" i="8" a="1"/>
  <c r="O506" i="8" s="1"/>
  <c r="L506" i="8" a="1"/>
  <c r="L506" i="8" s="1"/>
  <c r="K506" i="8" a="1"/>
  <c r="K506" i="8" s="1"/>
  <c r="J506" i="8" a="1"/>
  <c r="J506" i="8" s="1"/>
  <c r="D506" i="8" a="1"/>
  <c r="D506" i="8" s="1"/>
  <c r="AI506" i="8" s="1"/>
  <c r="C506" i="8" a="1"/>
  <c r="C506" i="8" s="1"/>
  <c r="B506" i="8" a="1"/>
  <c r="B506" i="8" s="1"/>
  <c r="AM505" i="8"/>
  <c r="O505" i="8" a="1"/>
  <c r="O505" i="8" s="1"/>
  <c r="L505" i="8" a="1"/>
  <c r="L505" i="8" s="1"/>
  <c r="K505" i="8" a="1"/>
  <c r="K505" i="8" s="1"/>
  <c r="J505" i="8" a="1"/>
  <c r="J505" i="8" s="1"/>
  <c r="D505" i="8" a="1"/>
  <c r="D505" i="8" s="1"/>
  <c r="C505" i="8" a="1"/>
  <c r="C505" i="8" s="1"/>
  <c r="B505" i="8" a="1"/>
  <c r="B505" i="8" s="1"/>
  <c r="AR239" i="8"/>
  <c r="C239" i="8" a="1"/>
  <c r="C239" i="8" s="1"/>
  <c r="D239" i="8" a="1"/>
  <c r="D239" i="8" s="1"/>
  <c r="AP239" i="8" s="1"/>
  <c r="J36" i="4"/>
  <c r="I36" i="4"/>
  <c r="H36" i="4"/>
  <c r="H57" i="4" s="1"/>
  <c r="AC130" i="8"/>
  <c r="Y58" i="5"/>
  <c r="S58" i="5"/>
  <c r="Q58" i="5"/>
  <c r="M58" i="5"/>
  <c r="G58" i="5" a="1"/>
  <c r="G58" i="5" s="1"/>
  <c r="F58" i="5" a="1"/>
  <c r="F58" i="5" s="1"/>
  <c r="E58" i="5" a="1"/>
  <c r="E58" i="5" s="1"/>
  <c r="T58" i="5" s="1"/>
  <c r="D58" i="5" a="1"/>
  <c r="D58" i="5" s="1"/>
  <c r="P110" i="8"/>
  <c r="AD110" i="8"/>
  <c r="AM110" i="8"/>
  <c r="O110" i="8" a="1"/>
  <c r="O110" i="8" s="1"/>
  <c r="L110" i="8" a="1"/>
  <c r="L110" i="8" s="1"/>
  <c r="K110" i="8" a="1"/>
  <c r="K110" i="8" s="1"/>
  <c r="J110" i="8" a="1"/>
  <c r="J110" i="8" s="1"/>
  <c r="D110" i="8" a="1"/>
  <c r="D110" i="8" s="1"/>
  <c r="C110" i="8" a="1"/>
  <c r="C110" i="8" s="1"/>
  <c r="B110" i="8" a="1"/>
  <c r="B110" i="8" s="1"/>
  <c r="F219" i="5" a="1"/>
  <c r="F219" i="5" s="1"/>
  <c r="G219" i="5" a="1"/>
  <c r="G219" i="5" s="1"/>
  <c r="D219" i="5" a="1"/>
  <c r="D219" i="5" s="1"/>
  <c r="E219" i="5" a="1"/>
  <c r="E219" i="5" s="1"/>
  <c r="T219" i="5" s="1"/>
  <c r="M219" i="5"/>
  <c r="Q219" i="5"/>
  <c r="S219" i="5"/>
  <c r="Y219" i="5"/>
  <c r="P102" i="8"/>
  <c r="AD102" i="8"/>
  <c r="AM102" i="8"/>
  <c r="O102" i="8" a="1"/>
  <c r="O102" i="8" s="1"/>
  <c r="L102" i="8" a="1"/>
  <c r="L102" i="8" s="1"/>
  <c r="K102" i="8" a="1"/>
  <c r="K102" i="8" s="1"/>
  <c r="J102" i="8" a="1"/>
  <c r="J102" i="8" s="1"/>
  <c r="D102" i="8" a="1"/>
  <c r="D102" i="8" s="1"/>
  <c r="C102" i="8" a="1"/>
  <c r="C102" i="8" s="1"/>
  <c r="B102" i="8" a="1"/>
  <c r="B102" i="8" s="1"/>
  <c r="AR238" i="8"/>
  <c r="C238" i="8" a="1"/>
  <c r="C238" i="8" s="1"/>
  <c r="D238" i="8" a="1"/>
  <c r="D238" i="8" s="1"/>
  <c r="AP238" i="8" s="1"/>
  <c r="Y214" i="5"/>
  <c r="W214" i="5"/>
  <c r="S214" i="5"/>
  <c r="Q214" i="5"/>
  <c r="M214" i="5"/>
  <c r="G214" i="5" a="1"/>
  <c r="G214" i="5" s="1"/>
  <c r="F214" i="5" a="1"/>
  <c r="F214" i="5" s="1"/>
  <c r="E214" i="5" a="1"/>
  <c r="E214" i="5" s="1"/>
  <c r="T214" i="5" s="1"/>
  <c r="D214" i="5" a="1"/>
  <c r="D214" i="5" s="1"/>
  <c r="P109" i="8"/>
  <c r="AM109" i="8"/>
  <c r="O109" i="8" a="1"/>
  <c r="O109" i="8" s="1"/>
  <c r="L109" i="8" a="1"/>
  <c r="L109" i="8" s="1"/>
  <c r="K109" i="8" a="1"/>
  <c r="K109" i="8" s="1"/>
  <c r="J109" i="8" a="1"/>
  <c r="J109" i="8" s="1"/>
  <c r="D109" i="8" a="1"/>
  <c r="D109" i="8" s="1"/>
  <c r="C109" i="8" a="1"/>
  <c r="C109" i="8" s="1"/>
  <c r="B109" i="8" a="1"/>
  <c r="B109" i="8" s="1"/>
  <c r="C237" i="8" a="1"/>
  <c r="C237" i="8" s="1"/>
  <c r="D237" i="8" a="1"/>
  <c r="D237" i="8" s="1"/>
  <c r="AR237" i="8"/>
  <c r="AR236" i="8"/>
  <c r="K148" i="5"/>
  <c r="S279" i="5"/>
  <c r="AO236" i="8" s="1"/>
  <c r="M279" i="5"/>
  <c r="G279" i="5" a="1"/>
  <c r="G279" i="5" s="1"/>
  <c r="F279" i="5" a="1"/>
  <c r="F279" i="5" s="1"/>
  <c r="E279" i="5" a="1"/>
  <c r="E279" i="5" s="1"/>
  <c r="D279" i="5" a="1"/>
  <c r="D279" i="5" s="1"/>
  <c r="C236" i="8" a="1"/>
  <c r="C236" i="8" s="1"/>
  <c r="D236" i="8" a="1"/>
  <c r="D236" i="8" s="1"/>
  <c r="AN236" i="8" s="1"/>
  <c r="P125" i="8"/>
  <c r="AM125" i="8"/>
  <c r="O125" i="8" a="1"/>
  <c r="O125" i="8" s="1"/>
  <c r="L125" i="8" a="1"/>
  <c r="L125" i="8" s="1"/>
  <c r="K125" i="8" a="1"/>
  <c r="K125" i="8" s="1"/>
  <c r="J125" i="8" a="1"/>
  <c r="J125" i="8" s="1"/>
  <c r="D125" i="8" a="1"/>
  <c r="D125" i="8" s="1"/>
  <c r="C125" i="8" a="1"/>
  <c r="C125" i="8" s="1"/>
  <c r="B125" i="8" a="1"/>
  <c r="B125" i="8" s="1"/>
  <c r="S290" i="5"/>
  <c r="AO240" i="8" s="1"/>
  <c r="AQ240" i="8" s="1"/>
  <c r="M290" i="5"/>
  <c r="G290" i="5" a="1"/>
  <c r="G290" i="5" s="1"/>
  <c r="F290" i="5" a="1"/>
  <c r="F290" i="5" s="1"/>
  <c r="E290" i="5" a="1"/>
  <c r="E290" i="5" s="1"/>
  <c r="D290" i="5" a="1"/>
  <c r="D290" i="5" s="1"/>
  <c r="P99" i="8"/>
  <c r="M30" i="4"/>
  <c r="M29" i="4"/>
  <c r="AA51" i="8"/>
  <c r="AA152" i="8"/>
  <c r="J28" i="4"/>
  <c r="I28" i="4"/>
  <c r="H28" i="4"/>
  <c r="M27" i="4"/>
  <c r="AR235" i="8"/>
  <c r="C234" i="8" a="1"/>
  <c r="C234" i="8" s="1"/>
  <c r="D234" i="8" a="1"/>
  <c r="D234" i="8" s="1"/>
  <c r="C235" i="8" a="1"/>
  <c r="C235" i="8" s="1"/>
  <c r="D235" i="8" a="1"/>
  <c r="D235" i="8" s="1"/>
  <c r="AP235" i="8" s="1"/>
  <c r="AT250" i="8" l="1"/>
  <c r="I130" i="8"/>
  <c r="AD130" i="8"/>
  <c r="AB168" i="5"/>
  <c r="AT242" i="8"/>
  <c r="AB292" i="5"/>
  <c r="Y292" i="5"/>
  <c r="AB54" i="5"/>
  <c r="M36" i="4"/>
  <c r="I38" i="4"/>
  <c r="I148" i="8"/>
  <c r="AD148" i="8"/>
  <c r="AC86" i="8"/>
  <c r="AS240" i="8"/>
  <c r="AT240" i="8" s="1"/>
  <c r="M38" i="4"/>
  <c r="U58" i="5"/>
  <c r="AD58" i="5" s="1"/>
  <c r="U290" i="5"/>
  <c r="AD290" i="5" s="1"/>
  <c r="AE511" i="8"/>
  <c r="E511" i="8" s="1"/>
  <c r="AN511" i="8"/>
  <c r="AI511" i="8"/>
  <c r="N512" i="8"/>
  <c r="R512" i="8" s="1"/>
  <c r="M512" i="8"/>
  <c r="Q512" i="8" s="1"/>
  <c r="N513" i="8"/>
  <c r="R513" i="8" s="1"/>
  <c r="M513" i="8"/>
  <c r="Q513" i="8" s="1"/>
  <c r="N511" i="8"/>
  <c r="R511" i="8" s="1"/>
  <c r="M511" i="8"/>
  <c r="Q511" i="8" s="1"/>
  <c r="AN514" i="8"/>
  <c r="AK514" i="8"/>
  <c r="AJ514" i="8"/>
  <c r="AI514" i="8"/>
  <c r="AG514" i="8"/>
  <c r="AE514" i="8"/>
  <c r="E514" i="8" s="1"/>
  <c r="M514" i="8"/>
  <c r="Q514" i="8" s="1"/>
  <c r="N514" i="8"/>
  <c r="R514" i="8" s="1"/>
  <c r="AN512" i="8"/>
  <c r="AK512" i="8"/>
  <c r="AJ512" i="8"/>
  <c r="AI512" i="8"/>
  <c r="AG512" i="8"/>
  <c r="AE512" i="8"/>
  <c r="E512" i="8" s="1"/>
  <c r="AG511" i="8"/>
  <c r="AJ511" i="8"/>
  <c r="AK511" i="8"/>
  <c r="AE513" i="8"/>
  <c r="E513" i="8" s="1"/>
  <c r="AG513" i="8"/>
  <c r="AI513" i="8"/>
  <c r="AJ513" i="8"/>
  <c r="AK513" i="8"/>
  <c r="AN173" i="8"/>
  <c r="AK173" i="8"/>
  <c r="G173" i="8" s="1"/>
  <c r="AJ173" i="8"/>
  <c r="F173" i="8" s="1"/>
  <c r="AI173" i="8"/>
  <c r="AG173" i="8"/>
  <c r="H173" i="8" s="1"/>
  <c r="AE173" i="8"/>
  <c r="E173" i="8" s="1"/>
  <c r="M173" i="8"/>
  <c r="Q173" i="8" s="1"/>
  <c r="N173" i="8"/>
  <c r="R173" i="8" s="1"/>
  <c r="U82" i="5"/>
  <c r="AI82" i="5"/>
  <c r="V82" i="5"/>
  <c r="N82" i="5"/>
  <c r="M82" i="5"/>
  <c r="AN104" i="8"/>
  <c r="AK104" i="8"/>
  <c r="G104" i="8" s="1"/>
  <c r="AJ104" i="8"/>
  <c r="F104" i="8" s="1"/>
  <c r="AI104" i="8"/>
  <c r="AG104" i="8"/>
  <c r="H104" i="8" s="1"/>
  <c r="M104" i="8"/>
  <c r="Q104" i="8" s="1"/>
  <c r="N104" i="8"/>
  <c r="R104" i="8" s="1"/>
  <c r="AE193" i="8"/>
  <c r="E193" i="8" s="1"/>
  <c r="AG193" i="8"/>
  <c r="H193" i="8" s="1"/>
  <c r="AI193" i="8"/>
  <c r="AJ193" i="8"/>
  <c r="F193" i="8" s="1"/>
  <c r="AK193" i="8"/>
  <c r="G193" i="8" s="1"/>
  <c r="AN193" i="8"/>
  <c r="M193" i="8"/>
  <c r="Q193" i="8" s="1"/>
  <c r="N193" i="8"/>
  <c r="R193" i="8" s="1"/>
  <c r="U146" i="5"/>
  <c r="AD146" i="5" s="1"/>
  <c r="N146" i="5"/>
  <c r="U91" i="5"/>
  <c r="AD91" i="5" s="1"/>
  <c r="AI91" i="5"/>
  <c r="V91" i="5"/>
  <c r="N91" i="5"/>
  <c r="AN98" i="8"/>
  <c r="AK98" i="8"/>
  <c r="G98" i="8" s="1"/>
  <c r="AJ98" i="8"/>
  <c r="F98" i="8" s="1"/>
  <c r="AI98" i="8"/>
  <c r="AG98" i="8"/>
  <c r="H98" i="8" s="1"/>
  <c r="M98" i="8"/>
  <c r="Q98" i="8" s="1"/>
  <c r="N98" i="8"/>
  <c r="R98" i="8" s="1"/>
  <c r="U57" i="5"/>
  <c r="AD57" i="5" s="1"/>
  <c r="N57" i="5"/>
  <c r="AN77" i="8"/>
  <c r="AK77" i="8"/>
  <c r="G77" i="8" s="1"/>
  <c r="AJ77" i="8"/>
  <c r="F77" i="8" s="1"/>
  <c r="AI77" i="8"/>
  <c r="AG77" i="8"/>
  <c r="H77" i="8" s="1"/>
  <c r="AE77" i="8"/>
  <c r="E77" i="8" s="1"/>
  <c r="M77" i="8"/>
  <c r="Q77" i="8" s="1"/>
  <c r="N77" i="8"/>
  <c r="R77" i="8" s="1"/>
  <c r="M37" i="4"/>
  <c r="AE507" i="8"/>
  <c r="E507" i="8" s="1"/>
  <c r="AN507" i="8"/>
  <c r="AK507" i="8"/>
  <c r="AJ507" i="8"/>
  <c r="AG507" i="8"/>
  <c r="N507" i="8"/>
  <c r="R507" i="8" s="1"/>
  <c r="M507" i="8"/>
  <c r="Q507" i="8" s="1"/>
  <c r="N509" i="8"/>
  <c r="R509" i="8" s="1"/>
  <c r="M509" i="8"/>
  <c r="Q509" i="8" s="1"/>
  <c r="N508" i="8"/>
  <c r="R508" i="8" s="1"/>
  <c r="M508" i="8"/>
  <c r="Q508" i="8" s="1"/>
  <c r="AN510" i="8"/>
  <c r="AK510" i="8"/>
  <c r="AJ510" i="8"/>
  <c r="AI510" i="8"/>
  <c r="AG510" i="8"/>
  <c r="AE510" i="8"/>
  <c r="E510" i="8" s="1"/>
  <c r="AK505" i="8"/>
  <c r="AJ505" i="8"/>
  <c r="AI505" i="8"/>
  <c r="AG505" i="8"/>
  <c r="AE505" i="8"/>
  <c r="E505" i="8" s="1"/>
  <c r="AN505" i="8"/>
  <c r="AN509" i="8"/>
  <c r="AK509" i="8"/>
  <c r="AJ509" i="8"/>
  <c r="AI509" i="8"/>
  <c r="AG509" i="8"/>
  <c r="AE509" i="8"/>
  <c r="E509" i="8" s="1"/>
  <c r="M510" i="8"/>
  <c r="Q510" i="8" s="1"/>
  <c r="N510" i="8"/>
  <c r="R510" i="8" s="1"/>
  <c r="N505" i="8"/>
  <c r="R505" i="8" s="1"/>
  <c r="M505" i="8"/>
  <c r="Q505" i="8" s="1"/>
  <c r="N506" i="8"/>
  <c r="R506" i="8" s="1"/>
  <c r="M506" i="8"/>
  <c r="Q506" i="8" s="1"/>
  <c r="AN508" i="8"/>
  <c r="AK508" i="8"/>
  <c r="AJ508" i="8"/>
  <c r="AI508" i="8"/>
  <c r="AG508" i="8"/>
  <c r="AE508" i="8"/>
  <c r="E508" i="8" s="1"/>
  <c r="AJ506" i="8"/>
  <c r="AK506" i="8"/>
  <c r="AI507" i="8"/>
  <c r="AN506" i="8"/>
  <c r="AE506" i="8"/>
  <c r="E506" i="8" s="1"/>
  <c r="AG506" i="8"/>
  <c r="AN239" i="8"/>
  <c r="U279" i="5"/>
  <c r="AD279" i="5" s="1"/>
  <c r="N58" i="5"/>
  <c r="AN110" i="8"/>
  <c r="AK110" i="8"/>
  <c r="G110" i="8" s="1"/>
  <c r="AJ110" i="8"/>
  <c r="F110" i="8" s="1"/>
  <c r="AI110" i="8"/>
  <c r="AG110" i="8"/>
  <c r="H110" i="8" s="1"/>
  <c r="AE110" i="8"/>
  <c r="E110" i="8" s="1"/>
  <c r="M110" i="8"/>
  <c r="Q110" i="8" s="1"/>
  <c r="N110" i="8"/>
  <c r="R110" i="8" s="1"/>
  <c r="U219" i="5"/>
  <c r="AD219" i="5" s="1"/>
  <c r="V219" i="5"/>
  <c r="N219" i="5"/>
  <c r="AI219" i="5"/>
  <c r="AN102" i="8"/>
  <c r="AK102" i="8"/>
  <c r="G102" i="8" s="1"/>
  <c r="AJ102" i="8"/>
  <c r="F102" i="8" s="1"/>
  <c r="AI102" i="8"/>
  <c r="AG102" i="8"/>
  <c r="H102" i="8" s="1"/>
  <c r="AE102" i="8"/>
  <c r="E102" i="8" s="1"/>
  <c r="M102" i="8"/>
  <c r="Q102" i="8" s="1"/>
  <c r="N102" i="8"/>
  <c r="R102" i="8" s="1"/>
  <c r="AN238" i="8"/>
  <c r="N214" i="5"/>
  <c r="U214" i="5"/>
  <c r="AD214" i="5" s="1"/>
  <c r="AN109" i="8"/>
  <c r="AK109" i="8"/>
  <c r="G109" i="8" s="1"/>
  <c r="AJ109" i="8"/>
  <c r="F109" i="8" s="1"/>
  <c r="AI109" i="8"/>
  <c r="AG109" i="8"/>
  <c r="H109" i="8" s="1"/>
  <c r="AE109" i="8"/>
  <c r="E109" i="8" s="1"/>
  <c r="M109" i="8"/>
  <c r="Q109" i="8" s="1"/>
  <c r="N109" i="8"/>
  <c r="R109" i="8" s="1"/>
  <c r="AS236" i="8"/>
  <c r="AP237" i="8"/>
  <c r="AN237" i="8"/>
  <c r="AP236" i="8"/>
  <c r="AQ236" i="8" s="1"/>
  <c r="AI279" i="5"/>
  <c r="N279" i="5"/>
  <c r="V279" i="5"/>
  <c r="AN125" i="8"/>
  <c r="AK125" i="8"/>
  <c r="G125" i="8" s="1"/>
  <c r="AJ125" i="8"/>
  <c r="F125" i="8" s="1"/>
  <c r="AI125" i="8"/>
  <c r="AG125" i="8"/>
  <c r="H125" i="8" s="1"/>
  <c r="AE125" i="8"/>
  <c r="E125" i="8" s="1"/>
  <c r="M125" i="8"/>
  <c r="Q125" i="8" s="1"/>
  <c r="N125" i="8"/>
  <c r="R125" i="8" s="1"/>
  <c r="N290" i="5"/>
  <c r="M28" i="4"/>
  <c r="AN235" i="8"/>
  <c r="AM504" i="8"/>
  <c r="O504" i="8" a="1"/>
  <c r="O504" i="8" s="1"/>
  <c r="L504" i="8" a="1"/>
  <c r="L504" i="8" s="1"/>
  <c r="K504" i="8" a="1"/>
  <c r="K504" i="8" s="1"/>
  <c r="J504" i="8" a="1"/>
  <c r="J504" i="8" s="1"/>
  <c r="D504" i="8" a="1"/>
  <c r="D504" i="8" s="1"/>
  <c r="C504" i="8" a="1"/>
  <c r="C504" i="8" s="1"/>
  <c r="B504" i="8" a="1"/>
  <c r="B504" i="8" s="1"/>
  <c r="AR234" i="8"/>
  <c r="AP234" i="8"/>
  <c r="D15" i="5" a="1"/>
  <c r="D15" i="5" s="1"/>
  <c r="E15" i="5" a="1"/>
  <c r="E15" i="5" s="1"/>
  <c r="T15" i="5" s="1"/>
  <c r="F15" i="5" a="1"/>
  <c r="F15" i="5" s="1"/>
  <c r="G15" i="5" a="1"/>
  <c r="G15" i="5" s="1"/>
  <c r="M15" i="5"/>
  <c r="Q15" i="5"/>
  <c r="S15" i="5"/>
  <c r="Y15" i="5"/>
  <c r="AQ122" i="8" a="1"/>
  <c r="AQ122" i="8" s="1"/>
  <c r="AU122" i="8"/>
  <c r="AD122" i="8"/>
  <c r="P122" i="8"/>
  <c r="AM122" i="8"/>
  <c r="O122" i="8" a="1"/>
  <c r="O122" i="8" s="1"/>
  <c r="L122" i="8" a="1"/>
  <c r="L122" i="8" s="1"/>
  <c r="K122" i="8" a="1"/>
  <c r="K122" i="8" s="1"/>
  <c r="J122" i="8" a="1"/>
  <c r="J122" i="8" s="1"/>
  <c r="D122" i="8" a="1"/>
  <c r="D122" i="8" s="1"/>
  <c r="C122" i="8" a="1"/>
  <c r="C122" i="8" s="1"/>
  <c r="B122" i="8" a="1"/>
  <c r="B122" i="8" s="1"/>
  <c r="B38" i="8" a="1"/>
  <c r="B38" i="8" s="1"/>
  <c r="C38" i="8" a="1"/>
  <c r="C38" i="8" s="1"/>
  <c r="D38" i="8" a="1"/>
  <c r="D38" i="8" s="1"/>
  <c r="AN38" i="8" s="1"/>
  <c r="J38" i="8" a="1"/>
  <c r="J38" i="8" s="1"/>
  <c r="K38" i="8" a="1"/>
  <c r="K38" i="8" s="1"/>
  <c r="L38" i="8" a="1"/>
  <c r="L38" i="8" s="1"/>
  <c r="O38" i="8" a="1"/>
  <c r="O38" i="8" s="1"/>
  <c r="P38" i="8"/>
  <c r="AM38" i="8"/>
  <c r="AQ38" i="8" a="1"/>
  <c r="AQ38" i="8" s="1"/>
  <c r="C233" i="8" a="1"/>
  <c r="C233" i="8" s="1"/>
  <c r="D233" i="8" a="1"/>
  <c r="D233" i="8" s="1"/>
  <c r="D145" i="5" a="1"/>
  <c r="D145" i="5" s="1"/>
  <c r="E145" i="5" a="1"/>
  <c r="E145" i="5" s="1"/>
  <c r="T145" i="5" s="1"/>
  <c r="F145" i="5" a="1"/>
  <c r="F145" i="5" s="1"/>
  <c r="G145" i="5" a="1"/>
  <c r="G145" i="5" s="1"/>
  <c r="M145" i="5"/>
  <c r="Q145" i="5"/>
  <c r="S145" i="5"/>
  <c r="W145" i="5"/>
  <c r="Y145" i="5"/>
  <c r="B192" i="8" a="1"/>
  <c r="B192" i="8" s="1"/>
  <c r="C192" i="8" a="1"/>
  <c r="C192" i="8" s="1"/>
  <c r="D192" i="8" a="1"/>
  <c r="D192" i="8" s="1"/>
  <c r="J192" i="8" a="1"/>
  <c r="J192" i="8" s="1"/>
  <c r="K192" i="8" a="1"/>
  <c r="K192" i="8" s="1"/>
  <c r="L192" i="8" a="1"/>
  <c r="L192" i="8" s="1"/>
  <c r="O192" i="8" a="1"/>
  <c r="O192" i="8" s="1"/>
  <c r="P192" i="8"/>
  <c r="AM192" i="8"/>
  <c r="AQ192" i="8" a="1"/>
  <c r="AQ192" i="8" s="1"/>
  <c r="AU192" i="8"/>
  <c r="AR233" i="8"/>
  <c r="J26" i="4"/>
  <c r="I26" i="4"/>
  <c r="H26" i="4"/>
  <c r="H34" i="4" s="1"/>
  <c r="J15" i="4"/>
  <c r="I15" i="4"/>
  <c r="H15" i="4"/>
  <c r="J21" i="4"/>
  <c r="I21" i="4"/>
  <c r="F21" i="4" s="1"/>
  <c r="H21" i="4"/>
  <c r="H7" i="4"/>
  <c r="AR232" i="8"/>
  <c r="AR231" i="8"/>
  <c r="C232" i="8" a="1"/>
  <c r="C232" i="8" s="1"/>
  <c r="D232" i="8" a="1"/>
  <c r="D232" i="8" s="1"/>
  <c r="AP232" i="8" s="1"/>
  <c r="S281" i="5"/>
  <c r="AO238" i="8" s="1"/>
  <c r="AQ238" i="8" s="1"/>
  <c r="M281" i="5"/>
  <c r="G281" i="5" a="1"/>
  <c r="G281" i="5" s="1"/>
  <c r="F281" i="5" a="1"/>
  <c r="F281" i="5" s="1"/>
  <c r="E281" i="5" a="1"/>
  <c r="E281" i="5" s="1"/>
  <c r="D281" i="5" a="1"/>
  <c r="D281" i="5" s="1"/>
  <c r="Y230" i="5"/>
  <c r="Q230" i="5"/>
  <c r="S230" i="5"/>
  <c r="G230" i="5" a="1"/>
  <c r="G230" i="5" s="1"/>
  <c r="F230" i="5" a="1"/>
  <c r="F230" i="5" s="1"/>
  <c r="E230" i="5" a="1"/>
  <c r="E230" i="5" s="1"/>
  <c r="T230" i="5" s="1"/>
  <c r="D230" i="5" a="1"/>
  <c r="D230" i="5" s="1"/>
  <c r="P86" i="8"/>
  <c r="AM86" i="8"/>
  <c r="O86" i="8" a="1"/>
  <c r="O86" i="8" s="1"/>
  <c r="L86" i="8" a="1"/>
  <c r="L86" i="8" s="1"/>
  <c r="K86" i="8" a="1"/>
  <c r="K86" i="8" s="1"/>
  <c r="J86" i="8" a="1"/>
  <c r="J86" i="8" s="1"/>
  <c r="D86" i="8" a="1"/>
  <c r="D86" i="8" s="1"/>
  <c r="AJ86" i="8" s="1"/>
  <c r="F86" i="8" s="1"/>
  <c r="C86" i="8" a="1"/>
  <c r="C86" i="8" s="1"/>
  <c r="B86" i="8" a="1"/>
  <c r="B86" i="8" s="1"/>
  <c r="M20" i="4"/>
  <c r="C231" i="8" a="1"/>
  <c r="C231" i="8" s="1"/>
  <c r="D231" i="8" a="1"/>
  <c r="D231" i="8" s="1"/>
  <c r="AP231" i="8" s="1"/>
  <c r="G21" i="15"/>
  <c r="G26" i="15"/>
  <c r="G30" i="15"/>
  <c r="G34" i="15"/>
  <c r="G39" i="15"/>
  <c r="G43" i="15"/>
  <c r="G48" i="15"/>
  <c r="G52" i="15"/>
  <c r="G4" i="15"/>
  <c r="F9" i="15"/>
  <c r="G9" i="15" s="1"/>
  <c r="F13" i="15"/>
  <c r="F17" i="15"/>
  <c r="G17" i="15" s="1"/>
  <c r="G57" i="15" s="1"/>
  <c r="F21" i="15"/>
  <c r="F26" i="15"/>
  <c r="F30" i="15"/>
  <c r="F34" i="15"/>
  <c r="F39" i="15"/>
  <c r="F43" i="15"/>
  <c r="F48" i="15"/>
  <c r="F52" i="15"/>
  <c r="E9" i="15"/>
  <c r="G13" i="15" l="1"/>
  <c r="F57" i="15"/>
  <c r="I86" i="8"/>
  <c r="AD86" i="8"/>
  <c r="AD82" i="5"/>
  <c r="AB82" i="5"/>
  <c r="AB91" i="5"/>
  <c r="AB219" i="5"/>
  <c r="AS238" i="8"/>
  <c r="AT238" i="8" s="1"/>
  <c r="AT236" i="8"/>
  <c r="AB279" i="5"/>
  <c r="Y279" i="5"/>
  <c r="U281" i="5"/>
  <c r="AD281" i="5" s="1"/>
  <c r="AJ192" i="8"/>
  <c r="F192" i="8" s="1"/>
  <c r="AK192" i="8"/>
  <c r="G192" i="8" s="1"/>
  <c r="AN122" i="8"/>
  <c r="AJ122" i="8"/>
  <c r="F122" i="8" s="1"/>
  <c r="AK122" i="8"/>
  <c r="G122" i="8" s="1"/>
  <c r="M26" i="4"/>
  <c r="AN504" i="8"/>
  <c r="AK504" i="8"/>
  <c r="AJ504" i="8"/>
  <c r="AI504" i="8"/>
  <c r="AG504" i="8"/>
  <c r="AE504" i="8"/>
  <c r="E504" i="8" s="1"/>
  <c r="M504" i="8"/>
  <c r="Q504" i="8" s="1"/>
  <c r="N504" i="8"/>
  <c r="R504" i="8" s="1"/>
  <c r="AN234" i="8"/>
  <c r="U15" i="5"/>
  <c r="AD15" i="5" s="1"/>
  <c r="AI15" i="5"/>
  <c r="V15" i="5"/>
  <c r="N15" i="5"/>
  <c r="M122" i="8"/>
  <c r="Q122" i="8" s="1"/>
  <c r="N122" i="8"/>
  <c r="R122" i="8" s="1"/>
  <c r="AI122" i="8"/>
  <c r="AG122" i="8"/>
  <c r="H122" i="8" s="1"/>
  <c r="AE122" i="8"/>
  <c r="E122" i="8" s="1"/>
  <c r="AU38" i="8"/>
  <c r="AK38" i="8"/>
  <c r="G38" i="8" s="1"/>
  <c r="M38" i="8"/>
  <c r="Q38" i="8" s="1"/>
  <c r="N38" i="8"/>
  <c r="R38" i="8" s="1"/>
  <c r="AP233" i="8"/>
  <c r="AN233" i="8"/>
  <c r="U145" i="5"/>
  <c r="AD145" i="5" s="1"/>
  <c r="N145" i="5"/>
  <c r="M192" i="8"/>
  <c r="Q192" i="8" s="1"/>
  <c r="N192" i="8"/>
  <c r="R192" i="8" s="1"/>
  <c r="AE192" i="8"/>
  <c r="E192" i="8" s="1"/>
  <c r="AG192" i="8"/>
  <c r="H192" i="8" s="1"/>
  <c r="AI192" i="8"/>
  <c r="AN192" i="8"/>
  <c r="M21" i="4"/>
  <c r="AN232" i="8"/>
  <c r="N281" i="5"/>
  <c r="U230" i="5"/>
  <c r="M230" i="5"/>
  <c r="N230" i="5" s="1"/>
  <c r="AN86" i="8"/>
  <c r="AK86" i="8"/>
  <c r="G86" i="8" s="1"/>
  <c r="AI86" i="8"/>
  <c r="AG86" i="8"/>
  <c r="H86" i="8" s="1"/>
  <c r="AE86" i="8"/>
  <c r="E86" i="8" s="1"/>
  <c r="M86" i="8"/>
  <c r="Q86" i="8" s="1"/>
  <c r="N86" i="8"/>
  <c r="R86" i="8" s="1"/>
  <c r="E21" i="4"/>
  <c r="AN231" i="8"/>
  <c r="AB15" i="5" l="1"/>
  <c r="AD230" i="5"/>
  <c r="K196" i="5" l="1"/>
  <c r="F19" i="4"/>
  <c r="M19" i="4"/>
  <c r="M25" i="4"/>
  <c r="M34" i="4" s="1"/>
  <c r="L57" i="8" a="1"/>
  <c r="L57" i="8" s="1"/>
  <c r="L54" i="8" a="1"/>
  <c r="L54" i="8" s="1"/>
  <c r="L52" i="8" a="1"/>
  <c r="L52" i="8" s="1"/>
  <c r="L58" i="8" a="1"/>
  <c r="L58" i="8" s="1"/>
  <c r="L36" i="8" a="1"/>
  <c r="L36" i="8" s="1"/>
  <c r="L113" i="8" a="1"/>
  <c r="L113" i="8" s="1"/>
  <c r="L198" i="8" a="1"/>
  <c r="L198" i="8" s="1"/>
  <c r="L59" i="8" a="1"/>
  <c r="L59" i="8" s="1"/>
  <c r="L51" i="8" a="1"/>
  <c r="L51" i="8" s="1"/>
  <c r="L48" i="8" a="1"/>
  <c r="L48" i="8" s="1"/>
  <c r="L32" i="8" a="1"/>
  <c r="L32" i="8" s="1"/>
  <c r="L65" i="8" a="1"/>
  <c r="L65" i="8" s="1"/>
  <c r="L44" i="8" a="1"/>
  <c r="L44" i="8" s="1"/>
  <c r="L134" i="8" a="1"/>
  <c r="L134" i="8" s="1"/>
  <c r="L92" i="8" a="1"/>
  <c r="L92" i="8" s="1"/>
  <c r="L103" i="8" a="1"/>
  <c r="L103" i="8" s="1"/>
  <c r="L85" i="8" a="1"/>
  <c r="L85" i="8" s="1"/>
  <c r="L60" i="8" a="1"/>
  <c r="L60" i="8" s="1"/>
  <c r="L53" i="8" a="1"/>
  <c r="L53" i="8" s="1"/>
  <c r="L88" i="8" a="1"/>
  <c r="L88" i="8" s="1"/>
  <c r="L100" i="8" a="1"/>
  <c r="L100" i="8" s="1"/>
  <c r="L42" i="8" a="1"/>
  <c r="L42" i="8" s="1"/>
  <c r="L93" i="8" a="1"/>
  <c r="L93" i="8" s="1"/>
  <c r="L96" i="8" a="1"/>
  <c r="L96" i="8" s="1"/>
  <c r="L89" i="8" a="1"/>
  <c r="L89" i="8" s="1"/>
  <c r="L95" i="8" a="1"/>
  <c r="L95" i="8" s="1"/>
  <c r="L82" i="8" a="1"/>
  <c r="L82" i="8" s="1"/>
  <c r="L149" i="8" a="1"/>
  <c r="L149" i="8" s="1"/>
  <c r="L119" i="8" a="1"/>
  <c r="L119" i="8" s="1"/>
  <c r="L138" i="8" a="1"/>
  <c r="L138" i="8" s="1"/>
  <c r="L84" i="8" a="1"/>
  <c r="L84" i="8" s="1"/>
  <c r="L107" i="8" a="1"/>
  <c r="L107" i="8" s="1"/>
  <c r="L117" i="8" a="1"/>
  <c r="L117" i="8" s="1"/>
  <c r="L46" i="8" a="1"/>
  <c r="L46" i="8" s="1"/>
  <c r="L127" i="8" a="1"/>
  <c r="L127" i="8" s="1"/>
  <c r="L64" i="8" a="1"/>
  <c r="L64" i="8" s="1"/>
  <c r="L152" i="8" a="1"/>
  <c r="L152" i="8" s="1"/>
  <c r="L79" i="8" a="1"/>
  <c r="L79" i="8" s="1"/>
  <c r="L144" i="8" a="1"/>
  <c r="L144" i="8" s="1"/>
  <c r="L74" i="8" a="1"/>
  <c r="L74" i="8" s="1"/>
  <c r="L72" i="8" a="1"/>
  <c r="L72" i="8" s="1"/>
  <c r="L24" i="8" a="1"/>
  <c r="L24" i="8" s="1"/>
  <c r="L63" i="8" a="1"/>
  <c r="L63" i="8" s="1"/>
  <c r="L35" i="8" a="1"/>
  <c r="L35" i="8" s="1"/>
  <c r="L66" i="8" a="1"/>
  <c r="L66" i="8" s="1"/>
  <c r="L43" i="8" a="1"/>
  <c r="L43" i="8" s="1"/>
  <c r="L56" i="8" a="1"/>
  <c r="L56" i="8" s="1"/>
  <c r="L116" i="8" a="1"/>
  <c r="L116" i="8" s="1"/>
  <c r="L120" i="8" a="1"/>
  <c r="L120" i="8" s="1"/>
  <c r="L81" i="8" a="1"/>
  <c r="L81" i="8" s="1"/>
  <c r="L137" i="8" a="1"/>
  <c r="L137" i="8" s="1"/>
  <c r="L75" i="8" a="1"/>
  <c r="L75" i="8" s="1"/>
  <c r="L142" i="8" a="1"/>
  <c r="L142" i="8" s="1"/>
  <c r="L50" i="8" a="1"/>
  <c r="L50" i="8" s="1"/>
  <c r="L118" i="8" a="1"/>
  <c r="L118" i="8" s="1"/>
  <c r="L161" i="8" a="1"/>
  <c r="L161" i="8" s="1"/>
  <c r="L141" i="8" a="1"/>
  <c r="L141" i="8" s="1"/>
  <c r="L143" i="8" a="1"/>
  <c r="L143" i="8" s="1"/>
  <c r="L124" i="8" a="1"/>
  <c r="L124" i="8" s="1"/>
  <c r="L78" i="8" a="1"/>
  <c r="L78" i="8" s="1"/>
  <c r="L151" i="8" a="1"/>
  <c r="L151" i="8" s="1"/>
  <c r="L126" i="8" a="1"/>
  <c r="L126" i="8" s="1"/>
  <c r="L49" i="8" a="1"/>
  <c r="L49" i="8" s="1"/>
  <c r="L99" i="8" a="1"/>
  <c r="L99" i="8" s="1"/>
  <c r="L55" i="8" a="1"/>
  <c r="L55" i="8" s="1"/>
  <c r="L165" i="8" a="1"/>
  <c r="L165" i="8" s="1"/>
  <c r="L178" i="8" a="1"/>
  <c r="L178" i="8" s="1"/>
  <c r="L147" i="8" a="1"/>
  <c r="L147" i="8" s="1"/>
  <c r="L45" i="8" a="1"/>
  <c r="L45" i="8" s="1"/>
  <c r="L128" i="8" a="1"/>
  <c r="L128" i="8" s="1"/>
  <c r="L153" i="8" a="1"/>
  <c r="L153" i="8" s="1"/>
  <c r="L174" i="8" a="1"/>
  <c r="L174" i="8" s="1"/>
  <c r="L94" i="8" a="1"/>
  <c r="L94" i="8" s="1"/>
  <c r="L159" i="8" a="1"/>
  <c r="L159" i="8" s="1"/>
  <c r="L140" i="8" a="1"/>
  <c r="L140" i="8" s="1"/>
  <c r="L162" i="8" a="1"/>
  <c r="L162" i="8" s="1"/>
  <c r="L101" i="8" a="1"/>
  <c r="L101" i="8" s="1"/>
  <c r="L111" i="8" a="1"/>
  <c r="L111" i="8" s="1"/>
  <c r="L183" i="8" a="1"/>
  <c r="L183" i="8" s="1"/>
  <c r="L166" i="8" a="1"/>
  <c r="L166" i="8" s="1"/>
  <c r="L168" i="8" a="1"/>
  <c r="L168" i="8" s="1"/>
  <c r="L136" i="8" a="1"/>
  <c r="L136" i="8" s="1"/>
  <c r="L170" i="8" a="1"/>
  <c r="L170" i="8" s="1"/>
  <c r="L67" i="8" a="1"/>
  <c r="L67" i="8" s="1"/>
  <c r="L191" i="8" a="1"/>
  <c r="L191" i="8" s="1"/>
  <c r="L62" i="8" a="1"/>
  <c r="L62" i="8" s="1"/>
  <c r="L163" i="8" a="1"/>
  <c r="L163" i="8" s="1"/>
  <c r="L203" i="8" a="1"/>
  <c r="L203" i="8" s="1"/>
  <c r="L185" i="8" a="1"/>
  <c r="L185" i="8" s="1"/>
  <c r="L180" i="8" a="1"/>
  <c r="L180" i="8" s="1"/>
  <c r="L145" i="8" a="1"/>
  <c r="L145" i="8" s="1"/>
  <c r="L179" i="8" a="1"/>
  <c r="L179" i="8" s="1"/>
  <c r="L157" i="8" a="1"/>
  <c r="L157" i="8" s="1"/>
  <c r="L121" i="8" a="1"/>
  <c r="L121" i="8" s="1"/>
  <c r="L164" i="8" a="1"/>
  <c r="L164" i="8" s="1"/>
  <c r="L175" i="8" a="1"/>
  <c r="L175" i="8" s="1"/>
  <c r="L190" i="8" a="1"/>
  <c r="L190" i="8" s="1"/>
  <c r="L155" i="8" a="1"/>
  <c r="L155" i="8" s="1"/>
  <c r="L196" i="8" a="1"/>
  <c r="L196" i="8" s="1"/>
  <c r="L129" i="8" a="1"/>
  <c r="L129" i="8" s="1"/>
  <c r="L150" i="8" a="1"/>
  <c r="L150" i="8" s="1"/>
  <c r="L177" i="8" a="1"/>
  <c r="L177" i="8" s="1"/>
  <c r="L139" i="8" a="1"/>
  <c r="L139" i="8" s="1"/>
  <c r="L160" i="8" a="1"/>
  <c r="L160" i="8" s="1"/>
  <c r="L184" i="8" a="1"/>
  <c r="L184" i="8" s="1"/>
  <c r="L154" i="8" a="1"/>
  <c r="L154" i="8" s="1"/>
  <c r="L156" i="8" a="1"/>
  <c r="L156" i="8" s="1"/>
  <c r="L176" i="8" a="1"/>
  <c r="L176" i="8" s="1"/>
  <c r="L135" i="8" a="1"/>
  <c r="L135" i="8" s="1"/>
  <c r="L61" i="8" a="1"/>
  <c r="L61" i="8" s="1"/>
  <c r="L97" i="8" a="1"/>
  <c r="L97" i="8" s="1"/>
  <c r="L158" i="8" a="1"/>
  <c r="L158" i="8" s="1"/>
  <c r="L202" i="8" a="1"/>
  <c r="L202" i="8" s="1"/>
  <c r="L169" i="8" a="1"/>
  <c r="L169" i="8" s="1"/>
  <c r="L186" i="8" a="1"/>
  <c r="L186" i="8" s="1"/>
  <c r="L91" i="8" a="1"/>
  <c r="L91" i="8" s="1"/>
  <c r="L195" i="8" a="1"/>
  <c r="L195" i="8" s="1"/>
  <c r="L187" i="8" a="1"/>
  <c r="L187" i="8" s="1"/>
  <c r="L181" i="8" a="1"/>
  <c r="L181" i="8" s="1"/>
  <c r="L69" i="8" a="1"/>
  <c r="L69" i="8" s="1"/>
  <c r="L200" i="8" a="1"/>
  <c r="L200" i="8" s="1"/>
  <c r="L189" i="8" a="1"/>
  <c r="L189" i="8" s="1"/>
  <c r="L199" i="8" a="1"/>
  <c r="L199" i="8" s="1"/>
  <c r="L188" i="8" a="1"/>
  <c r="L188" i="8" s="1"/>
  <c r="L182" i="8" a="1"/>
  <c r="L182" i="8" s="1"/>
  <c r="L206" i="8" a="1"/>
  <c r="L206" i="8" s="1"/>
  <c r="L167" i="8" a="1"/>
  <c r="L167" i="8" s="1"/>
  <c r="L172" i="8" a="1"/>
  <c r="L172" i="8" s="1"/>
  <c r="L197" i="8" a="1"/>
  <c r="L197" i="8" s="1"/>
  <c r="L130" i="8" a="1"/>
  <c r="L130" i="8" s="1"/>
  <c r="L194" i="8" a="1"/>
  <c r="L194" i="8" s="1"/>
  <c r="L204" i="8" a="1"/>
  <c r="L204" i="8" s="1"/>
  <c r="L205" i="8" a="1"/>
  <c r="L205" i="8" s="1"/>
  <c r="L209" i="8" a="1"/>
  <c r="L209" i="8" s="1"/>
  <c r="L201" i="8" a="1"/>
  <c r="L201" i="8" s="1"/>
  <c r="L207" i="8" a="1"/>
  <c r="L207" i="8" s="1"/>
  <c r="L208" i="8" a="1"/>
  <c r="L208" i="8" s="1"/>
  <c r="L210" i="8" a="1"/>
  <c r="L210" i="8" s="1"/>
  <c r="L47" i="8" a="1"/>
  <c r="L47" i="8" s="1"/>
  <c r="L34" i="8" a="1"/>
  <c r="L34" i="8" s="1"/>
  <c r="L40" i="8" a="1"/>
  <c r="L40" i="8" s="1"/>
  <c r="L39" i="8" a="1"/>
  <c r="L39" i="8" s="1"/>
  <c r="L29" i="8" a="1"/>
  <c r="L29" i="8" s="1"/>
  <c r="L148" i="8" a="1"/>
  <c r="L148" i="8" s="1"/>
  <c r="Z15" i="8"/>
  <c r="Y75" i="5"/>
  <c r="S75" i="5"/>
  <c r="Q75" i="5"/>
  <c r="M75" i="5"/>
  <c r="G75" i="5" a="1"/>
  <c r="G75" i="5" s="1"/>
  <c r="F75" i="5" a="1"/>
  <c r="F75" i="5" s="1"/>
  <c r="E75" i="5" a="1"/>
  <c r="E75" i="5" s="1"/>
  <c r="T75" i="5" s="1"/>
  <c r="D75" i="5" a="1"/>
  <c r="D75" i="5" s="1"/>
  <c r="P65" i="8"/>
  <c r="AM65" i="8"/>
  <c r="O65" i="8" a="1"/>
  <c r="O65" i="8" s="1"/>
  <c r="K65" i="8" a="1"/>
  <c r="K65" i="8" s="1"/>
  <c r="J65" i="8" a="1"/>
  <c r="J65" i="8" s="1"/>
  <c r="D65" i="8" a="1"/>
  <c r="D65" i="8" s="1"/>
  <c r="C65" i="8" a="1"/>
  <c r="C65" i="8" s="1"/>
  <c r="B65" i="8" a="1"/>
  <c r="B65" i="8" s="1"/>
  <c r="Y44" i="5"/>
  <c r="S44" i="5"/>
  <c r="Q44" i="5"/>
  <c r="M44" i="5"/>
  <c r="G44" i="5" a="1"/>
  <c r="G44" i="5" s="1"/>
  <c r="F44" i="5" a="1"/>
  <c r="F44" i="5" s="1"/>
  <c r="E44" i="5" a="1"/>
  <c r="E44" i="5" s="1"/>
  <c r="T44" i="5" s="1"/>
  <c r="D44" i="5" a="1"/>
  <c r="D44" i="5" s="1"/>
  <c r="Y85" i="5"/>
  <c r="S85" i="5"/>
  <c r="Q85" i="5"/>
  <c r="M85" i="5"/>
  <c r="G85" i="5" a="1"/>
  <c r="G85" i="5" s="1"/>
  <c r="F85" i="5" a="1"/>
  <c r="F85" i="5" s="1"/>
  <c r="E85" i="5" a="1"/>
  <c r="E85" i="5" s="1"/>
  <c r="T85" i="5" s="1"/>
  <c r="D85" i="5" a="1"/>
  <c r="D85" i="5" s="1"/>
  <c r="Y106" i="5"/>
  <c r="S106" i="5"/>
  <c r="Q106" i="5"/>
  <c r="M106" i="5"/>
  <c r="G106" i="5" a="1"/>
  <c r="G106" i="5" s="1"/>
  <c r="F106" i="5" a="1"/>
  <c r="F106" i="5" s="1"/>
  <c r="E106" i="5" a="1"/>
  <c r="E106" i="5" s="1"/>
  <c r="T106" i="5" s="1"/>
  <c r="D106" i="5" a="1"/>
  <c r="D106" i="5" s="1"/>
  <c r="P142" i="8"/>
  <c r="P45" i="8"/>
  <c r="AM45" i="8"/>
  <c r="O45" i="8" a="1"/>
  <c r="O45" i="8" s="1"/>
  <c r="K45" i="8" a="1"/>
  <c r="K45" i="8" s="1"/>
  <c r="J45" i="8" a="1"/>
  <c r="J45" i="8" s="1"/>
  <c r="D45" i="8" a="1"/>
  <c r="D45" i="8" s="1"/>
  <c r="C45" i="8" a="1"/>
  <c r="C45" i="8" s="1"/>
  <c r="B45" i="8" a="1"/>
  <c r="B45" i="8" s="1"/>
  <c r="AM142" i="8"/>
  <c r="O142" i="8" a="1"/>
  <c r="O142" i="8" s="1"/>
  <c r="K142" i="8" a="1"/>
  <c r="K142" i="8" s="1"/>
  <c r="J142" i="8" a="1"/>
  <c r="J142" i="8" s="1"/>
  <c r="D142" i="8" a="1"/>
  <c r="D142" i="8" s="1"/>
  <c r="C142" i="8" a="1"/>
  <c r="C142" i="8" s="1"/>
  <c r="B142" i="8" a="1"/>
  <c r="B142" i="8" s="1"/>
  <c r="F4" i="15"/>
  <c r="E4" i="15"/>
  <c r="AD113" i="8"/>
  <c r="M18" i="4"/>
  <c r="AM503" i="8"/>
  <c r="O503" i="8" a="1"/>
  <c r="O503" i="8" s="1"/>
  <c r="L503" i="8" a="1"/>
  <c r="L503" i="8" s="1"/>
  <c r="K503" i="8" a="1"/>
  <c r="K503" i="8" s="1"/>
  <c r="J503" i="8" a="1"/>
  <c r="J503" i="8" s="1"/>
  <c r="D503" i="8" a="1"/>
  <c r="D503" i="8" s="1"/>
  <c r="C503" i="8" a="1"/>
  <c r="C503" i="8" s="1"/>
  <c r="B503" i="8" a="1"/>
  <c r="B503" i="8" s="1"/>
  <c r="C230" i="8" a="1"/>
  <c r="C230" i="8" s="1"/>
  <c r="D230" i="8" a="1"/>
  <c r="D230" i="8" s="1"/>
  <c r="AR230" i="8"/>
  <c r="Y28" i="5"/>
  <c r="S28" i="5"/>
  <c r="M28" i="5"/>
  <c r="G28" i="5" a="1"/>
  <c r="G28" i="5" s="1"/>
  <c r="F28" i="5" a="1"/>
  <c r="F28" i="5" s="1"/>
  <c r="E28" i="5" a="1"/>
  <c r="E28" i="5" s="1"/>
  <c r="T28" i="5" s="1"/>
  <c r="D28" i="5" a="1"/>
  <c r="D28" i="5" s="1"/>
  <c r="P127" i="8"/>
  <c r="AM127" i="8"/>
  <c r="O127" i="8" a="1"/>
  <c r="O127" i="8" s="1"/>
  <c r="K127" i="8" a="1"/>
  <c r="K127" i="8" s="1"/>
  <c r="J127" i="8" a="1"/>
  <c r="J127" i="8" s="1"/>
  <c r="D127" i="8" a="1"/>
  <c r="D127" i="8" s="1"/>
  <c r="C127" i="8" a="1"/>
  <c r="C127" i="8" s="1"/>
  <c r="B127" i="8" a="1"/>
  <c r="B127" i="8" s="1"/>
  <c r="O545" i="5"/>
  <c r="J533" i="5"/>
  <c r="Y153" i="5"/>
  <c r="S153" i="5"/>
  <c r="Q153" i="5"/>
  <c r="M153" i="5"/>
  <c r="G153" i="5" a="1"/>
  <c r="G153" i="5" s="1"/>
  <c r="F153" i="5" a="1"/>
  <c r="F153" i="5" s="1"/>
  <c r="E153" i="5" a="1"/>
  <c r="E153" i="5" s="1"/>
  <c r="T153" i="5" s="1"/>
  <c r="D153" i="5" a="1"/>
  <c r="D153" i="5" s="1"/>
  <c r="P51" i="8"/>
  <c r="AM51" i="8"/>
  <c r="O51" i="8" a="1"/>
  <c r="O51" i="8" s="1"/>
  <c r="K51" i="8" a="1"/>
  <c r="K51" i="8" s="1"/>
  <c r="J51" i="8" a="1"/>
  <c r="J51" i="8" s="1"/>
  <c r="D51" i="8" a="1"/>
  <c r="D51" i="8" s="1"/>
  <c r="C51" i="8" a="1"/>
  <c r="C51" i="8" s="1"/>
  <c r="B51" i="8" a="1"/>
  <c r="B51" i="8" s="1"/>
  <c r="AM502" i="8"/>
  <c r="O502" i="8" a="1"/>
  <c r="O502" i="8" s="1"/>
  <c r="L502" i="8" a="1"/>
  <c r="L502" i="8" s="1"/>
  <c r="K502" i="8" a="1"/>
  <c r="K502" i="8" s="1"/>
  <c r="J502" i="8" a="1"/>
  <c r="J502" i="8" s="1"/>
  <c r="D502" i="8" a="1"/>
  <c r="D502" i="8" s="1"/>
  <c r="C502" i="8" a="1"/>
  <c r="C502" i="8" s="1"/>
  <c r="B502" i="8" a="1"/>
  <c r="B502" i="8" s="1"/>
  <c r="AM501" i="8"/>
  <c r="O501" i="8" a="1"/>
  <c r="O501" i="8" s="1"/>
  <c r="L501" i="8" a="1"/>
  <c r="L501" i="8" s="1"/>
  <c r="K501" i="8" a="1"/>
  <c r="K501" i="8" s="1"/>
  <c r="J501" i="8" a="1"/>
  <c r="J501" i="8" s="1"/>
  <c r="D501" i="8" a="1"/>
  <c r="D501" i="8" s="1"/>
  <c r="C501" i="8" a="1"/>
  <c r="C501" i="8" s="1"/>
  <c r="B501" i="8" a="1"/>
  <c r="B501" i="8" s="1"/>
  <c r="AM500" i="8"/>
  <c r="O500" i="8" a="1"/>
  <c r="O500" i="8" s="1"/>
  <c r="L500" i="8" a="1"/>
  <c r="L500" i="8" s="1"/>
  <c r="K500" i="8" a="1"/>
  <c r="K500" i="8" s="1"/>
  <c r="J500" i="8" a="1"/>
  <c r="J500" i="8" s="1"/>
  <c r="D500" i="8" a="1"/>
  <c r="D500" i="8" s="1"/>
  <c r="C500" i="8" a="1"/>
  <c r="C500" i="8" s="1"/>
  <c r="B500" i="8" a="1"/>
  <c r="B500" i="8" s="1"/>
  <c r="AM499" i="8"/>
  <c r="O499" i="8" a="1"/>
  <c r="O499" i="8" s="1"/>
  <c r="L499" i="8" a="1"/>
  <c r="L499" i="8" s="1"/>
  <c r="K499" i="8" a="1"/>
  <c r="K499" i="8" s="1"/>
  <c r="J499" i="8" a="1"/>
  <c r="J499" i="8" s="1"/>
  <c r="D499" i="8" a="1"/>
  <c r="D499" i="8" s="1"/>
  <c r="C499" i="8" a="1"/>
  <c r="C499" i="8" s="1"/>
  <c r="B499" i="8" a="1"/>
  <c r="B499" i="8" s="1"/>
  <c r="AM498" i="8"/>
  <c r="O498" i="8" a="1"/>
  <c r="O498" i="8" s="1"/>
  <c r="L498" i="8" a="1"/>
  <c r="L498" i="8" s="1"/>
  <c r="N498" i="8" s="1"/>
  <c r="K498" i="8" a="1"/>
  <c r="K498" i="8" s="1"/>
  <c r="J498" i="8" a="1"/>
  <c r="J498" i="8" s="1"/>
  <c r="D498" i="8" a="1"/>
  <c r="D498" i="8" s="1"/>
  <c r="C498" i="8" a="1"/>
  <c r="C498" i="8" s="1"/>
  <c r="B498" i="8" a="1"/>
  <c r="B498" i="8" s="1"/>
  <c r="F12" i="4"/>
  <c r="O96" i="8" a="1"/>
  <c r="O96" i="8" s="1"/>
  <c r="M537" i="5" a="1"/>
  <c r="M537" i="5" s="1"/>
  <c r="AK281" i="5" s="1"/>
  <c r="J530" i="5"/>
  <c r="F161" i="5" a="1"/>
  <c r="F161" i="5" s="1"/>
  <c r="G161" i="5" a="1"/>
  <c r="G161" i="5" s="1"/>
  <c r="D161" i="5" a="1"/>
  <c r="D161" i="5" s="1"/>
  <c r="E161" i="5" a="1"/>
  <c r="E161" i="5" s="1"/>
  <c r="T161" i="5" s="1"/>
  <c r="M161" i="5"/>
  <c r="Q161" i="5"/>
  <c r="S161" i="5"/>
  <c r="Y161" i="5"/>
  <c r="AM99" i="8"/>
  <c r="O99" i="8" a="1"/>
  <c r="O99" i="8" s="1"/>
  <c r="K99" i="8" a="1"/>
  <c r="K99" i="8" s="1"/>
  <c r="J99" i="8" a="1"/>
  <c r="J99" i="8" s="1"/>
  <c r="D99" i="8" a="1"/>
  <c r="D99" i="8" s="1"/>
  <c r="C99" i="8" a="1"/>
  <c r="C99" i="8" s="1"/>
  <c r="B99" i="8" a="1"/>
  <c r="B99" i="8" s="1"/>
  <c r="M14" i="4"/>
  <c r="F14" i="4"/>
  <c r="E14" i="4"/>
  <c r="K12" i="4"/>
  <c r="M12" i="4" s="1"/>
  <c r="M11" i="4"/>
  <c r="D140" i="5" a="1"/>
  <c r="D140" i="5" s="1"/>
  <c r="E140" i="5" a="1"/>
  <c r="E140" i="5" s="1"/>
  <c r="T140" i="5" s="1"/>
  <c r="F140" i="5" a="1"/>
  <c r="F140" i="5" s="1"/>
  <c r="G140" i="5" a="1"/>
  <c r="G140" i="5" s="1"/>
  <c r="M140" i="5"/>
  <c r="Q140" i="5"/>
  <c r="S140" i="5"/>
  <c r="Y140" i="5"/>
  <c r="P113" i="8"/>
  <c r="AM113" i="8"/>
  <c r="O113" i="8" a="1"/>
  <c r="O113" i="8" s="1"/>
  <c r="K113" i="8" a="1"/>
  <c r="K113" i="8" s="1"/>
  <c r="J113" i="8" a="1"/>
  <c r="J113" i="8" s="1"/>
  <c r="D113" i="8" a="1"/>
  <c r="D113" i="8" s="1"/>
  <c r="C113" i="8" a="1"/>
  <c r="C113" i="8" s="1"/>
  <c r="B113" i="8" a="1"/>
  <c r="B113" i="8" s="1"/>
  <c r="AR229" i="8"/>
  <c r="C229" i="8" a="1"/>
  <c r="C229" i="8" s="1"/>
  <c r="D229" i="8" a="1"/>
  <c r="D229" i="8" s="1"/>
  <c r="AP229" i="8" s="1"/>
  <c r="E10" i="4"/>
  <c r="AB27" i="8" s="1"/>
  <c r="Z27" i="8" s="1"/>
  <c r="F10" i="4"/>
  <c r="M10" i="4"/>
  <c r="M9" i="4"/>
  <c r="F9" i="4"/>
  <c r="E9" i="4"/>
  <c r="AB22" i="8" s="1"/>
  <c r="Z22" i="8" s="1"/>
  <c r="C57" i="15"/>
  <c r="S302" i="5"/>
  <c r="AO247" i="8" s="1"/>
  <c r="M302" i="5"/>
  <c r="G302" i="5" a="1"/>
  <c r="G302" i="5" s="1"/>
  <c r="F302" i="5" a="1"/>
  <c r="F302" i="5" s="1"/>
  <c r="E302" i="5" a="1"/>
  <c r="E302" i="5" s="1"/>
  <c r="D302" i="5" a="1"/>
  <c r="D302" i="5" s="1"/>
  <c r="AS247" i="8" l="1"/>
  <c r="AQ247" i="8"/>
  <c r="U85" i="5"/>
  <c r="AD85" i="5" s="1"/>
  <c r="U75" i="5"/>
  <c r="AD75" i="5" s="1"/>
  <c r="AK278" i="5"/>
  <c r="AK277" i="5"/>
  <c r="AK276" i="5"/>
  <c r="AK273" i="5"/>
  <c r="AK266" i="5"/>
  <c r="AK265" i="5"/>
  <c r="AK274" i="5"/>
  <c r="AK268" i="5"/>
  <c r="AK267" i="5"/>
  <c r="AJ127" i="8"/>
  <c r="F127" i="8" s="1"/>
  <c r="AK127" i="8"/>
  <c r="G127" i="8" s="1"/>
  <c r="AK45" i="8"/>
  <c r="G45" i="8" s="1"/>
  <c r="AJ45" i="8"/>
  <c r="F45" i="8" s="1"/>
  <c r="AN51" i="8"/>
  <c r="AJ51" i="8"/>
  <c r="F51" i="8" s="1"/>
  <c r="AK51" i="8"/>
  <c r="G51" i="8" s="1"/>
  <c r="AJ99" i="8"/>
  <c r="F99" i="8" s="1"/>
  <c r="AK99" i="8"/>
  <c r="G99" i="8" s="1"/>
  <c r="AK142" i="8"/>
  <c r="G142" i="8" s="1"/>
  <c r="AJ142" i="8"/>
  <c r="F142" i="8" s="1"/>
  <c r="AJ113" i="8"/>
  <c r="F113" i="8" s="1"/>
  <c r="AK113" i="8"/>
  <c r="G113" i="8" s="1"/>
  <c r="AJ65" i="8"/>
  <c r="F65" i="8" s="1"/>
  <c r="AK65" i="8"/>
  <c r="G65" i="8" s="1"/>
  <c r="U106" i="5"/>
  <c r="AD106" i="5" s="1"/>
  <c r="AB12" i="8"/>
  <c r="AB25" i="8"/>
  <c r="Z25" i="8" s="1"/>
  <c r="U153" i="5"/>
  <c r="AD153" i="5" s="1"/>
  <c r="U44" i="5"/>
  <c r="AD44" i="5" s="1"/>
  <c r="E19" i="4"/>
  <c r="AI75" i="5"/>
  <c r="N75" i="5"/>
  <c r="V75" i="5"/>
  <c r="U28" i="5"/>
  <c r="AD28" i="5" s="1"/>
  <c r="AN65" i="8"/>
  <c r="AI65" i="8"/>
  <c r="AG65" i="8"/>
  <c r="H65" i="8" s="1"/>
  <c r="AE65" i="8"/>
  <c r="E65" i="8" s="1"/>
  <c r="M65" i="8"/>
  <c r="Q65" i="8" s="1"/>
  <c r="N65" i="8"/>
  <c r="R65" i="8" s="1"/>
  <c r="N44" i="5"/>
  <c r="N85" i="5"/>
  <c r="AI106" i="5"/>
  <c r="N106" i="5"/>
  <c r="V106" i="5"/>
  <c r="N142" i="8"/>
  <c r="R142" i="8" s="1"/>
  <c r="M142" i="8"/>
  <c r="Q142" i="8" s="1"/>
  <c r="AN45" i="8"/>
  <c r="AI45" i="8"/>
  <c r="AG45" i="8"/>
  <c r="H45" i="8" s="1"/>
  <c r="AE45" i="8"/>
  <c r="E45" i="8" s="1"/>
  <c r="AN142" i="8"/>
  <c r="AI142" i="8"/>
  <c r="AG142" i="8"/>
  <c r="H142" i="8" s="1"/>
  <c r="AE142" i="8"/>
  <c r="E142" i="8" s="1"/>
  <c r="M45" i="8"/>
  <c r="Q45" i="8" s="1"/>
  <c r="N45" i="8"/>
  <c r="R45" i="8" s="1"/>
  <c r="AN503" i="8"/>
  <c r="AK503" i="8"/>
  <c r="AJ503" i="8"/>
  <c r="AI503" i="8"/>
  <c r="AG503" i="8"/>
  <c r="AE503" i="8"/>
  <c r="E503" i="8" s="1"/>
  <c r="M503" i="8"/>
  <c r="Q503" i="8" s="1"/>
  <c r="N503" i="8"/>
  <c r="R503" i="8" s="1"/>
  <c r="AN230" i="8"/>
  <c r="AP230" i="8"/>
  <c r="N28" i="5"/>
  <c r="M127" i="8"/>
  <c r="Q127" i="8" s="1"/>
  <c r="N127" i="8"/>
  <c r="R127" i="8" s="1"/>
  <c r="AN127" i="8"/>
  <c r="AI127" i="8"/>
  <c r="AG127" i="8"/>
  <c r="H127" i="8" s="1"/>
  <c r="AE127" i="8"/>
  <c r="E127" i="8" s="1"/>
  <c r="AI153" i="5"/>
  <c r="N153" i="5"/>
  <c r="V153" i="5"/>
  <c r="M51" i="8"/>
  <c r="Q51" i="8" s="1"/>
  <c r="N51" i="8"/>
  <c r="R51" i="8" s="1"/>
  <c r="AE51" i="8"/>
  <c r="E51" i="8" s="1"/>
  <c r="AG51" i="8"/>
  <c r="H51" i="8" s="1"/>
  <c r="AI51" i="8"/>
  <c r="AE499" i="8"/>
  <c r="E499" i="8" s="1"/>
  <c r="AN499" i="8"/>
  <c r="AK499" i="8"/>
  <c r="AJ499" i="8"/>
  <c r="AI499" i="8"/>
  <c r="AG499" i="8"/>
  <c r="N501" i="8"/>
  <c r="R501" i="8" s="1"/>
  <c r="M501" i="8"/>
  <c r="Q501" i="8" s="1"/>
  <c r="N500" i="8"/>
  <c r="R500" i="8" s="1"/>
  <c r="M500" i="8"/>
  <c r="Q500" i="8" s="1"/>
  <c r="AI498" i="8"/>
  <c r="AG498" i="8"/>
  <c r="AE498" i="8"/>
  <c r="E498" i="8" s="1"/>
  <c r="AN498" i="8"/>
  <c r="AK498" i="8"/>
  <c r="AJ498" i="8"/>
  <c r="AN502" i="8"/>
  <c r="AK502" i="8"/>
  <c r="AJ502" i="8"/>
  <c r="AI502" i="8"/>
  <c r="AG502" i="8"/>
  <c r="AE502" i="8"/>
  <c r="E502" i="8" s="1"/>
  <c r="AN501" i="8"/>
  <c r="AK501" i="8"/>
  <c r="AJ501" i="8"/>
  <c r="AI501" i="8"/>
  <c r="AG501" i="8"/>
  <c r="AE501" i="8"/>
  <c r="E501" i="8" s="1"/>
  <c r="M502" i="8"/>
  <c r="Q502" i="8" s="1"/>
  <c r="N502" i="8"/>
  <c r="R502" i="8" s="1"/>
  <c r="R498" i="8"/>
  <c r="N499" i="8"/>
  <c r="R499" i="8" s="1"/>
  <c r="M499" i="8"/>
  <c r="Q499" i="8" s="1"/>
  <c r="AN500" i="8"/>
  <c r="AK500" i="8"/>
  <c r="AJ500" i="8"/>
  <c r="AI500" i="8"/>
  <c r="AG500" i="8"/>
  <c r="AE500" i="8"/>
  <c r="E500" i="8" s="1"/>
  <c r="M498" i="8"/>
  <c r="Q498" i="8" s="1"/>
  <c r="M17" i="4"/>
  <c r="E12" i="4"/>
  <c r="H13" i="4" s="1"/>
  <c r="U161" i="5"/>
  <c r="AD161" i="5" s="1"/>
  <c r="N161" i="5"/>
  <c r="AN99" i="8"/>
  <c r="AI99" i="8"/>
  <c r="AG99" i="8"/>
  <c r="H99" i="8" s="1"/>
  <c r="AE99" i="8"/>
  <c r="E99" i="8" s="1"/>
  <c r="M99" i="8"/>
  <c r="Q99" i="8" s="1"/>
  <c r="N99" i="8"/>
  <c r="R99" i="8" s="1"/>
  <c r="U302" i="5"/>
  <c r="AD302" i="5" s="1"/>
  <c r="U140" i="5"/>
  <c r="AD140" i="5" s="1"/>
  <c r="N140" i="5"/>
  <c r="M113" i="8"/>
  <c r="Q113" i="8" s="1"/>
  <c r="N113" i="8"/>
  <c r="R113" i="8" s="1"/>
  <c r="AN113" i="8"/>
  <c r="AI113" i="8"/>
  <c r="AG113" i="8"/>
  <c r="H113" i="8" s="1"/>
  <c r="AE113" i="8"/>
  <c r="E113" i="8" s="1"/>
  <c r="AN229" i="8"/>
  <c r="N302" i="5"/>
  <c r="AR228" i="8"/>
  <c r="C228" i="8" a="1"/>
  <c r="C228" i="8" s="1"/>
  <c r="D228" i="8" a="1"/>
  <c r="D228" i="8" s="1"/>
  <c r="AP228" i="8" s="1"/>
  <c r="I7" i="4"/>
  <c r="J7" i="4"/>
  <c r="D144" i="5" a="1"/>
  <c r="D144" i="5" s="1"/>
  <c r="E144" i="5" a="1"/>
  <c r="E144" i="5" s="1"/>
  <c r="T144" i="5" s="1"/>
  <c r="F144" i="5" a="1"/>
  <c r="F144" i="5" s="1"/>
  <c r="G144" i="5" a="1"/>
  <c r="G144" i="5" s="1"/>
  <c r="M144" i="5"/>
  <c r="Q144" i="5"/>
  <c r="S144" i="5"/>
  <c r="W144" i="5"/>
  <c r="Y144" i="5"/>
  <c r="AQ191" i="8" a="1"/>
  <c r="AQ191" i="8" s="1"/>
  <c r="AU191" i="8"/>
  <c r="P191" i="8"/>
  <c r="AM191" i="8"/>
  <c r="O191" i="8" a="1"/>
  <c r="O191" i="8" s="1"/>
  <c r="K191" i="8" a="1"/>
  <c r="K191" i="8" s="1"/>
  <c r="J191" i="8" a="1"/>
  <c r="J191" i="8" s="1"/>
  <c r="D191" i="8" a="1"/>
  <c r="D191" i="8" s="1"/>
  <c r="C191" i="8" a="1"/>
  <c r="C191" i="8" s="1"/>
  <c r="B191" i="8" a="1"/>
  <c r="B191" i="8" s="1"/>
  <c r="J8" i="4"/>
  <c r="I8" i="4"/>
  <c r="H8" i="4"/>
  <c r="M6" i="4"/>
  <c r="M5" i="4"/>
  <c r="AT247" i="8" l="1"/>
  <c r="H23" i="4"/>
  <c r="AJ191" i="8"/>
  <c r="F191" i="8" s="1"/>
  <c r="AK191" i="8"/>
  <c r="G191" i="8" s="1"/>
  <c r="I23" i="4"/>
  <c r="F7" i="4"/>
  <c r="AB75" i="5"/>
  <c r="AB106" i="5"/>
  <c r="AB153" i="5"/>
  <c r="E13" i="4"/>
  <c r="AB13" i="8" s="1"/>
  <c r="AN228" i="8"/>
  <c r="U144" i="5"/>
  <c r="AD144" i="5" s="1"/>
  <c r="N144" i="5"/>
  <c r="AN191" i="8"/>
  <c r="AI191" i="8"/>
  <c r="AG191" i="8"/>
  <c r="H191" i="8" s="1"/>
  <c r="AE191" i="8"/>
  <c r="E191" i="8" s="1"/>
  <c r="M191" i="8"/>
  <c r="Q191" i="8" s="1"/>
  <c r="N191" i="8"/>
  <c r="R191" i="8" s="1"/>
  <c r="I30" i="11"/>
  <c r="D30" i="11"/>
  <c r="AR227" i="8"/>
  <c r="C227" i="8" a="1"/>
  <c r="C227" i="8" s="1"/>
  <c r="D227" i="8" a="1"/>
  <c r="D227" i="8" s="1"/>
  <c r="AN227" i="8" s="1"/>
  <c r="Y178" i="5"/>
  <c r="S178" i="5"/>
  <c r="Q178" i="5"/>
  <c r="M178" i="5"/>
  <c r="G178" i="5" a="1"/>
  <c r="G178" i="5" s="1"/>
  <c r="F178" i="5" a="1"/>
  <c r="F178" i="5" s="1"/>
  <c r="E178" i="5" a="1"/>
  <c r="E178" i="5" s="1"/>
  <c r="T178" i="5" s="1"/>
  <c r="D178" i="5" a="1"/>
  <c r="D178" i="5" s="1"/>
  <c r="S306" i="5"/>
  <c r="M306" i="5"/>
  <c r="G306" i="5" a="1"/>
  <c r="G306" i="5" s="1"/>
  <c r="F306" i="5" a="1"/>
  <c r="F306" i="5" s="1"/>
  <c r="E306" i="5" a="1"/>
  <c r="E306" i="5" s="1"/>
  <c r="D306" i="5" a="1"/>
  <c r="D306" i="5" s="1"/>
  <c r="P183" i="8"/>
  <c r="AM183" i="8"/>
  <c r="O183" i="8" a="1"/>
  <c r="O183" i="8" s="1"/>
  <c r="K183" i="8" a="1"/>
  <c r="K183" i="8" s="1"/>
  <c r="J183" i="8" a="1"/>
  <c r="J183" i="8" s="1"/>
  <c r="D183" i="8" a="1"/>
  <c r="D183" i="8" s="1"/>
  <c r="C183" i="8" a="1"/>
  <c r="C183" i="8" s="1"/>
  <c r="B183" i="8" a="1"/>
  <c r="B183" i="8" s="1"/>
  <c r="J527" i="5"/>
  <c r="AD119" i="8"/>
  <c r="Y37" i="5"/>
  <c r="S37" i="5"/>
  <c r="Q37" i="5"/>
  <c r="M37" i="5"/>
  <c r="G37" i="5" a="1"/>
  <c r="G37" i="5" s="1"/>
  <c r="F37" i="5" a="1"/>
  <c r="F37" i="5" s="1"/>
  <c r="E37" i="5" a="1"/>
  <c r="E37" i="5" s="1"/>
  <c r="T37" i="5" s="1"/>
  <c r="D37" i="5" a="1"/>
  <c r="D37" i="5" s="1"/>
  <c r="P119" i="8"/>
  <c r="AM119" i="8"/>
  <c r="O119" i="8" a="1"/>
  <c r="O119" i="8" s="1"/>
  <c r="K119" i="8" a="1"/>
  <c r="K119" i="8" s="1"/>
  <c r="J119" i="8" a="1"/>
  <c r="J119" i="8" s="1"/>
  <c r="D119" i="8" a="1"/>
  <c r="D119" i="8" s="1"/>
  <c r="C119" i="8" a="1"/>
  <c r="C119" i="8" s="1"/>
  <c r="B119" i="8" a="1"/>
  <c r="B119" i="8" s="1"/>
  <c r="N96" i="8"/>
  <c r="B96" i="8" a="1"/>
  <c r="B96" i="8" s="1"/>
  <c r="C96" i="8" a="1"/>
  <c r="C96" i="8" s="1"/>
  <c r="D96" i="8" a="1"/>
  <c r="D96" i="8" s="1"/>
  <c r="J96" i="8" a="1"/>
  <c r="J96" i="8" s="1"/>
  <c r="K96" i="8" a="1"/>
  <c r="K96" i="8" s="1"/>
  <c r="W96" i="8"/>
  <c r="P96" i="8" s="1"/>
  <c r="AA96" i="8"/>
  <c r="AM96" i="8"/>
  <c r="AQ96" i="8" a="1"/>
  <c r="AQ96" i="8" s="1"/>
  <c r="AQ69" i="8" a="1"/>
  <c r="AQ69" i="8" s="1"/>
  <c r="AU69" i="8"/>
  <c r="AQ199" i="8" a="1"/>
  <c r="AQ199" i="8" s="1"/>
  <c r="AQ206" i="8" a="1"/>
  <c r="AQ206" i="8" s="1"/>
  <c r="AQ194" i="8" a="1"/>
  <c r="AQ194" i="8" s="1"/>
  <c r="AQ189" i="8" a="1"/>
  <c r="AQ189" i="8" s="1"/>
  <c r="AQ91" i="8" a="1"/>
  <c r="AQ91" i="8" s="1"/>
  <c r="AQ200" i="8" a="1"/>
  <c r="AQ200" i="8" s="1"/>
  <c r="AQ188" i="8" a="1"/>
  <c r="AQ188" i="8" s="1"/>
  <c r="AQ172" i="8" a="1"/>
  <c r="AQ172" i="8" s="1"/>
  <c r="AQ130" i="8" a="1"/>
  <c r="AQ130" i="8" s="1"/>
  <c r="AQ197" i="8" a="1"/>
  <c r="AQ197" i="8" s="1"/>
  <c r="AQ204" i="8" a="1"/>
  <c r="AQ204" i="8" s="1"/>
  <c r="AQ167" i="8" a="1"/>
  <c r="AQ167" i="8" s="1"/>
  <c r="AQ181" i="8" a="1"/>
  <c r="AQ181" i="8" s="1"/>
  <c r="AQ205" i="8" a="1"/>
  <c r="AQ205" i="8" s="1"/>
  <c r="AQ209" i="8" a="1"/>
  <c r="AQ209" i="8" s="1"/>
  <c r="AQ201" i="8" a="1"/>
  <c r="AQ201" i="8" s="1"/>
  <c r="AQ207" i="8" a="1"/>
  <c r="AQ207" i="8" s="1"/>
  <c r="AQ208" i="8" a="1"/>
  <c r="AQ208" i="8" s="1"/>
  <c r="AQ210" i="8" a="1"/>
  <c r="AQ210" i="8" s="1"/>
  <c r="AQ136" i="8" a="1"/>
  <c r="AQ136" i="8" s="1"/>
  <c r="AU136" i="8"/>
  <c r="AQ170" i="8" a="1"/>
  <c r="AQ170" i="8" s="1"/>
  <c r="AQ129" i="8" a="1"/>
  <c r="AQ129" i="8" s="1"/>
  <c r="AQ144" i="8" a="1"/>
  <c r="AQ144" i="8" s="1"/>
  <c r="AU144" i="8"/>
  <c r="AQ157" i="8" a="1"/>
  <c r="AQ157" i="8" s="1"/>
  <c r="AQ94" i="8" a="1"/>
  <c r="AQ94" i="8" s="1"/>
  <c r="AQ135" i="8" a="1"/>
  <c r="AQ135" i="8" s="1"/>
  <c r="AU135" i="8"/>
  <c r="AQ179" i="8" a="1"/>
  <c r="AQ179" i="8" s="1"/>
  <c r="AQ156" i="8" a="1"/>
  <c r="AQ156" i="8" s="1"/>
  <c r="AQ67" i="8" a="1"/>
  <c r="AQ67" i="8" s="1"/>
  <c r="AQ164" i="8" a="1"/>
  <c r="AQ164" i="8" s="1"/>
  <c r="AQ139" i="8" a="1"/>
  <c r="AQ139" i="8" s="1"/>
  <c r="AQ184" i="8" a="1"/>
  <c r="AQ184" i="8" s="1"/>
  <c r="AU184" i="8"/>
  <c r="AQ155" i="8" a="1"/>
  <c r="AQ155" i="8" s="1"/>
  <c r="AQ186" i="8" a="1"/>
  <c r="AQ186" i="8" s="1"/>
  <c r="AQ50" i="8" a="1"/>
  <c r="AQ50" i="8" s="1"/>
  <c r="AQ145" i="8" a="1"/>
  <c r="AQ145" i="8" s="1"/>
  <c r="AQ150" i="8" a="1"/>
  <c r="AQ150" i="8" s="1"/>
  <c r="AQ203" i="8" a="1"/>
  <c r="AQ203" i="8" s="1"/>
  <c r="AQ196" i="8" a="1"/>
  <c r="AQ196" i="8" s="1"/>
  <c r="AU196" i="8"/>
  <c r="AQ163" i="8" a="1"/>
  <c r="AQ163" i="8" s="1"/>
  <c r="AQ175" i="8" a="1"/>
  <c r="AQ175" i="8" s="1"/>
  <c r="AQ202" i="8" a="1"/>
  <c r="AQ202" i="8" s="1"/>
  <c r="AU202" i="8"/>
  <c r="AQ97" i="8" a="1"/>
  <c r="AQ97" i="8" s="1"/>
  <c r="AQ176" i="8" a="1"/>
  <c r="AQ176" i="8" s="1"/>
  <c r="AQ160" i="8" a="1"/>
  <c r="AQ160" i="8" s="1"/>
  <c r="AQ154" i="8" a="1"/>
  <c r="AQ154" i="8" s="1"/>
  <c r="AQ182" i="8" a="1"/>
  <c r="AQ182" i="8" s="1"/>
  <c r="AU182" i="8"/>
  <c r="AQ158" i="8" a="1"/>
  <c r="AQ158" i="8" s="1"/>
  <c r="AQ169" i="8" a="1"/>
  <c r="AQ169" i="8" s="1"/>
  <c r="AQ195" i="8" a="1"/>
  <c r="AQ195" i="8" s="1"/>
  <c r="AU195" i="8"/>
  <c r="AQ187" i="8" a="1"/>
  <c r="AQ187" i="8" s="1"/>
  <c r="AU187" i="8"/>
  <c r="AQ190" i="8" a="1"/>
  <c r="AQ190" i="8" s="1"/>
  <c r="AQ61" i="8" a="1"/>
  <c r="AQ61" i="8" s="1"/>
  <c r="AQ147" i="8" a="1"/>
  <c r="AQ147" i="8" s="1"/>
  <c r="AQ174" i="8" a="1"/>
  <c r="AQ174" i="8" s="1"/>
  <c r="AU174" i="8"/>
  <c r="AQ118" i="8" a="1"/>
  <c r="AQ118" i="8" s="1"/>
  <c r="AQ66" i="8" a="1"/>
  <c r="AQ66" i="8" s="1"/>
  <c r="AQ55" i="8" a="1"/>
  <c r="AQ55" i="8" s="1"/>
  <c r="AQ128" i="8" a="1"/>
  <c r="AQ128" i="8" s="1"/>
  <c r="AQ180" i="8" a="1"/>
  <c r="AQ180" i="8" s="1"/>
  <c r="AQ78" i="8" a="1"/>
  <c r="AQ78" i="8" s="1"/>
  <c r="AQ126" i="8" a="1"/>
  <c r="AQ126" i="8" s="1"/>
  <c r="AQ124" i="8" a="1"/>
  <c r="AQ124" i="8" s="1"/>
  <c r="AQ107" i="8" a="1"/>
  <c r="AQ107" i="8" s="1"/>
  <c r="AQ63" i="8" a="1"/>
  <c r="AQ63" i="8" s="1"/>
  <c r="AQ162" i="8" a="1"/>
  <c r="AQ162" i="8" s="1"/>
  <c r="AQ153" i="8" a="1"/>
  <c r="AQ153" i="8" s="1"/>
  <c r="AQ49" i="8" a="1"/>
  <c r="AQ49" i="8" s="1"/>
  <c r="AQ140" i="8" a="1"/>
  <c r="AQ140" i="8" s="1"/>
  <c r="AQ62" i="8" a="1"/>
  <c r="AQ62" i="8" s="1"/>
  <c r="AQ151" i="8" a="1"/>
  <c r="AQ151" i="8" s="1"/>
  <c r="AU151" i="8"/>
  <c r="AQ101" i="8" a="1"/>
  <c r="AQ101" i="8" s="1"/>
  <c r="AQ81" i="8" a="1"/>
  <c r="AQ81" i="8" s="1"/>
  <c r="AQ166" i="8" a="1"/>
  <c r="AQ166" i="8" s="1"/>
  <c r="AQ111" i="8" a="1"/>
  <c r="AQ111" i="8" s="1"/>
  <c r="AQ161" i="8" a="1"/>
  <c r="AQ161" i="8" s="1"/>
  <c r="AU161" i="8"/>
  <c r="AQ168" i="8" a="1"/>
  <c r="AQ168" i="8" s="1"/>
  <c r="AQ185" i="8" a="1"/>
  <c r="AQ185" i="8" s="1"/>
  <c r="AQ165" i="8" a="1"/>
  <c r="AQ165" i="8" s="1"/>
  <c r="AQ121" i="8" a="1"/>
  <c r="AQ121" i="8" s="1"/>
  <c r="AU121" i="8"/>
  <c r="AQ138" i="8" a="1"/>
  <c r="AQ138" i="8" s="1"/>
  <c r="AU138" i="8"/>
  <c r="AQ177" i="8" a="1"/>
  <c r="AQ177" i="8" s="1"/>
  <c r="AQ143" i="8" a="1"/>
  <c r="AQ143" i="8" s="1"/>
  <c r="AU143" i="8"/>
  <c r="AQ178" i="8" a="1"/>
  <c r="AQ178" i="8" s="1"/>
  <c r="AQ159" i="8" a="1"/>
  <c r="AQ159" i="8" s="1"/>
  <c r="AU159" i="8"/>
  <c r="AQ72" i="8" a="1"/>
  <c r="AQ72" i="8" s="1"/>
  <c r="AQ35" i="8" a="1"/>
  <c r="AQ35" i="8" s="1"/>
  <c r="AQ95" i="8" a="1"/>
  <c r="AQ95" i="8" s="1"/>
  <c r="AU95" i="8"/>
  <c r="AQ24" i="8" a="1"/>
  <c r="AQ24" i="8" s="1"/>
  <c r="AQ120" i="8" a="1"/>
  <c r="AQ120" i="8" s="1"/>
  <c r="AQ88" i="8" a="1"/>
  <c r="AQ88" i="8" s="1"/>
  <c r="AU88" i="8"/>
  <c r="AQ74" i="8" a="1"/>
  <c r="AQ74" i="8" s="1"/>
  <c r="AQ117" i="8" a="1"/>
  <c r="AQ117" i="8" s="1"/>
  <c r="AQ82" i="8" a="1"/>
  <c r="AQ82" i="8" s="1"/>
  <c r="AQ43" i="8" a="1"/>
  <c r="AQ43" i="8" s="1"/>
  <c r="AQ141" i="8" a="1"/>
  <c r="AQ141" i="8" s="1"/>
  <c r="AQ46" i="8" a="1"/>
  <c r="AQ46" i="8" s="1"/>
  <c r="AQ64" i="8" a="1"/>
  <c r="AQ64" i="8" s="1"/>
  <c r="AU64" i="8"/>
  <c r="AQ116" i="8" a="1"/>
  <c r="AQ116" i="8" s="1"/>
  <c r="AQ152" i="8" a="1"/>
  <c r="AQ152" i="8" s="1"/>
  <c r="AU152" i="8"/>
  <c r="AQ48" i="8" a="1"/>
  <c r="AQ48" i="8" s="1"/>
  <c r="AQ75" i="8" a="1"/>
  <c r="AQ75" i="8" s="1"/>
  <c r="AQ137" i="8" a="1"/>
  <c r="AQ137" i="8" s="1"/>
  <c r="AU137" i="8"/>
  <c r="AQ149" i="8" a="1"/>
  <c r="AQ149" i="8" s="1"/>
  <c r="AQ56" i="8" a="1"/>
  <c r="AQ56" i="8" s="1"/>
  <c r="AQ84" i="8" a="1"/>
  <c r="AQ84" i="8" s="1"/>
  <c r="AQ60" i="8" a="1"/>
  <c r="AQ60" i="8" s="1"/>
  <c r="AQ57" i="8" a="1"/>
  <c r="AQ57" i="8" s="1"/>
  <c r="AQ59" i="8" a="1"/>
  <c r="AQ59" i="8" s="1"/>
  <c r="AQ80" i="8" a="1"/>
  <c r="AQ80" i="8" s="1"/>
  <c r="AQ58" i="8" a="1"/>
  <c r="AQ58" i="8" s="1"/>
  <c r="AQ148" i="8" a="1"/>
  <c r="AQ148" i="8" s="1"/>
  <c r="AQ39" i="8" a="1"/>
  <c r="AQ39" i="8" s="1"/>
  <c r="AQ85" i="8" a="1"/>
  <c r="AQ85" i="8" s="1"/>
  <c r="AQ52" i="8" a="1"/>
  <c r="AQ52" i="8" s="1"/>
  <c r="AQ134" i="8" a="1"/>
  <c r="AQ134" i="8" s="1"/>
  <c r="AQ103" i="8" a="1"/>
  <c r="AQ103" i="8" s="1"/>
  <c r="AQ42" i="8" a="1"/>
  <c r="AQ42" i="8" s="1"/>
  <c r="AQ32" i="8" a="1"/>
  <c r="AQ32" i="8" s="1"/>
  <c r="AQ92" i="8" a="1"/>
  <c r="AQ92" i="8" s="1"/>
  <c r="AQ100" i="8" a="1"/>
  <c r="AQ100" i="8" s="1"/>
  <c r="AQ53" i="8" a="1"/>
  <c r="AQ53" i="8" s="1"/>
  <c r="AQ89" i="8" a="1"/>
  <c r="AQ89" i="8" s="1"/>
  <c r="AQ44" i="8" a="1"/>
  <c r="AQ44" i="8" s="1"/>
  <c r="AQ79" i="8" a="1"/>
  <c r="AQ79" i="8" s="1"/>
  <c r="AQ93" i="8" a="1"/>
  <c r="AQ93" i="8" s="1"/>
  <c r="D274" i="5" a="1"/>
  <c r="D274" i="5" s="1"/>
  <c r="E274" i="5" a="1"/>
  <c r="E274" i="5" s="1"/>
  <c r="F274" i="5" a="1"/>
  <c r="F274" i="5" s="1"/>
  <c r="G274" i="5" a="1"/>
  <c r="G274" i="5" s="1"/>
  <c r="M274" i="5"/>
  <c r="Q274" i="5"/>
  <c r="S274" i="5"/>
  <c r="AO232" i="8" s="1"/>
  <c r="Q2" i="6"/>
  <c r="AR226" i="8"/>
  <c r="D226" i="8" a="1"/>
  <c r="D226" i="8" s="1"/>
  <c r="AN226" i="8" s="1"/>
  <c r="C226" i="8" a="1"/>
  <c r="C226" i="8" s="1"/>
  <c r="AM497" i="8"/>
  <c r="O497" i="8" a="1"/>
  <c r="O497" i="8" s="1"/>
  <c r="L497" i="8" a="1"/>
  <c r="L497" i="8" s="1"/>
  <c r="K497" i="8" a="1"/>
  <c r="K497" i="8" s="1"/>
  <c r="J497" i="8" a="1"/>
  <c r="J497" i="8" s="1"/>
  <c r="D497" i="8" a="1"/>
  <c r="D497" i="8" s="1"/>
  <c r="C497" i="8" a="1"/>
  <c r="C497" i="8" s="1"/>
  <c r="B497" i="8" a="1"/>
  <c r="B497" i="8" s="1"/>
  <c r="AM496" i="8"/>
  <c r="O496" i="8" a="1"/>
  <c r="O496" i="8" s="1"/>
  <c r="L496" i="8" a="1"/>
  <c r="L496" i="8" s="1"/>
  <c r="K496" i="8" a="1"/>
  <c r="K496" i="8" s="1"/>
  <c r="J496" i="8" a="1"/>
  <c r="J496" i="8" s="1"/>
  <c r="D496" i="8" a="1"/>
  <c r="D496" i="8" s="1"/>
  <c r="C496" i="8" a="1"/>
  <c r="C496" i="8" s="1"/>
  <c r="B496" i="8" a="1"/>
  <c r="B496" i="8" s="1"/>
  <c r="AM495" i="8"/>
  <c r="O495" i="8" a="1"/>
  <c r="O495" i="8" s="1"/>
  <c r="L495" i="8" a="1"/>
  <c r="L495" i="8" s="1"/>
  <c r="K495" i="8" a="1"/>
  <c r="K495" i="8" s="1"/>
  <c r="J495" i="8" a="1"/>
  <c r="J495" i="8" s="1"/>
  <c r="D495" i="8" a="1"/>
  <c r="D495" i="8" s="1"/>
  <c r="C495" i="8" a="1"/>
  <c r="C495" i="8" s="1"/>
  <c r="B495" i="8" a="1"/>
  <c r="B495" i="8" s="1"/>
  <c r="AM494" i="8"/>
  <c r="O494" i="8" a="1"/>
  <c r="O494" i="8" s="1"/>
  <c r="L494" i="8" a="1"/>
  <c r="L494" i="8" s="1"/>
  <c r="K494" i="8" a="1"/>
  <c r="K494" i="8" s="1"/>
  <c r="J494" i="8" a="1"/>
  <c r="J494" i="8" s="1"/>
  <c r="D494" i="8" a="1"/>
  <c r="D494" i="8" s="1"/>
  <c r="C494" i="8" a="1"/>
  <c r="C494" i="8" s="1"/>
  <c r="B494" i="8" a="1"/>
  <c r="B494" i="8" s="1"/>
  <c r="A493" i="8"/>
  <c r="D225" i="8" a="1"/>
  <c r="D225" i="8" s="1"/>
  <c r="AP225" i="8" s="1"/>
  <c r="C225" i="8" a="1"/>
  <c r="C225" i="8" s="1"/>
  <c r="Y154" i="5"/>
  <c r="S154" i="5"/>
  <c r="Q154" i="5"/>
  <c r="M154" i="5"/>
  <c r="G154" i="5" a="1"/>
  <c r="G154" i="5" s="1"/>
  <c r="F154" i="5" a="1"/>
  <c r="F154" i="5" s="1"/>
  <c r="E154" i="5" a="1"/>
  <c r="E154" i="5" s="1"/>
  <c r="T154" i="5" s="1"/>
  <c r="D154" i="5" a="1"/>
  <c r="D154" i="5" s="1"/>
  <c r="AD202" i="8"/>
  <c r="AD64" i="8"/>
  <c r="P64" i="8"/>
  <c r="AM64" i="8"/>
  <c r="O64" i="8" a="1"/>
  <c r="O64" i="8" s="1"/>
  <c r="K64" i="8" a="1"/>
  <c r="K64" i="8" s="1"/>
  <c r="J64" i="8" a="1"/>
  <c r="J64" i="8" s="1"/>
  <c r="D64" i="8" a="1"/>
  <c r="D64" i="8" s="1"/>
  <c r="C64" i="8" a="1"/>
  <c r="C64" i="8" s="1"/>
  <c r="B64" i="8" a="1"/>
  <c r="B64" i="8" s="1"/>
  <c r="AR225" i="8"/>
  <c r="AJ64" i="8" l="1"/>
  <c r="F64" i="8" s="1"/>
  <c r="AK64" i="8"/>
  <c r="G64" i="8" s="1"/>
  <c r="AK119" i="8"/>
  <c r="G119" i="8" s="1"/>
  <c r="AJ119" i="8"/>
  <c r="F119" i="8" s="1"/>
  <c r="AJ183" i="8"/>
  <c r="F183" i="8" s="1"/>
  <c r="AK183" i="8"/>
  <c r="G183" i="8" s="1"/>
  <c r="AJ96" i="8"/>
  <c r="F96" i="8" s="1"/>
  <c r="AK96" i="8"/>
  <c r="G96" i="8" s="1"/>
  <c r="AS232" i="8"/>
  <c r="AQ232" i="8"/>
  <c r="U306" i="5"/>
  <c r="AD306" i="5" s="1"/>
  <c r="M13" i="4"/>
  <c r="F13" i="4"/>
  <c r="U178" i="5"/>
  <c r="AD178" i="5" s="1"/>
  <c r="AP227" i="8"/>
  <c r="N178" i="5"/>
  <c r="U154" i="5"/>
  <c r="AD154" i="5" s="1"/>
  <c r="U37" i="5"/>
  <c r="AD37" i="5" s="1"/>
  <c r="N306" i="5"/>
  <c r="AN183" i="8"/>
  <c r="AI183" i="8"/>
  <c r="AG183" i="8"/>
  <c r="H183" i="8" s="1"/>
  <c r="AE183" i="8"/>
  <c r="E183" i="8" s="1"/>
  <c r="M183" i="8"/>
  <c r="Q183" i="8" s="1"/>
  <c r="N183" i="8"/>
  <c r="R183" i="8" s="1"/>
  <c r="AI37" i="5"/>
  <c r="V37" i="5"/>
  <c r="N37" i="5"/>
  <c r="AN119" i="8"/>
  <c r="AI119" i="8"/>
  <c r="AG119" i="8"/>
  <c r="H119" i="8" s="1"/>
  <c r="AE119" i="8"/>
  <c r="E119" i="8" s="1"/>
  <c r="M119" i="8"/>
  <c r="Q119" i="8" s="1"/>
  <c r="N119" i="8"/>
  <c r="R119" i="8" s="1"/>
  <c r="AU96" i="8"/>
  <c r="M96" i="8"/>
  <c r="Q96" i="8" s="1"/>
  <c r="R96" i="8"/>
  <c r="AI96" i="8"/>
  <c r="AN96" i="8"/>
  <c r="AG96" i="8"/>
  <c r="H96" i="8" s="1"/>
  <c r="AE96" i="8"/>
  <c r="E96" i="8" s="1"/>
  <c r="U274" i="5"/>
  <c r="AD274" i="5" s="1"/>
  <c r="N274" i="5"/>
  <c r="AP226" i="8"/>
  <c r="N496" i="8"/>
  <c r="R496" i="8" s="1"/>
  <c r="M496" i="8"/>
  <c r="Q496" i="8" s="1"/>
  <c r="AE495" i="8"/>
  <c r="E495" i="8" s="1"/>
  <c r="AN495" i="8"/>
  <c r="AK495" i="8"/>
  <c r="AG495" i="8"/>
  <c r="AJ495" i="8"/>
  <c r="AI495" i="8"/>
  <c r="AE494" i="8"/>
  <c r="E494" i="8" s="1"/>
  <c r="AN494" i="8"/>
  <c r="AJ494" i="8"/>
  <c r="AI494" i="8"/>
  <c r="AK494" i="8"/>
  <c r="AG494" i="8"/>
  <c r="N495" i="8"/>
  <c r="R495" i="8" s="1"/>
  <c r="M495" i="8"/>
  <c r="Q495" i="8" s="1"/>
  <c r="AN497" i="8"/>
  <c r="AK497" i="8"/>
  <c r="AJ497" i="8"/>
  <c r="AI497" i="8"/>
  <c r="AG497" i="8"/>
  <c r="AE497" i="8"/>
  <c r="E497" i="8" s="1"/>
  <c r="M494" i="8"/>
  <c r="Q494" i="8" s="1"/>
  <c r="N494" i="8"/>
  <c r="R494" i="8" s="1"/>
  <c r="AN496" i="8"/>
  <c r="AK496" i="8"/>
  <c r="AJ496" i="8"/>
  <c r="AI496" i="8"/>
  <c r="AG496" i="8"/>
  <c r="AE496" i="8"/>
  <c r="E496" i="8" s="1"/>
  <c r="M497" i="8"/>
  <c r="Q497" i="8" s="1"/>
  <c r="N497" i="8"/>
  <c r="R497" i="8" s="1"/>
  <c r="AI154" i="5"/>
  <c r="N154" i="5"/>
  <c r="V154" i="5"/>
  <c r="AN64" i="8"/>
  <c r="AI64" i="8"/>
  <c r="AG64" i="8"/>
  <c r="H64" i="8" s="1"/>
  <c r="AE64" i="8"/>
  <c r="E64" i="8" s="1"/>
  <c r="M64" i="8"/>
  <c r="Q64" i="8" s="1"/>
  <c r="N64" i="8"/>
  <c r="R64" i="8" s="1"/>
  <c r="AO523" i="8" l="1"/>
  <c r="AT232" i="8"/>
  <c r="AB37" i="5"/>
  <c r="AB154" i="5"/>
  <c r="AN225" i="8" l="1"/>
  <c r="D251" i="5" l="1" a="1"/>
  <c r="D251" i="5" s="1"/>
  <c r="E251" i="5" a="1"/>
  <c r="E251" i="5" s="1"/>
  <c r="T251" i="5" s="1"/>
  <c r="F251" i="5" a="1"/>
  <c r="F251" i="5" s="1"/>
  <c r="G251" i="5" a="1"/>
  <c r="G251" i="5" s="1"/>
  <c r="M251" i="5"/>
  <c r="Q251" i="5"/>
  <c r="S251" i="5"/>
  <c r="Y251" i="5"/>
  <c r="D250" i="5" a="1"/>
  <c r="D250" i="5" s="1"/>
  <c r="E250" i="5" a="1"/>
  <c r="E250" i="5" s="1"/>
  <c r="T250" i="5" s="1"/>
  <c r="F250" i="5" a="1"/>
  <c r="F250" i="5" s="1"/>
  <c r="G250" i="5" a="1"/>
  <c r="G250" i="5" s="1"/>
  <c r="M250" i="5"/>
  <c r="Q250" i="5"/>
  <c r="S250" i="5"/>
  <c r="Y250" i="5"/>
  <c r="P151" i="8"/>
  <c r="P174" i="8"/>
  <c r="AM174" i="8"/>
  <c r="O174" i="8" a="1"/>
  <c r="O174" i="8" s="1"/>
  <c r="K174" i="8" a="1"/>
  <c r="K174" i="8" s="1"/>
  <c r="J174" i="8" a="1"/>
  <c r="J174" i="8" s="1"/>
  <c r="D174" i="8" a="1"/>
  <c r="D174" i="8" s="1"/>
  <c r="C174" i="8" a="1"/>
  <c r="C174" i="8" s="1"/>
  <c r="B174" i="8" a="1"/>
  <c r="B174" i="8" s="1"/>
  <c r="AM151" i="8"/>
  <c r="O151" i="8" a="1"/>
  <c r="O151" i="8" s="1"/>
  <c r="K151" i="8" a="1"/>
  <c r="K151" i="8" s="1"/>
  <c r="J151" i="8" a="1"/>
  <c r="J151" i="8" s="1"/>
  <c r="D151" i="8" a="1"/>
  <c r="D151" i="8" s="1"/>
  <c r="C151" i="8" a="1"/>
  <c r="C151" i="8" s="1"/>
  <c r="B151" i="8" a="1"/>
  <c r="B151" i="8" s="1"/>
  <c r="AJ151" i="8" l="1"/>
  <c r="F151" i="8" s="1"/>
  <c r="AK151" i="8"/>
  <c r="G151" i="8" s="1"/>
  <c r="AJ174" i="8"/>
  <c r="F174" i="8" s="1"/>
  <c r="AK174" i="8"/>
  <c r="G174" i="8" s="1"/>
  <c r="U251" i="5"/>
  <c r="AD251" i="5" s="1"/>
  <c r="N251" i="5"/>
  <c r="U250" i="5"/>
  <c r="AD250" i="5" s="1"/>
  <c r="N250" i="5"/>
  <c r="N151" i="8"/>
  <c r="R151" i="8" s="1"/>
  <c r="M151" i="8"/>
  <c r="Q151" i="8" s="1"/>
  <c r="AN174" i="8"/>
  <c r="AI174" i="8"/>
  <c r="AG174" i="8"/>
  <c r="H174" i="8" s="1"/>
  <c r="AE174" i="8"/>
  <c r="E174" i="8" s="1"/>
  <c r="AN151" i="8"/>
  <c r="AI151" i="8"/>
  <c r="AG151" i="8"/>
  <c r="H151" i="8" s="1"/>
  <c r="AE151" i="8"/>
  <c r="E151" i="8" s="1"/>
  <c r="M174" i="8"/>
  <c r="Q174" i="8" s="1"/>
  <c r="N174" i="8"/>
  <c r="R174" i="8" s="1"/>
  <c r="K276" i="4" l="1"/>
  <c r="L276" i="4"/>
  <c r="I274" i="4"/>
  <c r="H274" i="4"/>
  <c r="AM492" i="8"/>
  <c r="O492" i="8" a="1"/>
  <c r="O492" i="8" s="1"/>
  <c r="L492" i="8" a="1"/>
  <c r="L492" i="8" s="1"/>
  <c r="K492" i="8" a="1"/>
  <c r="K492" i="8" s="1"/>
  <c r="J492" i="8" a="1"/>
  <c r="J492" i="8" s="1"/>
  <c r="D492" i="8" a="1"/>
  <c r="D492" i="8" s="1"/>
  <c r="C492" i="8" a="1"/>
  <c r="C492" i="8" s="1"/>
  <c r="B492" i="8" a="1"/>
  <c r="B492" i="8" s="1"/>
  <c r="AM491" i="8"/>
  <c r="O491" i="8" a="1"/>
  <c r="O491" i="8" s="1"/>
  <c r="L491" i="8" a="1"/>
  <c r="L491" i="8" s="1"/>
  <c r="K491" i="8" a="1"/>
  <c r="K491" i="8" s="1"/>
  <c r="J491" i="8" a="1"/>
  <c r="J491" i="8" s="1"/>
  <c r="D491" i="8" a="1"/>
  <c r="D491" i="8" s="1"/>
  <c r="C491" i="8" a="1"/>
  <c r="C491" i="8" s="1"/>
  <c r="B491" i="8" a="1"/>
  <c r="B491" i="8" s="1"/>
  <c r="AM490" i="8"/>
  <c r="O490" i="8" a="1"/>
  <c r="O490" i="8" s="1"/>
  <c r="L490" i="8" a="1"/>
  <c r="L490" i="8" s="1"/>
  <c r="K490" i="8" a="1"/>
  <c r="K490" i="8" s="1"/>
  <c r="J490" i="8" a="1"/>
  <c r="J490" i="8" s="1"/>
  <c r="D490" i="8" a="1"/>
  <c r="D490" i="8" s="1"/>
  <c r="C490" i="8" a="1"/>
  <c r="C490" i="8" s="1"/>
  <c r="B490" i="8" a="1"/>
  <c r="B490" i="8" s="1"/>
  <c r="AM489" i="8"/>
  <c r="O489" i="8" a="1"/>
  <c r="O489" i="8" s="1"/>
  <c r="L489" i="8" a="1"/>
  <c r="L489" i="8" s="1"/>
  <c r="K489" i="8" a="1"/>
  <c r="K489" i="8" s="1"/>
  <c r="J489" i="8" a="1"/>
  <c r="J489" i="8" s="1"/>
  <c r="D489" i="8" a="1"/>
  <c r="D489" i="8" s="1"/>
  <c r="C489" i="8" a="1"/>
  <c r="C489" i="8" s="1"/>
  <c r="B489" i="8" a="1"/>
  <c r="B489" i="8" s="1"/>
  <c r="AC67" i="8"/>
  <c r="I67" i="8" s="1"/>
  <c r="AC22" i="8"/>
  <c r="AC25" i="8"/>
  <c r="I25" i="8" s="1"/>
  <c r="AH136" i="8"/>
  <c r="AC52" i="8"/>
  <c r="D340" i="8" a="1"/>
  <c r="D340" i="8" s="1"/>
  <c r="C340" i="8" a="1"/>
  <c r="C340" i="8" s="1"/>
  <c r="D40" i="5" a="1"/>
  <c r="D40" i="5" s="1"/>
  <c r="E40" i="5" a="1"/>
  <c r="E40" i="5" s="1"/>
  <c r="T40" i="5" s="1"/>
  <c r="F40" i="5" a="1"/>
  <c r="F40" i="5" s="1"/>
  <c r="G40" i="5" a="1"/>
  <c r="G40" i="5" s="1"/>
  <c r="M40" i="5"/>
  <c r="Q40" i="5"/>
  <c r="S40" i="5"/>
  <c r="Y40" i="5"/>
  <c r="P143" i="8"/>
  <c r="AM143" i="8"/>
  <c r="O143" i="8" a="1"/>
  <c r="O143" i="8" s="1"/>
  <c r="K143" i="8" a="1"/>
  <c r="K143" i="8" s="1"/>
  <c r="J143" i="8" a="1"/>
  <c r="J143" i="8" s="1"/>
  <c r="D143" i="8" a="1"/>
  <c r="D143" i="8" s="1"/>
  <c r="C143" i="8" a="1"/>
  <c r="C143" i="8" s="1"/>
  <c r="B143" i="8" a="1"/>
  <c r="B143" i="8" s="1"/>
  <c r="AR340" i="8"/>
  <c r="D177" i="5" a="1"/>
  <c r="D177" i="5" s="1"/>
  <c r="E177" i="5" a="1"/>
  <c r="E177" i="5" s="1"/>
  <c r="T177" i="5" s="1"/>
  <c r="F177" i="5" a="1"/>
  <c r="F177" i="5" s="1"/>
  <c r="G177" i="5" a="1"/>
  <c r="G177" i="5" s="1"/>
  <c r="M177" i="5"/>
  <c r="Q177" i="5"/>
  <c r="S177" i="5"/>
  <c r="Y177" i="5"/>
  <c r="P135" i="8"/>
  <c r="AM135" i="8"/>
  <c r="O135" i="8" a="1"/>
  <c r="O135" i="8" s="1"/>
  <c r="K135" i="8" a="1"/>
  <c r="K135" i="8" s="1"/>
  <c r="J135" i="8" a="1"/>
  <c r="J135" i="8" s="1"/>
  <c r="D135" i="8" a="1"/>
  <c r="D135" i="8" s="1"/>
  <c r="C135" i="8" a="1"/>
  <c r="C135" i="8" s="1"/>
  <c r="B135" i="8" a="1"/>
  <c r="B135" i="8" s="1"/>
  <c r="H247" i="4"/>
  <c r="L283" i="4"/>
  <c r="L287" i="4" s="1"/>
  <c r="M290" i="4"/>
  <c r="I290" i="4"/>
  <c r="F290" i="4" s="1"/>
  <c r="E290" i="4"/>
  <c r="M287" i="4"/>
  <c r="I287" i="4"/>
  <c r="F287" i="4" s="1"/>
  <c r="E287" i="4"/>
  <c r="E283" i="4"/>
  <c r="I283" i="4"/>
  <c r="F283" i="4" s="1"/>
  <c r="M283" i="4"/>
  <c r="E284" i="4"/>
  <c r="I284" i="4"/>
  <c r="F284" i="4" s="1"/>
  <c r="M284" i="4"/>
  <c r="I282" i="4"/>
  <c r="F282" i="4" s="1"/>
  <c r="M282" i="4"/>
  <c r="E282" i="4"/>
  <c r="Q243" i="5"/>
  <c r="S243" i="5"/>
  <c r="U243" i="5" s="1"/>
  <c r="M243" i="5"/>
  <c r="G243" i="5" a="1"/>
  <c r="G243" i="5" s="1"/>
  <c r="F243" i="5" a="1"/>
  <c r="F243" i="5" s="1"/>
  <c r="E243" i="5" a="1"/>
  <c r="E243" i="5" s="1"/>
  <c r="D243" i="5" a="1"/>
  <c r="D243" i="5" s="1"/>
  <c r="D113" i="5" a="1"/>
  <c r="D113" i="5" s="1"/>
  <c r="E113" i="5" a="1"/>
  <c r="E113" i="5" s="1"/>
  <c r="T113" i="5" s="1"/>
  <c r="F113" i="5" a="1"/>
  <c r="F113" i="5" s="1"/>
  <c r="G113" i="5" a="1"/>
  <c r="G113" i="5" s="1"/>
  <c r="M113" i="5"/>
  <c r="Q113" i="5"/>
  <c r="S113" i="5"/>
  <c r="Y113" i="5"/>
  <c r="P138" i="8"/>
  <c r="AM138" i="8"/>
  <c r="O138" i="8" a="1"/>
  <c r="O138" i="8" s="1"/>
  <c r="K138" i="8" a="1"/>
  <c r="K138" i="8" s="1"/>
  <c r="J138" i="8" a="1"/>
  <c r="J138" i="8" s="1"/>
  <c r="D138" i="8" a="1"/>
  <c r="D138" i="8" s="1"/>
  <c r="C138" i="8" a="1"/>
  <c r="C138" i="8" s="1"/>
  <c r="B138" i="8" a="1"/>
  <c r="B138" i="8" s="1"/>
  <c r="Y41" i="5"/>
  <c r="S41" i="5"/>
  <c r="Q41" i="5"/>
  <c r="M41" i="5"/>
  <c r="G41" i="5" a="1"/>
  <c r="G41" i="5" s="1"/>
  <c r="F41" i="5" a="1"/>
  <c r="F41" i="5" s="1"/>
  <c r="E41" i="5" a="1"/>
  <c r="E41" i="5" s="1"/>
  <c r="T41" i="5" s="1"/>
  <c r="D41" i="5" a="1"/>
  <c r="D41" i="5" s="1"/>
  <c r="P202" i="8"/>
  <c r="AM202" i="8"/>
  <c r="O202" i="8" a="1"/>
  <c r="O202" i="8" s="1"/>
  <c r="K202" i="8" a="1"/>
  <c r="K202" i="8" s="1"/>
  <c r="J202" i="8" a="1"/>
  <c r="J202" i="8" s="1"/>
  <c r="D202" i="8" a="1"/>
  <c r="D202" i="8" s="1"/>
  <c r="C202" i="8" a="1"/>
  <c r="C202" i="8" s="1"/>
  <c r="B202" i="8" a="1"/>
  <c r="B202" i="8" s="1"/>
  <c r="E52" i="15"/>
  <c r="AR339" i="8"/>
  <c r="C339" i="8" a="1"/>
  <c r="C339" i="8" s="1"/>
  <c r="D339" i="8" a="1"/>
  <c r="D339" i="8" s="1"/>
  <c r="AN339" i="8" s="1"/>
  <c r="AM488" i="8"/>
  <c r="O488" i="8" a="1"/>
  <c r="O488" i="8" s="1"/>
  <c r="L488" i="8" a="1"/>
  <c r="L488" i="8" s="1"/>
  <c r="K488" i="8" a="1"/>
  <c r="K488" i="8" s="1"/>
  <c r="J488" i="8" a="1"/>
  <c r="J488" i="8" s="1"/>
  <c r="D488" i="8" a="1"/>
  <c r="D488" i="8" s="1"/>
  <c r="C488" i="8" a="1"/>
  <c r="C488" i="8" s="1"/>
  <c r="B488" i="8" a="1"/>
  <c r="B488" i="8" s="1"/>
  <c r="AM487" i="8"/>
  <c r="O487" i="8" a="1"/>
  <c r="O487" i="8" s="1"/>
  <c r="L487" i="8" a="1"/>
  <c r="L487" i="8" s="1"/>
  <c r="K487" i="8" a="1"/>
  <c r="K487" i="8" s="1"/>
  <c r="J487" i="8" a="1"/>
  <c r="J487" i="8" s="1"/>
  <c r="D487" i="8" a="1"/>
  <c r="D487" i="8" s="1"/>
  <c r="C487" i="8" a="1"/>
  <c r="C487" i="8" s="1"/>
  <c r="B487" i="8" a="1"/>
  <c r="B487" i="8" s="1"/>
  <c r="AR338" i="8"/>
  <c r="C338" i="8" a="1"/>
  <c r="C338" i="8" s="1"/>
  <c r="D338" i="8" a="1"/>
  <c r="D338" i="8" s="1"/>
  <c r="AN338" i="8" s="1"/>
  <c r="AR337" i="8"/>
  <c r="AR336" i="8"/>
  <c r="D227" i="5" a="1"/>
  <c r="D227" i="5" s="1"/>
  <c r="E227" i="5" a="1"/>
  <c r="E227" i="5" s="1"/>
  <c r="T227" i="5" s="1"/>
  <c r="F227" i="5" a="1"/>
  <c r="F227" i="5" s="1"/>
  <c r="G227" i="5" a="1"/>
  <c r="G227" i="5" s="1"/>
  <c r="S227" i="5"/>
  <c r="M227" i="5"/>
  <c r="Q227" i="5"/>
  <c r="Y227" i="5"/>
  <c r="AD144" i="8"/>
  <c r="P161" i="8"/>
  <c r="AM161" i="8"/>
  <c r="O161" i="8" a="1"/>
  <c r="O161" i="8" s="1"/>
  <c r="K161" i="8" a="1"/>
  <c r="K161" i="8" s="1"/>
  <c r="J161" i="8" a="1"/>
  <c r="J161" i="8" s="1"/>
  <c r="D161" i="8" a="1"/>
  <c r="D161" i="8" s="1"/>
  <c r="C161" i="8" a="1"/>
  <c r="C161" i="8" s="1"/>
  <c r="B161" i="8" a="1"/>
  <c r="B161" i="8" s="1"/>
  <c r="I52" i="8" l="1"/>
  <c r="AD52" i="8"/>
  <c r="I22" i="8"/>
  <c r="AD22" i="8"/>
  <c r="AN202" i="8"/>
  <c r="AK202" i="8"/>
  <c r="G202" i="8" s="1"/>
  <c r="AJ202" i="8"/>
  <c r="F202" i="8" s="1"/>
  <c r="AJ143" i="8"/>
  <c r="F143" i="8" s="1"/>
  <c r="AK143" i="8"/>
  <c r="G143" i="8" s="1"/>
  <c r="AJ138" i="8"/>
  <c r="F138" i="8" s="1"/>
  <c r="AK138" i="8"/>
  <c r="G138" i="8" s="1"/>
  <c r="AJ135" i="8"/>
  <c r="F135" i="8" s="1"/>
  <c r="AK135" i="8"/>
  <c r="G135" i="8" s="1"/>
  <c r="AJ161" i="8"/>
  <c r="F161" i="8" s="1"/>
  <c r="AK161" i="8"/>
  <c r="G161" i="8" s="1"/>
  <c r="AS339" i="8"/>
  <c r="N491" i="8"/>
  <c r="R491" i="8" s="1"/>
  <c r="M491" i="8"/>
  <c r="Q491" i="8" s="1"/>
  <c r="AN490" i="8"/>
  <c r="AK490" i="8"/>
  <c r="AJ490" i="8"/>
  <c r="AI490" i="8"/>
  <c r="AG490" i="8"/>
  <c r="AE490" i="8"/>
  <c r="E490" i="8" s="1"/>
  <c r="AE489" i="8"/>
  <c r="E489" i="8" s="1"/>
  <c r="AN489" i="8"/>
  <c r="AK489" i="8"/>
  <c r="AJ489" i="8"/>
  <c r="AI489" i="8"/>
  <c r="AG489" i="8"/>
  <c r="N490" i="8"/>
  <c r="R490" i="8" s="1"/>
  <c r="M490" i="8"/>
  <c r="Q490" i="8" s="1"/>
  <c r="AN492" i="8"/>
  <c r="AK492" i="8"/>
  <c r="AJ492" i="8"/>
  <c r="AI492" i="8"/>
  <c r="AG492" i="8"/>
  <c r="AE492" i="8"/>
  <c r="E492" i="8" s="1"/>
  <c r="N489" i="8"/>
  <c r="R489" i="8" s="1"/>
  <c r="M489" i="8"/>
  <c r="Q489" i="8" s="1"/>
  <c r="AN491" i="8"/>
  <c r="AK491" i="8"/>
  <c r="AJ491" i="8"/>
  <c r="AI491" i="8"/>
  <c r="AG491" i="8"/>
  <c r="AE491" i="8"/>
  <c r="E491" i="8" s="1"/>
  <c r="M492" i="8"/>
  <c r="Q492" i="8" s="1"/>
  <c r="N492" i="8"/>
  <c r="R492" i="8" s="1"/>
  <c r="Z137" i="8"/>
  <c r="AC137" i="8"/>
  <c r="AC136" i="8"/>
  <c r="Z136" i="8"/>
  <c r="Z52" i="8"/>
  <c r="AP340" i="8"/>
  <c r="AQ340" i="8" s="1"/>
  <c r="AN340" i="8"/>
  <c r="U40" i="5"/>
  <c r="AD40" i="5" s="1"/>
  <c r="AI40" i="5"/>
  <c r="N40" i="5"/>
  <c r="V40" i="5"/>
  <c r="AN143" i="8"/>
  <c r="AI143" i="8"/>
  <c r="AG143" i="8"/>
  <c r="H143" i="8" s="1"/>
  <c r="AE143" i="8"/>
  <c r="E143" i="8" s="1"/>
  <c r="M143" i="8"/>
  <c r="Q143" i="8" s="1"/>
  <c r="N143" i="8"/>
  <c r="R143" i="8" s="1"/>
  <c r="AS340" i="8"/>
  <c r="U177" i="5"/>
  <c r="AD177" i="5" s="1"/>
  <c r="N177" i="5"/>
  <c r="AN135" i="8"/>
  <c r="AI135" i="8"/>
  <c r="AG135" i="8"/>
  <c r="H135" i="8" s="1"/>
  <c r="AE135" i="8"/>
  <c r="E135" i="8" s="1"/>
  <c r="M135" i="8"/>
  <c r="Q135" i="8" s="1"/>
  <c r="N135" i="8"/>
  <c r="R135" i="8" s="1"/>
  <c r="L290" i="4"/>
  <c r="L142" i="5"/>
  <c r="L127" i="5"/>
  <c r="I285" i="4"/>
  <c r="L173" i="5" s="1"/>
  <c r="L284" i="4"/>
  <c r="U41" i="5"/>
  <c r="AD41" i="5" s="1"/>
  <c r="AD243" i="5"/>
  <c r="N243" i="5"/>
  <c r="U113" i="5"/>
  <c r="AD113" i="5" s="1"/>
  <c r="N113" i="5"/>
  <c r="AN138" i="8"/>
  <c r="AI138" i="8"/>
  <c r="AG138" i="8"/>
  <c r="H138" i="8" s="1"/>
  <c r="AE138" i="8"/>
  <c r="E138" i="8" s="1"/>
  <c r="M138" i="8"/>
  <c r="Q138" i="8" s="1"/>
  <c r="N138" i="8"/>
  <c r="R138" i="8" s="1"/>
  <c r="N41" i="5"/>
  <c r="M202" i="8"/>
  <c r="Q202" i="8" s="1"/>
  <c r="N202" i="8"/>
  <c r="R202" i="8" s="1"/>
  <c r="AE202" i="8"/>
  <c r="E202" i="8" s="1"/>
  <c r="AG202" i="8"/>
  <c r="H202" i="8" s="1"/>
  <c r="AI202" i="8"/>
  <c r="AP339" i="8"/>
  <c r="AQ339" i="8" s="1"/>
  <c r="N488" i="8"/>
  <c r="R488" i="8" s="1"/>
  <c r="M488" i="8"/>
  <c r="Q488" i="8" s="1"/>
  <c r="AI487" i="8"/>
  <c r="AG487" i="8"/>
  <c r="AK487" i="8"/>
  <c r="AN487" i="8"/>
  <c r="AE487" i="8"/>
  <c r="E487" i="8" s="1"/>
  <c r="AJ487" i="8"/>
  <c r="M487" i="8"/>
  <c r="Q487" i="8" s="1"/>
  <c r="N487" i="8"/>
  <c r="R487" i="8" s="1"/>
  <c r="AN488" i="8"/>
  <c r="AI488" i="8"/>
  <c r="AK488" i="8"/>
  <c r="AJ488" i="8"/>
  <c r="AG488" i="8"/>
  <c r="AE488" i="8"/>
  <c r="E488" i="8" s="1"/>
  <c r="AS336" i="8"/>
  <c r="AP338" i="8"/>
  <c r="U227" i="5"/>
  <c r="AD227" i="5" s="1"/>
  <c r="N227" i="5"/>
  <c r="AN161" i="8"/>
  <c r="AI161" i="8"/>
  <c r="AG161" i="8"/>
  <c r="H161" i="8" s="1"/>
  <c r="AE161" i="8"/>
  <c r="E161" i="8" s="1"/>
  <c r="M161" i="8"/>
  <c r="Q161" i="8" s="1"/>
  <c r="N161" i="8"/>
  <c r="R161" i="8" s="1"/>
  <c r="I136" i="8" l="1"/>
  <c r="AD136" i="8"/>
  <c r="I137" i="8"/>
  <c r="AD137" i="8"/>
  <c r="AT339" i="8"/>
  <c r="AT340" i="8"/>
  <c r="AB40" i="5"/>
  <c r="Y243" i="5"/>
  <c r="AM337" i="8"/>
  <c r="C336" i="8" a="1"/>
  <c r="C336" i="8" s="1"/>
  <c r="D336" i="8" a="1"/>
  <c r="D336" i="8" s="1"/>
  <c r="AP336" i="8" s="1"/>
  <c r="AQ336" i="8" s="1"/>
  <c r="AT336" i="8" s="1"/>
  <c r="C337" i="8" a="1"/>
  <c r="C337" i="8" s="1"/>
  <c r="D337" i="8" a="1"/>
  <c r="D337" i="8" s="1"/>
  <c r="S278" i="5"/>
  <c r="AO235" i="8" s="1"/>
  <c r="M278" i="5"/>
  <c r="G278" i="5" a="1"/>
  <c r="G278" i="5" s="1"/>
  <c r="F278" i="5" a="1"/>
  <c r="F278" i="5" s="1"/>
  <c r="E278" i="5" a="1"/>
  <c r="E278" i="5" s="1"/>
  <c r="D278" i="5" a="1"/>
  <c r="D278" i="5" s="1"/>
  <c r="D110" i="5" a="1"/>
  <c r="D110" i="5" s="1"/>
  <c r="E110" i="5" a="1"/>
  <c r="E110" i="5" s="1"/>
  <c r="T110" i="5" s="1"/>
  <c r="F110" i="5" a="1"/>
  <c r="F110" i="5" s="1"/>
  <c r="G110" i="5" a="1"/>
  <c r="G110" i="5" s="1"/>
  <c r="M110" i="5"/>
  <c r="Q110" i="5"/>
  <c r="S110" i="5"/>
  <c r="Y110" i="5"/>
  <c r="AD95" i="8"/>
  <c r="P95" i="8"/>
  <c r="AM95" i="8"/>
  <c r="O95" i="8" a="1"/>
  <c r="O95" i="8" s="1"/>
  <c r="K95" i="8" a="1"/>
  <c r="K95" i="8" s="1"/>
  <c r="J95" i="8" a="1"/>
  <c r="J95" i="8" s="1"/>
  <c r="D95" i="8" a="1"/>
  <c r="D95" i="8" s="1"/>
  <c r="C95" i="8" a="1"/>
  <c r="C95" i="8" s="1"/>
  <c r="B95" i="8" a="1"/>
  <c r="B95" i="8" s="1"/>
  <c r="AS235" i="8" l="1"/>
  <c r="AQ235" i="8"/>
  <c r="U278" i="5"/>
  <c r="AD278" i="5" s="1"/>
  <c r="AN337" i="8"/>
  <c r="AP337" i="8"/>
  <c r="N278" i="5"/>
  <c r="U110" i="5"/>
  <c r="AD110" i="5" s="1"/>
  <c r="V110" i="5"/>
  <c r="AI110" i="5"/>
  <c r="N110" i="5"/>
  <c r="AN95" i="8"/>
  <c r="AK95" i="8"/>
  <c r="G95" i="8" s="1"/>
  <c r="AJ95" i="8"/>
  <c r="F95" i="8" s="1"/>
  <c r="AI95" i="8"/>
  <c r="AG95" i="8"/>
  <c r="H95" i="8" s="1"/>
  <c r="AE95" i="8"/>
  <c r="E95" i="8" s="1"/>
  <c r="M95" i="8"/>
  <c r="Q95" i="8" s="1"/>
  <c r="N95" i="8"/>
  <c r="R95" i="8" s="1"/>
  <c r="AT235" i="8" l="1"/>
  <c r="AB110" i="5"/>
  <c r="E187" i="5" l="1" a="1"/>
  <c r="E187" i="5" s="1"/>
  <c r="T187" i="5" s="1"/>
  <c r="AN336" i="8"/>
  <c r="AM336" i="8"/>
  <c r="AM328" i="8"/>
  <c r="AM329" i="8"/>
  <c r="AM330" i="8"/>
  <c r="AM331" i="8"/>
  <c r="AM332" i="8"/>
  <c r="AM333" i="8"/>
  <c r="AM334" i="8"/>
  <c r="AM311" i="8"/>
  <c r="AM312" i="8"/>
  <c r="AM313" i="8"/>
  <c r="AM314" i="8"/>
  <c r="AM316" i="8"/>
  <c r="AM317" i="8"/>
  <c r="AM318" i="8"/>
  <c r="AM319" i="8"/>
  <c r="AM320" i="8"/>
  <c r="AM321" i="8"/>
  <c r="AM322" i="8"/>
  <c r="AM324" i="8"/>
  <c r="AM325" i="8"/>
  <c r="AM326" i="8"/>
  <c r="AM327" i="8"/>
  <c r="AM300" i="8"/>
  <c r="AM302" i="8"/>
  <c r="AM303" i="8"/>
  <c r="AM304" i="8"/>
  <c r="AM307" i="8"/>
  <c r="AM255" i="8"/>
  <c r="AM256" i="8"/>
  <c r="AM257" i="8"/>
  <c r="AM258" i="8"/>
  <c r="AM260" i="8"/>
  <c r="AM261" i="8"/>
  <c r="AM262" i="8"/>
  <c r="AM263" i="8"/>
  <c r="AM264" i="8"/>
  <c r="AM265" i="8"/>
  <c r="AM266" i="8"/>
  <c r="AM267" i="8"/>
  <c r="AM268" i="8"/>
  <c r="AM269" i="8"/>
  <c r="AM270" i="8"/>
  <c r="AM271" i="8"/>
  <c r="AM272" i="8"/>
  <c r="AM274" i="8"/>
  <c r="AM276" i="8"/>
  <c r="AM278" i="8"/>
  <c r="AM279" i="8"/>
  <c r="AM280" i="8"/>
  <c r="AM284" i="8"/>
  <c r="AM285" i="8"/>
  <c r="AM286" i="8"/>
  <c r="AM287" i="8"/>
  <c r="AM288" i="8"/>
  <c r="AM289" i="8"/>
  <c r="AM290" i="8"/>
  <c r="AM291" i="8"/>
  <c r="AM292" i="8"/>
  <c r="AM293" i="8"/>
  <c r="AM295" i="8"/>
  <c r="AM296" i="8"/>
  <c r="AM297" i="8"/>
  <c r="AM298" i="8"/>
  <c r="AM299" i="8"/>
  <c r="P81" i="8"/>
  <c r="AB335" i="8"/>
  <c r="Z335" i="8" s="1"/>
  <c r="AM335" i="8" s="1"/>
  <c r="D248" i="5" a="1"/>
  <c r="D248" i="5" s="1"/>
  <c r="E248" i="5" a="1"/>
  <c r="E248" i="5" s="1"/>
  <c r="T248" i="5" s="1"/>
  <c r="F248" i="5" a="1"/>
  <c r="F248" i="5" s="1"/>
  <c r="G248" i="5" a="1"/>
  <c r="G248" i="5" s="1"/>
  <c r="M248" i="5"/>
  <c r="Q248" i="5"/>
  <c r="S248" i="5"/>
  <c r="Y248" i="5"/>
  <c r="P144" i="8"/>
  <c r="AM144" i="8"/>
  <c r="O144" i="8" a="1"/>
  <c r="O144" i="8" s="1"/>
  <c r="K144" i="8" a="1"/>
  <c r="K144" i="8" s="1"/>
  <c r="J144" i="8" a="1"/>
  <c r="J144" i="8" s="1"/>
  <c r="D144" i="8" a="1"/>
  <c r="D144" i="8" s="1"/>
  <c r="C144" i="8" a="1"/>
  <c r="C144" i="8" s="1"/>
  <c r="B144" i="8" a="1"/>
  <c r="B144" i="8" s="1"/>
  <c r="D7" i="5" a="1"/>
  <c r="D7" i="5" s="1"/>
  <c r="E7" i="5" a="1"/>
  <c r="E7" i="5" s="1"/>
  <c r="T7" i="5" s="1"/>
  <c r="F7" i="5" a="1"/>
  <c r="F7" i="5" s="1"/>
  <c r="G7" i="5" a="1"/>
  <c r="G7" i="5" s="1"/>
  <c r="M7" i="5"/>
  <c r="Q7" i="5"/>
  <c r="S7" i="5"/>
  <c r="Y7" i="5"/>
  <c r="D141" i="5" a="1"/>
  <c r="D141" i="5" s="1"/>
  <c r="E141" i="5" a="1"/>
  <c r="E141" i="5" s="1"/>
  <c r="T141" i="5" s="1"/>
  <c r="F141" i="5" a="1"/>
  <c r="F141" i="5" s="1"/>
  <c r="G141" i="5" a="1"/>
  <c r="G141" i="5" s="1"/>
  <c r="M141" i="5"/>
  <c r="Q141" i="5"/>
  <c r="S141" i="5"/>
  <c r="Y141" i="5"/>
  <c r="P137" i="8"/>
  <c r="AM137" i="8"/>
  <c r="O137" i="8" a="1"/>
  <c r="O137" i="8" s="1"/>
  <c r="K137" i="8" a="1"/>
  <c r="K137" i="8" s="1"/>
  <c r="J137" i="8" a="1"/>
  <c r="J137" i="8" s="1"/>
  <c r="D137" i="8" a="1"/>
  <c r="D137" i="8" s="1"/>
  <c r="C137" i="8" a="1"/>
  <c r="C137" i="8" s="1"/>
  <c r="B137" i="8" a="1"/>
  <c r="B137" i="8" s="1"/>
  <c r="AR335" i="8"/>
  <c r="D335" i="8" a="1"/>
  <c r="D335" i="8" s="1"/>
  <c r="AP335" i="8" s="1"/>
  <c r="C335" i="8" a="1"/>
  <c r="C335" i="8" s="1"/>
  <c r="D123" i="5" a="1"/>
  <c r="D123" i="5" s="1"/>
  <c r="E123" i="5" a="1"/>
  <c r="E123" i="5" s="1"/>
  <c r="T123" i="5" s="1"/>
  <c r="F123" i="5" a="1"/>
  <c r="F123" i="5" s="1"/>
  <c r="G123" i="5" a="1"/>
  <c r="G123" i="5" s="1"/>
  <c r="M123" i="5"/>
  <c r="Q123" i="5"/>
  <c r="S123" i="5"/>
  <c r="Y123" i="5"/>
  <c r="AD92" i="8"/>
  <c r="AD120" i="8"/>
  <c r="AD118" i="8"/>
  <c r="AD117" i="8"/>
  <c r="AD141" i="8"/>
  <c r="AD84" i="8"/>
  <c r="AD126" i="8"/>
  <c r="AD116" i="8"/>
  <c r="AD121" i="8"/>
  <c r="AD107" i="8"/>
  <c r="AD206" i="8"/>
  <c r="AD195" i="8"/>
  <c r="AD69" i="8"/>
  <c r="AD187" i="8"/>
  <c r="AM159" i="8"/>
  <c r="O159" i="8" a="1"/>
  <c r="O159" i="8" s="1"/>
  <c r="K159" i="8" a="1"/>
  <c r="K159" i="8" s="1"/>
  <c r="J159" i="8" a="1"/>
  <c r="J159" i="8" s="1"/>
  <c r="D159" i="8" a="1"/>
  <c r="D159" i="8" s="1"/>
  <c r="C159" i="8" a="1"/>
  <c r="C159" i="8" s="1"/>
  <c r="B159" i="8" a="1"/>
  <c r="B159" i="8" s="1"/>
  <c r="AM486" i="8"/>
  <c r="O486" i="8" a="1"/>
  <c r="O486" i="8" s="1"/>
  <c r="L486" i="8" a="1"/>
  <c r="L486" i="8" s="1"/>
  <c r="K486" i="8" a="1"/>
  <c r="K486" i="8" s="1"/>
  <c r="J486" i="8" a="1"/>
  <c r="J486" i="8" s="1"/>
  <c r="D486" i="8" a="1"/>
  <c r="D486" i="8" s="1"/>
  <c r="C486" i="8" a="1"/>
  <c r="C486" i="8" s="1"/>
  <c r="B486" i="8" a="1"/>
  <c r="B486" i="8" s="1"/>
  <c r="AM485" i="8"/>
  <c r="O485" i="8" a="1"/>
  <c r="O485" i="8" s="1"/>
  <c r="L485" i="8" a="1"/>
  <c r="L485" i="8" s="1"/>
  <c r="K485" i="8" a="1"/>
  <c r="K485" i="8" s="1"/>
  <c r="J485" i="8" a="1"/>
  <c r="J485" i="8" s="1"/>
  <c r="D485" i="8" a="1"/>
  <c r="D485" i="8" s="1"/>
  <c r="C485" i="8" a="1"/>
  <c r="C485" i="8" s="1"/>
  <c r="B485" i="8" a="1"/>
  <c r="B485" i="8" s="1"/>
  <c r="AM484" i="8"/>
  <c r="O484" i="8" a="1"/>
  <c r="O484" i="8" s="1"/>
  <c r="L484" i="8" a="1"/>
  <c r="L484" i="8" s="1"/>
  <c r="K484" i="8" a="1"/>
  <c r="K484" i="8" s="1"/>
  <c r="J484" i="8" a="1"/>
  <c r="J484" i="8" s="1"/>
  <c r="D484" i="8" a="1"/>
  <c r="D484" i="8" s="1"/>
  <c r="C484" i="8" a="1"/>
  <c r="C484" i="8" s="1"/>
  <c r="B484" i="8" a="1"/>
  <c r="B484" i="8" s="1"/>
  <c r="AM483" i="8"/>
  <c r="O483" i="8" a="1"/>
  <c r="O483" i="8" s="1"/>
  <c r="L483" i="8" a="1"/>
  <c r="L483" i="8" s="1"/>
  <c r="K483" i="8" a="1"/>
  <c r="K483" i="8" s="1"/>
  <c r="J483" i="8" a="1"/>
  <c r="J483" i="8" s="1"/>
  <c r="D483" i="8" a="1"/>
  <c r="D483" i="8" s="1"/>
  <c r="C483" i="8" a="1"/>
  <c r="C483" i="8" s="1"/>
  <c r="B483" i="8" a="1"/>
  <c r="B483" i="8" s="1"/>
  <c r="AD88" i="8"/>
  <c r="D35" i="5" a="1"/>
  <c r="D35" i="5" s="1"/>
  <c r="E35" i="5" a="1"/>
  <c r="E35" i="5" s="1"/>
  <c r="T35" i="5" s="1"/>
  <c r="F35" i="5" a="1"/>
  <c r="F35" i="5" s="1"/>
  <c r="G35" i="5" a="1"/>
  <c r="G35" i="5" s="1"/>
  <c r="M35" i="5"/>
  <c r="Q35" i="5"/>
  <c r="S35" i="5"/>
  <c r="Y35" i="5"/>
  <c r="AM81" i="8"/>
  <c r="O81" i="8" a="1"/>
  <c r="O81" i="8" s="1"/>
  <c r="K81" i="8" a="1"/>
  <c r="K81" i="8" s="1"/>
  <c r="J81" i="8" a="1"/>
  <c r="J81" i="8" s="1"/>
  <c r="D81" i="8" a="1"/>
  <c r="D81" i="8" s="1"/>
  <c r="C81" i="8" a="1"/>
  <c r="C81" i="8" s="1"/>
  <c r="B81" i="8" a="1"/>
  <c r="B81" i="8" s="1"/>
  <c r="AQ34" i="8" a="1"/>
  <c r="AQ34" i="8" s="1"/>
  <c r="AU34" i="8"/>
  <c r="AQ36" i="8" a="1"/>
  <c r="AQ36" i="8" s="1"/>
  <c r="AQ13" i="8" a="1"/>
  <c r="AQ13" i="8" s="1"/>
  <c r="AU13" i="8"/>
  <c r="AQ14" i="8" a="1"/>
  <c r="AQ14" i="8" s="1"/>
  <c r="AU14" i="8"/>
  <c r="AQ16" i="8" a="1"/>
  <c r="AQ16" i="8" s="1"/>
  <c r="AU16" i="8"/>
  <c r="AQ198" i="8" a="1"/>
  <c r="AQ198" i="8" s="1"/>
  <c r="AU198" i="8"/>
  <c r="AQ23" i="8" a="1"/>
  <c r="AQ23" i="8" s="1"/>
  <c r="AU23" i="8"/>
  <c r="AQ71" i="8" a="1"/>
  <c r="AQ71" i="8" s="1"/>
  <c r="AU71" i="8"/>
  <c r="AQ20" i="8" a="1"/>
  <c r="AQ20" i="8" s="1"/>
  <c r="AU20" i="8"/>
  <c r="AQ17" i="8" a="1"/>
  <c r="AQ17" i="8" s="1"/>
  <c r="AU17" i="8"/>
  <c r="AQ12" i="8" a="1"/>
  <c r="AQ12" i="8" s="1"/>
  <c r="AU12" i="8"/>
  <c r="AQ27" i="8" a="1"/>
  <c r="AQ27" i="8" s="1"/>
  <c r="AU27" i="8"/>
  <c r="AQ22" i="8" a="1"/>
  <c r="AQ22" i="8" s="1"/>
  <c r="AU22" i="8"/>
  <c r="AQ19" i="8" a="1"/>
  <c r="AQ19" i="8" s="1"/>
  <c r="AQ25" i="8" a="1"/>
  <c r="AQ25" i="8" s="1"/>
  <c r="AU25" i="8"/>
  <c r="AQ28" i="8" a="1"/>
  <c r="AQ28" i="8" s="1"/>
  <c r="AU28" i="8"/>
  <c r="AQ30" i="8" a="1"/>
  <c r="AQ30" i="8" s="1"/>
  <c r="AU30" i="8"/>
  <c r="AQ40" i="8" a="1"/>
  <c r="AQ40" i="8" s="1"/>
  <c r="AQ21" i="8" a="1"/>
  <c r="AQ21" i="8" s="1"/>
  <c r="AU21" i="8"/>
  <c r="AU57" i="8"/>
  <c r="AQ37" i="8" a="1"/>
  <c r="AQ37" i="8" s="1"/>
  <c r="AQ31" i="8" a="1"/>
  <c r="AQ31" i="8" s="1"/>
  <c r="AQ15" i="8" a="1"/>
  <c r="AQ15" i="8" s="1"/>
  <c r="AQ54" i="8" a="1"/>
  <c r="AQ54" i="8" s="1"/>
  <c r="AU54" i="8"/>
  <c r="AU53" i="8"/>
  <c r="AQ29" i="8" a="1"/>
  <c r="AQ29" i="8" s="1"/>
  <c r="AQ26" i="8" a="1"/>
  <c r="AQ26" i="8" s="1"/>
  <c r="AQ47" i="8" a="1"/>
  <c r="AQ47" i="8" s="1"/>
  <c r="E48" i="15"/>
  <c r="E43" i="15"/>
  <c r="E39" i="15"/>
  <c r="E34" i="15"/>
  <c r="E30" i="15"/>
  <c r="E26" i="15"/>
  <c r="E21" i="15"/>
  <c r="E17" i="15"/>
  <c r="E13" i="15"/>
  <c r="B57" i="15"/>
  <c r="D276" i="5" a="1"/>
  <c r="D276" i="5" s="1"/>
  <c r="E276" i="5" a="1"/>
  <c r="E276" i="5" s="1"/>
  <c r="F276" i="5" a="1"/>
  <c r="F276" i="5" s="1"/>
  <c r="G276" i="5" a="1"/>
  <c r="G276" i="5" s="1"/>
  <c r="M276" i="5"/>
  <c r="S276" i="5"/>
  <c r="AO233" i="8" s="1"/>
  <c r="H229" i="4"/>
  <c r="AR334" i="8"/>
  <c r="P54" i="8"/>
  <c r="P182" i="8"/>
  <c r="AM54" i="8"/>
  <c r="O54" i="8" a="1"/>
  <c r="O54" i="8" s="1"/>
  <c r="K54" i="8" a="1"/>
  <c r="K54" i="8" s="1"/>
  <c r="J54" i="8" a="1"/>
  <c r="J54" i="8" s="1"/>
  <c r="D54" i="8" a="1"/>
  <c r="D54" i="8" s="1"/>
  <c r="C54" i="8" a="1"/>
  <c r="C54" i="8" s="1"/>
  <c r="B54" i="8" a="1"/>
  <c r="B54" i="8" s="1"/>
  <c r="D334" i="8" a="1"/>
  <c r="D334" i="8" s="1"/>
  <c r="AP334" i="8" s="1"/>
  <c r="C334" i="8" a="1"/>
  <c r="C334" i="8" s="1"/>
  <c r="AR333" i="8"/>
  <c r="D333" i="8" a="1"/>
  <c r="D333" i="8" s="1"/>
  <c r="AN333" i="8" s="1"/>
  <c r="C333" i="8" a="1"/>
  <c r="C333" i="8" s="1"/>
  <c r="AD333" i="8"/>
  <c r="AA333" i="8"/>
  <c r="AK333" i="8" s="1"/>
  <c r="O333" i="8" a="1"/>
  <c r="O333" i="8" s="1"/>
  <c r="L333" i="8" a="1"/>
  <c r="L333" i="8" s="1"/>
  <c r="K333" i="8" a="1"/>
  <c r="K333" i="8" s="1"/>
  <c r="J333" i="8" a="1"/>
  <c r="J333" i="8" s="1"/>
  <c r="B333" i="8" a="1"/>
  <c r="B333" i="8" s="1"/>
  <c r="P11" i="14"/>
  <c r="P13" i="14"/>
  <c r="P15" i="14"/>
  <c r="P17" i="14"/>
  <c r="AR332" i="8"/>
  <c r="D332" i="8" a="1"/>
  <c r="D332" i="8" s="1"/>
  <c r="AP332" i="8" s="1"/>
  <c r="C332" i="8" a="1"/>
  <c r="C332" i="8" s="1"/>
  <c r="D329" i="8" a="1"/>
  <c r="D329" i="8" s="1"/>
  <c r="AN329" i="8" s="1"/>
  <c r="D330" i="8" a="1"/>
  <c r="D330" i="8" s="1"/>
  <c r="AN330" i="8" s="1"/>
  <c r="D331" i="8" a="1"/>
  <c r="D331" i="8" s="1"/>
  <c r="AN331" i="8" s="1"/>
  <c r="C329" i="8" a="1"/>
  <c r="C329" i="8" s="1"/>
  <c r="C330" i="8" a="1"/>
  <c r="C330" i="8" s="1"/>
  <c r="C331" i="8" a="1"/>
  <c r="C331" i="8" s="1"/>
  <c r="AR331" i="8"/>
  <c r="AR330" i="8"/>
  <c r="AJ137" i="8" l="1"/>
  <c r="F137" i="8" s="1"/>
  <c r="AK137" i="8"/>
  <c r="G137" i="8" s="1"/>
  <c r="AN144" i="8"/>
  <c r="AJ144" i="8"/>
  <c r="F144" i="8" s="1"/>
  <c r="AK144" i="8"/>
  <c r="G144" i="8" s="1"/>
  <c r="AJ54" i="8"/>
  <c r="F54" i="8" s="1"/>
  <c r="AK54" i="8"/>
  <c r="G54" i="8" s="1"/>
  <c r="AJ159" i="8"/>
  <c r="F159" i="8" s="1"/>
  <c r="AK159" i="8"/>
  <c r="G159" i="8" s="1"/>
  <c r="AS233" i="8"/>
  <c r="AQ233" i="8"/>
  <c r="E57" i="15"/>
  <c r="AH81" i="8"/>
  <c r="AC81" i="8"/>
  <c r="AQ337" i="8"/>
  <c r="AS337" i="8"/>
  <c r="AN332" i="8"/>
  <c r="AN334" i="8"/>
  <c r="AC335" i="8"/>
  <c r="Z81" i="8"/>
  <c r="AA81" i="8" s="1"/>
  <c r="AU81" i="8" s="1"/>
  <c r="AJ335" i="8"/>
  <c r="AK335" i="8"/>
  <c r="U248" i="5"/>
  <c r="AD248" i="5" s="1"/>
  <c r="N248" i="5"/>
  <c r="M144" i="8"/>
  <c r="Q144" i="8" s="1"/>
  <c r="N144" i="8"/>
  <c r="R144" i="8" s="1"/>
  <c r="AE144" i="8"/>
  <c r="E144" i="8" s="1"/>
  <c r="AG144" i="8"/>
  <c r="H144" i="8" s="1"/>
  <c r="AI144" i="8"/>
  <c r="U7" i="5"/>
  <c r="AD7" i="5" s="1"/>
  <c r="N7" i="5"/>
  <c r="U141" i="5"/>
  <c r="AD141" i="5" s="1"/>
  <c r="N141" i="5"/>
  <c r="AN137" i="8"/>
  <c r="AI137" i="8"/>
  <c r="AG137" i="8"/>
  <c r="H137" i="8" s="1"/>
  <c r="AE137" i="8"/>
  <c r="E137" i="8" s="1"/>
  <c r="M137" i="8"/>
  <c r="Q137" i="8" s="1"/>
  <c r="N137" i="8"/>
  <c r="R137" i="8" s="1"/>
  <c r="AS335" i="8"/>
  <c r="AN335" i="8"/>
  <c r="AQ335" i="8"/>
  <c r="U123" i="5"/>
  <c r="AD123" i="5" s="1"/>
  <c r="N123" i="5"/>
  <c r="AN159" i="8"/>
  <c r="AI159" i="8"/>
  <c r="AG159" i="8"/>
  <c r="H159" i="8" s="1"/>
  <c r="AE159" i="8"/>
  <c r="E159" i="8" s="1"/>
  <c r="M159" i="8"/>
  <c r="Q159" i="8" s="1"/>
  <c r="N159" i="8"/>
  <c r="R159" i="8" s="1"/>
  <c r="AE483" i="8"/>
  <c r="E483" i="8" s="1"/>
  <c r="AJ483" i="8"/>
  <c r="N483" i="8"/>
  <c r="R483" i="8" s="1"/>
  <c r="M483" i="8"/>
  <c r="Q483" i="8" s="1"/>
  <c r="N485" i="8"/>
  <c r="R485" i="8" s="1"/>
  <c r="M485" i="8"/>
  <c r="Q485" i="8" s="1"/>
  <c r="N484" i="8"/>
  <c r="R484" i="8" s="1"/>
  <c r="M484" i="8"/>
  <c r="Q484" i="8" s="1"/>
  <c r="AN485" i="8"/>
  <c r="AK485" i="8"/>
  <c r="AJ485" i="8"/>
  <c r="AI485" i="8"/>
  <c r="AG485" i="8"/>
  <c r="AE485" i="8"/>
  <c r="E485" i="8" s="1"/>
  <c r="AN486" i="8"/>
  <c r="AK486" i="8"/>
  <c r="AJ486" i="8"/>
  <c r="AI486" i="8"/>
  <c r="AG486" i="8"/>
  <c r="AE486" i="8"/>
  <c r="E486" i="8" s="1"/>
  <c r="M486" i="8"/>
  <c r="Q486" i="8" s="1"/>
  <c r="N486" i="8"/>
  <c r="R486" i="8" s="1"/>
  <c r="AN484" i="8"/>
  <c r="AK484" i="8"/>
  <c r="AJ484" i="8"/>
  <c r="AI484" i="8"/>
  <c r="AG484" i="8"/>
  <c r="AE484" i="8"/>
  <c r="E484" i="8" s="1"/>
  <c r="AG483" i="8"/>
  <c r="AI483" i="8"/>
  <c r="AK483" i="8"/>
  <c r="AN483" i="8"/>
  <c r="U35" i="5"/>
  <c r="AD35" i="5" s="1"/>
  <c r="AI35" i="5"/>
  <c r="V35" i="5"/>
  <c r="N35" i="5"/>
  <c r="AN81" i="8"/>
  <c r="M81" i="8"/>
  <c r="Q81" i="8" s="1"/>
  <c r="N81" i="8"/>
  <c r="R81" i="8" s="1"/>
  <c r="U276" i="5"/>
  <c r="AD276" i="5" s="1"/>
  <c r="N276" i="5"/>
  <c r="AS334" i="8"/>
  <c r="AQ334" i="8"/>
  <c r="AN54" i="8"/>
  <c r="AI54" i="8"/>
  <c r="AG54" i="8"/>
  <c r="H54" i="8" s="1"/>
  <c r="AE54" i="8"/>
  <c r="E54" i="8" s="1"/>
  <c r="M54" i="8"/>
  <c r="Q54" i="8" s="1"/>
  <c r="N54" i="8"/>
  <c r="R54" i="8" s="1"/>
  <c r="AS333" i="8"/>
  <c r="AQ332" i="8"/>
  <c r="AP333" i="8"/>
  <c r="AQ333" i="8" s="1"/>
  <c r="N333" i="8"/>
  <c r="R333" i="8" s="1"/>
  <c r="M333" i="8"/>
  <c r="Q333" i="8" s="1"/>
  <c r="AE333" i="8"/>
  <c r="E333" i="8" s="1"/>
  <c r="AJ333" i="8"/>
  <c r="AI333" i="8"/>
  <c r="AG333" i="8"/>
  <c r="AS332" i="8"/>
  <c r="AS331" i="8"/>
  <c r="AS330" i="8"/>
  <c r="AP331" i="8"/>
  <c r="AQ331" i="8" s="1"/>
  <c r="AP330" i="8"/>
  <c r="AQ330" i="8" s="1"/>
  <c r="P184" i="8"/>
  <c r="AD196" i="8"/>
  <c r="AM184" i="8"/>
  <c r="O184" i="8" a="1"/>
  <c r="O184" i="8" s="1"/>
  <c r="K184" i="8" a="1"/>
  <c r="K184" i="8" s="1"/>
  <c r="J184" i="8" a="1"/>
  <c r="J184" i="8" s="1"/>
  <c r="D184" i="8" a="1"/>
  <c r="D184" i="8" s="1"/>
  <c r="C184" i="8" a="1"/>
  <c r="C184" i="8" s="1"/>
  <c r="B184" i="8" a="1"/>
  <c r="B184" i="8" s="1"/>
  <c r="C326" i="8" a="1"/>
  <c r="C326" i="8" s="1"/>
  <c r="C327" i="8" a="1"/>
  <c r="C327" i="8" s="1"/>
  <c r="C328" i="8" a="1"/>
  <c r="C328" i="8" s="1"/>
  <c r="AP329" i="8"/>
  <c r="AR329" i="8"/>
  <c r="D321" i="8" a="1"/>
  <c r="D321" i="8" s="1"/>
  <c r="AN321" i="8" s="1"/>
  <c r="D318" i="8" a="1"/>
  <c r="D318" i="8" s="1"/>
  <c r="AN318" i="8" s="1"/>
  <c r="D328" i="8" a="1"/>
  <c r="D328" i="8" s="1"/>
  <c r="AN328" i="8" s="1"/>
  <c r="D327" i="8" a="1"/>
  <c r="D327" i="8" s="1"/>
  <c r="AN327" i="8" s="1"/>
  <c r="D326" i="8" a="1"/>
  <c r="D326" i="8" s="1"/>
  <c r="AN326" i="8" s="1"/>
  <c r="D325" i="8" a="1"/>
  <c r="D325" i="8" s="1"/>
  <c r="AN325" i="8" s="1"/>
  <c r="D324" i="8" a="1"/>
  <c r="D324" i="8" s="1"/>
  <c r="AN324" i="8" s="1"/>
  <c r="AR328" i="8"/>
  <c r="S293" i="5"/>
  <c r="AO243" i="8" s="1"/>
  <c r="M293" i="5"/>
  <c r="G293" i="5" a="1"/>
  <c r="G293" i="5" s="1"/>
  <c r="F293" i="5" a="1"/>
  <c r="F293" i="5" s="1"/>
  <c r="E293" i="5" a="1"/>
  <c r="E293" i="5" s="1"/>
  <c r="D293" i="5" a="1"/>
  <c r="D293" i="5" s="1"/>
  <c r="P121" i="8"/>
  <c r="AS243" i="8" l="1"/>
  <c r="AQ243" i="8"/>
  <c r="AD81" i="8"/>
  <c r="I81" i="8"/>
  <c r="AK81" i="8"/>
  <c r="G81" i="8" s="1"/>
  <c r="AJ81" i="8"/>
  <c r="F81" i="8" s="1"/>
  <c r="AJ184" i="8"/>
  <c r="F184" i="8" s="1"/>
  <c r="AK184" i="8"/>
  <c r="G184" i="8" s="1"/>
  <c r="AT233" i="8"/>
  <c r="AI81" i="8"/>
  <c r="AT337" i="8"/>
  <c r="AE81" i="8"/>
  <c r="E81" i="8" s="1"/>
  <c r="AG81" i="8"/>
  <c r="H81" i="8" s="1"/>
  <c r="AT335" i="8"/>
  <c r="AB35" i="5"/>
  <c r="AT334" i="8"/>
  <c r="AT333" i="8"/>
  <c r="AT332" i="8"/>
  <c r="AT331" i="8"/>
  <c r="AT330" i="8"/>
  <c r="U293" i="5"/>
  <c r="AD293" i="5" s="1"/>
  <c r="AS329" i="8"/>
  <c r="AN184" i="8"/>
  <c r="AI184" i="8"/>
  <c r="AG184" i="8"/>
  <c r="H184" i="8" s="1"/>
  <c r="AE184" i="8"/>
  <c r="E184" i="8" s="1"/>
  <c r="M184" i="8"/>
  <c r="Q184" i="8" s="1"/>
  <c r="N184" i="8"/>
  <c r="R184" i="8" s="1"/>
  <c r="AQ329" i="8"/>
  <c r="AP328" i="8"/>
  <c r="AQ328" i="8" s="1"/>
  <c r="AS328" i="8"/>
  <c r="N293" i="5"/>
  <c r="AP327" i="8"/>
  <c r="AR327" i="8"/>
  <c r="Y49" i="5"/>
  <c r="S49" i="5"/>
  <c r="Q49" i="5"/>
  <c r="M49" i="5"/>
  <c r="G49" i="5" a="1"/>
  <c r="G49" i="5" s="1"/>
  <c r="F49" i="5" a="1"/>
  <c r="F49" i="5" s="1"/>
  <c r="E49" i="5" a="1"/>
  <c r="E49" i="5" s="1"/>
  <c r="T49" i="5" s="1"/>
  <c r="D49" i="5" a="1"/>
  <c r="D49" i="5" s="1"/>
  <c r="P152" i="8"/>
  <c r="AM152" i="8"/>
  <c r="O152" i="8" a="1"/>
  <c r="O152" i="8" s="1"/>
  <c r="N152" i="8"/>
  <c r="K152" i="8" a="1"/>
  <c r="K152" i="8" s="1"/>
  <c r="J152" i="8" a="1"/>
  <c r="J152" i="8" s="1"/>
  <c r="D152" i="8" a="1"/>
  <c r="D152" i="8" s="1"/>
  <c r="C152" i="8" a="1"/>
  <c r="C152" i="8" s="1"/>
  <c r="B152" i="8" a="1"/>
  <c r="B152" i="8" s="1"/>
  <c r="D72" i="5" a="1"/>
  <c r="D72" i="5" s="1"/>
  <c r="E72" i="5" a="1"/>
  <c r="E72" i="5" s="1"/>
  <c r="T72" i="5" s="1"/>
  <c r="F72" i="5" a="1"/>
  <c r="F72" i="5" s="1"/>
  <c r="G72" i="5" a="1"/>
  <c r="G72" i="5" s="1"/>
  <c r="M72" i="5"/>
  <c r="Q72" i="5"/>
  <c r="S72" i="5"/>
  <c r="Y72" i="5"/>
  <c r="D74" i="5" a="1"/>
  <c r="D74" i="5" s="1"/>
  <c r="E74" i="5" a="1"/>
  <c r="E74" i="5" s="1"/>
  <c r="F74" i="5" a="1"/>
  <c r="F74" i="5" s="1"/>
  <c r="M74" i="5"/>
  <c r="Q74" i="5"/>
  <c r="S74" i="5"/>
  <c r="Y74" i="5"/>
  <c r="D73" i="5" a="1"/>
  <c r="D73" i="5" s="1"/>
  <c r="E73" i="5" a="1"/>
  <c r="E73" i="5" s="1"/>
  <c r="F73" i="5" a="1"/>
  <c r="F73" i="5" s="1"/>
  <c r="M73" i="5"/>
  <c r="Q73" i="5"/>
  <c r="S73" i="5"/>
  <c r="V73" i="5" s="1"/>
  <c r="Y73" i="5"/>
  <c r="F179" i="5" a="1"/>
  <c r="F179" i="5" s="1"/>
  <c r="G179" i="5" a="1"/>
  <c r="G179" i="5" s="1"/>
  <c r="D179" i="5" a="1"/>
  <c r="D179" i="5" s="1"/>
  <c r="E179" i="5" a="1"/>
  <c r="E179" i="5" s="1"/>
  <c r="T179" i="5" s="1"/>
  <c r="M179" i="5"/>
  <c r="Q179" i="5"/>
  <c r="S179" i="5"/>
  <c r="Y179" i="5"/>
  <c r="P88" i="8"/>
  <c r="AM88" i="8"/>
  <c r="O88" i="8" a="1"/>
  <c r="O88" i="8" s="1"/>
  <c r="K88" i="8" a="1"/>
  <c r="K88" i="8" s="1"/>
  <c r="J88" i="8" a="1"/>
  <c r="J88" i="8" s="1"/>
  <c r="D88" i="8" a="1"/>
  <c r="D88" i="8" s="1"/>
  <c r="C88" i="8" a="1"/>
  <c r="C88" i="8" s="1"/>
  <c r="B88" i="8" a="1"/>
  <c r="B88" i="8" s="1"/>
  <c r="AP326" i="8"/>
  <c r="AR326" i="8"/>
  <c r="AR325" i="8"/>
  <c r="AD325" i="8"/>
  <c r="P325" i="8"/>
  <c r="O325" i="8" a="1"/>
  <c r="O325" i="8" s="1"/>
  <c r="L325" i="8" a="1"/>
  <c r="L325" i="8" s="1"/>
  <c r="K325" i="8" a="1"/>
  <c r="K325" i="8" s="1"/>
  <c r="J325" i="8" a="1"/>
  <c r="J325" i="8" s="1"/>
  <c r="F325" i="8"/>
  <c r="AP325" i="8"/>
  <c r="C325" i="8" a="1"/>
  <c r="C325" i="8" s="1"/>
  <c r="B325" i="8" a="1"/>
  <c r="B325" i="8" s="1"/>
  <c r="AT243" i="8" l="1"/>
  <c r="AE152" i="8"/>
  <c r="E152" i="8" s="1"/>
  <c r="AK152" i="8"/>
  <c r="G152" i="8" s="1"/>
  <c r="AJ152" i="8"/>
  <c r="F152" i="8" s="1"/>
  <c r="AT329" i="8"/>
  <c r="AQ327" i="8"/>
  <c r="AT328" i="8"/>
  <c r="U49" i="5"/>
  <c r="AD49" i="5" s="1"/>
  <c r="AS325" i="8"/>
  <c r="AS327" i="8"/>
  <c r="AI49" i="5"/>
  <c r="N49" i="5"/>
  <c r="V49" i="5"/>
  <c r="R152" i="8"/>
  <c r="AN152" i="8"/>
  <c r="AI152" i="8"/>
  <c r="AG152" i="8"/>
  <c r="H152" i="8" s="1"/>
  <c r="M152" i="8"/>
  <c r="Q152" i="8" s="1"/>
  <c r="U72" i="5"/>
  <c r="AD72" i="5" s="1"/>
  <c r="AI72" i="5"/>
  <c r="V72" i="5"/>
  <c r="N72" i="5"/>
  <c r="U74" i="5"/>
  <c r="AD74" i="5" s="1"/>
  <c r="V74" i="5"/>
  <c r="N74" i="5"/>
  <c r="AI74" i="5"/>
  <c r="U73" i="5"/>
  <c r="AD73" i="5" s="1"/>
  <c r="AI73" i="5"/>
  <c r="N73" i="5"/>
  <c r="AB73" i="5" s="1"/>
  <c r="U179" i="5"/>
  <c r="AD179" i="5" s="1"/>
  <c r="N179" i="5"/>
  <c r="AN88" i="8"/>
  <c r="AK88" i="8"/>
  <c r="G88" i="8" s="1"/>
  <c r="AJ88" i="8"/>
  <c r="F88" i="8" s="1"/>
  <c r="AI88" i="8"/>
  <c r="AG88" i="8"/>
  <c r="H88" i="8" s="1"/>
  <c r="AE88" i="8"/>
  <c r="E88" i="8" s="1"/>
  <c r="M88" i="8"/>
  <c r="Q88" i="8" s="1"/>
  <c r="N88" i="8"/>
  <c r="R88" i="8" s="1"/>
  <c r="AS326" i="8"/>
  <c r="AQ326" i="8"/>
  <c r="AQ325" i="8"/>
  <c r="AK325" i="8"/>
  <c r="AJ325" i="8"/>
  <c r="AI325" i="8"/>
  <c r="AG325" i="8"/>
  <c r="AE325" i="8"/>
  <c r="E325" i="8" s="1"/>
  <c r="N325" i="8"/>
  <c r="R325" i="8" s="1"/>
  <c r="M325" i="8"/>
  <c r="Q325" i="8" s="1"/>
  <c r="AT327" i="8" l="1"/>
  <c r="AT325" i="8"/>
  <c r="AB49" i="5"/>
  <c r="AB72" i="5"/>
  <c r="AB74" i="5"/>
  <c r="AT326" i="8"/>
  <c r="P5" i="14" l="1"/>
  <c r="F24" i="14" l="1"/>
  <c r="J24" i="14"/>
  <c r="AR324" i="8" l="1"/>
  <c r="L324" i="8" a="1"/>
  <c r="L324" i="8" s="1"/>
  <c r="O324" i="8" a="1"/>
  <c r="O324" i="8" s="1"/>
  <c r="AA324" i="8"/>
  <c r="AK324" i="8" s="1"/>
  <c r="K324" i="8" a="1"/>
  <c r="K324" i="8" s="1"/>
  <c r="J324" i="8" a="1"/>
  <c r="J324" i="8" s="1"/>
  <c r="F324" i="8"/>
  <c r="C324" i="8" a="1"/>
  <c r="C324" i="8" s="1"/>
  <c r="B324" i="8" a="1"/>
  <c r="B324" i="8" s="1"/>
  <c r="Y147" i="5"/>
  <c r="S147" i="5"/>
  <c r="Q147" i="5"/>
  <c r="M147" i="5"/>
  <c r="G147" i="5" a="1"/>
  <c r="G147" i="5" s="1"/>
  <c r="F147" i="5" a="1"/>
  <c r="F147" i="5" s="1"/>
  <c r="E147" i="5" a="1"/>
  <c r="E147" i="5" s="1"/>
  <c r="T147" i="5" s="1"/>
  <c r="D147" i="5" a="1"/>
  <c r="D147" i="5" s="1"/>
  <c r="P53" i="8"/>
  <c r="AM53" i="8"/>
  <c r="O53" i="8" a="1"/>
  <c r="O53" i="8" s="1"/>
  <c r="K53" i="8" a="1"/>
  <c r="K53" i="8" s="1"/>
  <c r="J53" i="8" a="1"/>
  <c r="J53" i="8" s="1"/>
  <c r="D53" i="8" a="1"/>
  <c r="D53" i="8" s="1"/>
  <c r="C53" i="8" a="1"/>
  <c r="C53" i="8" s="1"/>
  <c r="B53" i="8" a="1"/>
  <c r="B53" i="8" s="1"/>
  <c r="AR323" i="8"/>
  <c r="AD323" i="8"/>
  <c r="AA323" i="8"/>
  <c r="AK323" i="8" s="1"/>
  <c r="Z323" i="8"/>
  <c r="AM323" i="8" s="1"/>
  <c r="O323" i="8" a="1"/>
  <c r="O323" i="8" s="1"/>
  <c r="L323" i="8" a="1"/>
  <c r="L323" i="8" s="1"/>
  <c r="N323" i="8" s="1"/>
  <c r="K323" i="8" a="1"/>
  <c r="K323" i="8" s="1"/>
  <c r="J323" i="8" a="1"/>
  <c r="J323" i="8" s="1"/>
  <c r="F323" i="8"/>
  <c r="D323" i="8" a="1"/>
  <c r="D323" i="8" s="1"/>
  <c r="AN323" i="8" s="1"/>
  <c r="C323" i="8" a="1"/>
  <c r="C323" i="8" s="1"/>
  <c r="B323" i="8" a="1"/>
  <c r="B323" i="8" s="1"/>
  <c r="AR322" i="8"/>
  <c r="AD322" i="8"/>
  <c r="O322" i="8" a="1"/>
  <c r="O322" i="8" s="1"/>
  <c r="L322" i="8" a="1"/>
  <c r="L322" i="8" s="1"/>
  <c r="K322" i="8" a="1"/>
  <c r="K322" i="8" s="1"/>
  <c r="J322" i="8" a="1"/>
  <c r="J322" i="8" s="1"/>
  <c r="F322" i="8"/>
  <c r="D322" i="8" a="1"/>
  <c r="D322" i="8" s="1"/>
  <c r="AN322" i="8" s="1"/>
  <c r="C322" i="8" a="1"/>
  <c r="C322" i="8" s="1"/>
  <c r="B322" i="8" a="1"/>
  <c r="B322" i="8" s="1"/>
  <c r="C255" i="8" a="1"/>
  <c r="C255" i="8" s="1"/>
  <c r="C256" i="8" a="1"/>
  <c r="C256" i="8" s="1"/>
  <c r="C257" i="8" a="1"/>
  <c r="C257" i="8" s="1"/>
  <c r="C258" i="8" a="1"/>
  <c r="C258" i="8" s="1"/>
  <c r="C259" i="8" a="1"/>
  <c r="C259" i="8" s="1"/>
  <c r="C260" i="8" a="1"/>
  <c r="C260" i="8" s="1"/>
  <c r="C261" i="8" a="1"/>
  <c r="C261" i="8" s="1"/>
  <c r="C262" i="8" a="1"/>
  <c r="C262" i="8" s="1"/>
  <c r="C263" i="8" a="1"/>
  <c r="C263" i="8" s="1"/>
  <c r="C264" i="8" a="1"/>
  <c r="C264" i="8" s="1"/>
  <c r="C265" i="8" a="1"/>
  <c r="C265" i="8" s="1"/>
  <c r="C266" i="8" a="1"/>
  <c r="C266" i="8" s="1"/>
  <c r="C267" i="8" a="1"/>
  <c r="C267" i="8" s="1"/>
  <c r="C268" i="8" a="1"/>
  <c r="C268" i="8" s="1"/>
  <c r="C269" i="8" a="1"/>
  <c r="C269" i="8" s="1"/>
  <c r="C270" i="8" a="1"/>
  <c r="C270" i="8" s="1"/>
  <c r="C271" i="8" a="1"/>
  <c r="C271" i="8" s="1"/>
  <c r="C272" i="8" a="1"/>
  <c r="C272" i="8" s="1"/>
  <c r="C273" i="8" a="1"/>
  <c r="C273" i="8" s="1"/>
  <c r="C274" i="8" a="1"/>
  <c r="C274" i="8" s="1"/>
  <c r="C275" i="8" a="1"/>
  <c r="C275" i="8" s="1"/>
  <c r="C276" i="8" a="1"/>
  <c r="C276" i="8" s="1"/>
  <c r="C277" i="8" a="1"/>
  <c r="C277" i="8" s="1"/>
  <c r="C278" i="8" a="1"/>
  <c r="C278" i="8" s="1"/>
  <c r="C279" i="8" a="1"/>
  <c r="C279" i="8" s="1"/>
  <c r="C280" i="8" a="1"/>
  <c r="C280" i="8" s="1"/>
  <c r="C281" i="8" a="1"/>
  <c r="C281" i="8" s="1"/>
  <c r="C282" i="8" a="1"/>
  <c r="C282" i="8" s="1"/>
  <c r="C283" i="8" a="1"/>
  <c r="C283" i="8" s="1"/>
  <c r="C284" i="8" a="1"/>
  <c r="C284" i="8" s="1"/>
  <c r="C285" i="8" a="1"/>
  <c r="C285" i="8" s="1"/>
  <c r="C286" i="8" a="1"/>
  <c r="C286" i="8" s="1"/>
  <c r="C287" i="8" a="1"/>
  <c r="C287" i="8" s="1"/>
  <c r="C288" i="8" a="1"/>
  <c r="C288" i="8" s="1"/>
  <c r="C289" i="8" a="1"/>
  <c r="C289" i="8" s="1"/>
  <c r="C290" i="8" a="1"/>
  <c r="C290" i="8" s="1"/>
  <c r="C291" i="8" a="1"/>
  <c r="C291" i="8" s="1"/>
  <c r="C292" i="8" a="1"/>
  <c r="C292" i="8" s="1"/>
  <c r="C293" i="8" a="1"/>
  <c r="C293" i="8" s="1"/>
  <c r="C294" i="8" a="1"/>
  <c r="C294" i="8" s="1"/>
  <c r="C295" i="8" a="1"/>
  <c r="C295" i="8" s="1"/>
  <c r="C296" i="8" a="1"/>
  <c r="C296" i="8" s="1"/>
  <c r="C297" i="8" a="1"/>
  <c r="C297" i="8" s="1"/>
  <c r="C298" i="8" a="1"/>
  <c r="C298" i="8" s="1"/>
  <c r="C299" i="8" a="1"/>
  <c r="C299" i="8" s="1"/>
  <c r="C300" i="8" a="1"/>
  <c r="C300" i="8" s="1"/>
  <c r="C301" i="8" a="1"/>
  <c r="C301" i="8" s="1"/>
  <c r="C302" i="8" a="1"/>
  <c r="C302" i="8" s="1"/>
  <c r="C303" i="8" a="1"/>
  <c r="C303" i="8" s="1"/>
  <c r="C304" i="8" a="1"/>
  <c r="C304" i="8" s="1"/>
  <c r="C305" i="8" a="1"/>
  <c r="C305" i="8" s="1"/>
  <c r="C306" i="8" a="1"/>
  <c r="C306" i="8" s="1"/>
  <c r="C307" i="8" a="1"/>
  <c r="C307" i="8" s="1"/>
  <c r="C308" i="8" a="1"/>
  <c r="C308" i="8" s="1"/>
  <c r="C309" i="8" a="1"/>
  <c r="C309" i="8" s="1"/>
  <c r="C310" i="8" a="1"/>
  <c r="C310" i="8" s="1"/>
  <c r="C311" i="8" a="1"/>
  <c r="C311" i="8" s="1"/>
  <c r="C312" i="8" a="1"/>
  <c r="C312" i="8" s="1"/>
  <c r="C313" i="8" a="1"/>
  <c r="C313" i="8" s="1"/>
  <c r="C314" i="8" a="1"/>
  <c r="C314" i="8" s="1"/>
  <c r="C315" i="8" a="1"/>
  <c r="C315" i="8" s="1"/>
  <c r="C316" i="8" a="1"/>
  <c r="C316" i="8" s="1"/>
  <c r="C317" i="8" a="1"/>
  <c r="C317" i="8" s="1"/>
  <c r="C318" i="8" a="1"/>
  <c r="C318" i="8" s="1"/>
  <c r="C321" i="8" a="1"/>
  <c r="C321" i="8" s="1"/>
  <c r="AM482" i="8"/>
  <c r="O482" i="8" a="1"/>
  <c r="O482" i="8" s="1"/>
  <c r="L482" i="8" a="1"/>
  <c r="L482" i="8" s="1"/>
  <c r="K482" i="8" a="1"/>
  <c r="K482" i="8" s="1"/>
  <c r="J482" i="8" a="1"/>
  <c r="J482" i="8" s="1"/>
  <c r="D482" i="8" a="1"/>
  <c r="D482" i="8" s="1"/>
  <c r="C482" i="8" a="1"/>
  <c r="C482" i="8" s="1"/>
  <c r="B482" i="8" a="1"/>
  <c r="B482" i="8" s="1"/>
  <c r="AM481" i="8"/>
  <c r="O481" i="8" a="1"/>
  <c r="O481" i="8" s="1"/>
  <c r="L481" i="8" a="1"/>
  <c r="L481" i="8" s="1"/>
  <c r="K481" i="8" a="1"/>
  <c r="K481" i="8" s="1"/>
  <c r="J481" i="8" a="1"/>
  <c r="J481" i="8" s="1"/>
  <c r="D481" i="8" a="1"/>
  <c r="D481" i="8" s="1"/>
  <c r="C481" i="8" a="1"/>
  <c r="C481" i="8" s="1"/>
  <c r="B481" i="8" a="1"/>
  <c r="B481" i="8" s="1"/>
  <c r="AM480" i="8"/>
  <c r="O480" i="8" a="1"/>
  <c r="O480" i="8" s="1"/>
  <c r="L480" i="8" a="1"/>
  <c r="L480" i="8" s="1"/>
  <c r="N480" i="8" s="1"/>
  <c r="K480" i="8" a="1"/>
  <c r="K480" i="8" s="1"/>
  <c r="J480" i="8" a="1"/>
  <c r="J480" i="8" s="1"/>
  <c r="D480" i="8" a="1"/>
  <c r="D480" i="8" s="1"/>
  <c r="C480" i="8" a="1"/>
  <c r="C480" i="8" s="1"/>
  <c r="B480" i="8" a="1"/>
  <c r="B480" i="8" s="1"/>
  <c r="AM479" i="8"/>
  <c r="O479" i="8" a="1"/>
  <c r="O479" i="8" s="1"/>
  <c r="L479" i="8" a="1"/>
  <c r="L479" i="8" s="1"/>
  <c r="K479" i="8" a="1"/>
  <c r="K479" i="8" s="1"/>
  <c r="J479" i="8" a="1"/>
  <c r="J479" i="8" s="1"/>
  <c r="D479" i="8" a="1"/>
  <c r="D479" i="8" s="1"/>
  <c r="C479" i="8" a="1"/>
  <c r="C479" i="8" s="1"/>
  <c r="B479" i="8" a="1"/>
  <c r="B479" i="8" s="1"/>
  <c r="AM478" i="8"/>
  <c r="O478" i="8" a="1"/>
  <c r="O478" i="8" s="1"/>
  <c r="L478" i="8" a="1"/>
  <c r="L478" i="8" s="1"/>
  <c r="K478" i="8" a="1"/>
  <c r="K478" i="8" s="1"/>
  <c r="J478" i="8" a="1"/>
  <c r="J478" i="8" s="1"/>
  <c r="D478" i="8" a="1"/>
  <c r="D478" i="8" s="1"/>
  <c r="C478" i="8" a="1"/>
  <c r="C478" i="8" s="1"/>
  <c r="B478" i="8" a="1"/>
  <c r="B478" i="8" s="1"/>
  <c r="AM477" i="8"/>
  <c r="O477" i="8" a="1"/>
  <c r="O477" i="8" s="1"/>
  <c r="L477" i="8" a="1"/>
  <c r="L477" i="8" s="1"/>
  <c r="K477" i="8" a="1"/>
  <c r="K477" i="8" s="1"/>
  <c r="J477" i="8" a="1"/>
  <c r="J477" i="8" s="1"/>
  <c r="D477" i="8" a="1"/>
  <c r="D477" i="8" s="1"/>
  <c r="C477" i="8" a="1"/>
  <c r="C477" i="8" s="1"/>
  <c r="B477" i="8" a="1"/>
  <c r="B477" i="8" s="1"/>
  <c r="AM121" i="8"/>
  <c r="O121" i="8" a="1"/>
  <c r="O121" i="8" s="1"/>
  <c r="K121" i="8" a="1"/>
  <c r="K121" i="8" s="1"/>
  <c r="J121" i="8" a="1"/>
  <c r="J121" i="8" s="1"/>
  <c r="D121" i="8" a="1"/>
  <c r="D121" i="8" s="1"/>
  <c r="C121" i="8" a="1"/>
  <c r="C121" i="8" s="1"/>
  <c r="B121" i="8" a="1"/>
  <c r="B121" i="8" s="1"/>
  <c r="D165" i="5" a="1"/>
  <c r="D165" i="5" s="1"/>
  <c r="E165" i="5" a="1"/>
  <c r="E165" i="5" s="1"/>
  <c r="T165" i="5" s="1"/>
  <c r="F165" i="5" a="1"/>
  <c r="F165" i="5" s="1"/>
  <c r="M165" i="5"/>
  <c r="N165" i="5"/>
  <c r="Q165" i="5"/>
  <c r="S165" i="5"/>
  <c r="Y165" i="5"/>
  <c r="AI165" i="5"/>
  <c r="AP321" i="8"/>
  <c r="AR321" i="8"/>
  <c r="AR320" i="8"/>
  <c r="J320" i="8" a="1"/>
  <c r="J320" i="8" s="1"/>
  <c r="AR319" i="8"/>
  <c r="AA319" i="8"/>
  <c r="B320" i="8" a="1"/>
  <c r="B320" i="8" s="1"/>
  <c r="C320" i="8" a="1"/>
  <c r="C320" i="8" s="1"/>
  <c r="D320" i="8" a="1"/>
  <c r="D320" i="8" s="1"/>
  <c r="AN320" i="8" s="1"/>
  <c r="F320" i="8"/>
  <c r="K320" i="8" a="1"/>
  <c r="K320" i="8" s="1"/>
  <c r="K319" i="8" a="1"/>
  <c r="K319" i="8" s="1"/>
  <c r="J319" i="8" a="1"/>
  <c r="J319" i="8" s="1"/>
  <c r="F319" i="8"/>
  <c r="D319" i="8" a="1"/>
  <c r="D319" i="8" s="1"/>
  <c r="C319" i="8" a="1"/>
  <c r="C319" i="8" s="1"/>
  <c r="B319" i="8" a="1"/>
  <c r="B319" i="8" s="1"/>
  <c r="D300" i="5" a="1"/>
  <c r="D300" i="5" s="1"/>
  <c r="E300" i="5" a="1"/>
  <c r="E300" i="5" s="1"/>
  <c r="F300" i="5" a="1"/>
  <c r="F300" i="5" s="1"/>
  <c r="G300" i="5" a="1"/>
  <c r="G300" i="5" s="1"/>
  <c r="M300" i="5"/>
  <c r="S300" i="5"/>
  <c r="AO245" i="8" s="1"/>
  <c r="P195" i="8"/>
  <c r="AP318" i="8"/>
  <c r="AR318" i="8"/>
  <c r="AR317" i="8"/>
  <c r="L317" i="8" a="1"/>
  <c r="L317" i="8" s="1"/>
  <c r="O317" i="8" a="1"/>
  <c r="O317" i="8" s="1"/>
  <c r="AD317" i="8"/>
  <c r="K317" i="8" a="1"/>
  <c r="K317" i="8" s="1"/>
  <c r="J317" i="8" a="1"/>
  <c r="J317" i="8" s="1"/>
  <c r="F317" i="8"/>
  <c r="D317" i="8" a="1"/>
  <c r="D317" i="8" s="1"/>
  <c r="B317" i="8" a="1"/>
  <c r="B317" i="8" s="1"/>
  <c r="AJ255" i="8"/>
  <c r="AK255" i="8"/>
  <c r="AJ256" i="8"/>
  <c r="AK256" i="8"/>
  <c r="AJ257" i="8"/>
  <c r="AK257" i="8"/>
  <c r="AJ258" i="8"/>
  <c r="AK258" i="8"/>
  <c r="AK259" i="8"/>
  <c r="AJ260" i="8"/>
  <c r="AK260" i="8"/>
  <c r="AJ261" i="8"/>
  <c r="AK261" i="8"/>
  <c r="AJ262" i="8"/>
  <c r="AK262" i="8"/>
  <c r="AJ263" i="8"/>
  <c r="AK263" i="8"/>
  <c r="AJ264" i="8"/>
  <c r="AK264" i="8"/>
  <c r="AJ265" i="8"/>
  <c r="AK265" i="8"/>
  <c r="AJ266" i="8"/>
  <c r="AK266" i="8"/>
  <c r="AJ267" i="8"/>
  <c r="AK267" i="8"/>
  <c r="AJ268" i="8"/>
  <c r="AK268" i="8"/>
  <c r="AJ269" i="8"/>
  <c r="AK269" i="8"/>
  <c r="AJ270" i="8"/>
  <c r="AK270" i="8"/>
  <c r="AJ271" i="8"/>
  <c r="AK271" i="8"/>
  <c r="AJ272" i="8"/>
  <c r="AK273" i="8"/>
  <c r="AJ274" i="8"/>
  <c r="AK274" i="8"/>
  <c r="AK275" i="8"/>
  <c r="AJ276" i="8"/>
  <c r="AK276" i="8"/>
  <c r="AK277" i="8"/>
  <c r="AJ278" i="8"/>
  <c r="AK278" i="8"/>
  <c r="AJ279" i="8"/>
  <c r="AK279" i="8"/>
  <c r="AJ280" i="8"/>
  <c r="AK280" i="8"/>
  <c r="AK281" i="8"/>
  <c r="AK282" i="8"/>
  <c r="AK283" i="8"/>
  <c r="AJ284" i="8"/>
  <c r="AK284" i="8"/>
  <c r="AJ285" i="8"/>
  <c r="AK285" i="8"/>
  <c r="AJ286" i="8"/>
  <c r="AK286" i="8"/>
  <c r="AJ287" i="8"/>
  <c r="AK287" i="8"/>
  <c r="AJ288" i="8"/>
  <c r="AK288" i="8"/>
  <c r="AJ289" i="8"/>
  <c r="AK289" i="8"/>
  <c r="AJ290" i="8"/>
  <c r="AK290" i="8"/>
  <c r="AJ291" i="8"/>
  <c r="AK291" i="8"/>
  <c r="AJ292" i="8"/>
  <c r="AK292" i="8"/>
  <c r="AJ293" i="8"/>
  <c r="AK293" i="8"/>
  <c r="AK294" i="8"/>
  <c r="AJ295" i="8"/>
  <c r="AK295" i="8"/>
  <c r="AJ296" i="8"/>
  <c r="AK296" i="8"/>
  <c r="AJ297" i="8"/>
  <c r="AK297" i="8"/>
  <c r="AJ298" i="8"/>
  <c r="AK298" i="8"/>
  <c r="AJ299" i="8"/>
  <c r="AK299" i="8"/>
  <c r="AJ300" i="8"/>
  <c r="AK300" i="8"/>
  <c r="AK301" i="8"/>
  <c r="AJ302" i="8"/>
  <c r="AK302" i="8"/>
  <c r="AJ303" i="8"/>
  <c r="AK303" i="8"/>
  <c r="AJ304" i="8"/>
  <c r="AK304" i="8"/>
  <c r="AK305" i="8"/>
  <c r="AK306" i="8"/>
  <c r="AJ307" i="8"/>
  <c r="AK307" i="8"/>
  <c r="AK308" i="8"/>
  <c r="AK310" i="8"/>
  <c r="AJ311" i="8"/>
  <c r="AK311" i="8"/>
  <c r="AJ312" i="8"/>
  <c r="AK312" i="8"/>
  <c r="AJ313" i="8"/>
  <c r="AK313" i="8"/>
  <c r="AJ314" i="8"/>
  <c r="AK314" i="8"/>
  <c r="AK315" i="8"/>
  <c r="AK316" i="8"/>
  <c r="AJ316" i="8"/>
  <c r="L316" i="8" a="1"/>
  <c r="L316" i="8" s="1"/>
  <c r="O316" i="8" a="1"/>
  <c r="O316" i="8" s="1"/>
  <c r="I216" i="4"/>
  <c r="H216" i="4"/>
  <c r="AR316" i="8"/>
  <c r="AD316" i="8"/>
  <c r="K316" i="8" a="1"/>
  <c r="K316" i="8" s="1"/>
  <c r="J316" i="8" a="1"/>
  <c r="J316" i="8" s="1"/>
  <c r="F316" i="8"/>
  <c r="D316" i="8" a="1"/>
  <c r="D316" i="8" s="1"/>
  <c r="B316" i="8" a="1"/>
  <c r="B316" i="8" s="1"/>
  <c r="Y210" i="5"/>
  <c r="S210" i="5"/>
  <c r="Q210" i="5"/>
  <c r="M210" i="5"/>
  <c r="G210" i="5" a="1"/>
  <c r="G210" i="5" s="1"/>
  <c r="F210" i="5" a="1"/>
  <c r="F210" i="5" s="1"/>
  <c r="E210" i="5" a="1"/>
  <c r="E210" i="5" s="1"/>
  <c r="T210" i="5" s="1"/>
  <c r="D210" i="5" a="1"/>
  <c r="D210" i="5" s="1"/>
  <c r="P136" i="8"/>
  <c r="AM136" i="8"/>
  <c r="O136" i="8" a="1"/>
  <c r="O136" i="8" s="1"/>
  <c r="K136" i="8" a="1"/>
  <c r="K136" i="8" s="1"/>
  <c r="J136" i="8" a="1"/>
  <c r="J136" i="8" s="1"/>
  <c r="D136" i="8" a="1"/>
  <c r="D136" i="8" s="1"/>
  <c r="C136" i="8" a="1"/>
  <c r="C136" i="8" s="1"/>
  <c r="B136" i="8" a="1"/>
  <c r="B136" i="8" s="1"/>
  <c r="P69" i="8"/>
  <c r="AM69" i="8"/>
  <c r="O69" i="8" a="1"/>
  <c r="O69" i="8" s="1"/>
  <c r="K69" i="8" a="1"/>
  <c r="K69" i="8" s="1"/>
  <c r="J69" i="8" a="1"/>
  <c r="J69" i="8" s="1"/>
  <c r="D69" i="8" a="1"/>
  <c r="D69" i="8" s="1"/>
  <c r="C69" i="8" a="1"/>
  <c r="C69" i="8" s="1"/>
  <c r="B69" i="8" a="1"/>
  <c r="B69" i="8" s="1"/>
  <c r="AA309" i="8"/>
  <c r="AK309" i="8" s="1"/>
  <c r="P187" i="8"/>
  <c r="AM187" i="8"/>
  <c r="O187" i="8" a="1"/>
  <c r="O187" i="8" s="1"/>
  <c r="K187" i="8" a="1"/>
  <c r="K187" i="8" s="1"/>
  <c r="J187" i="8" a="1"/>
  <c r="J187" i="8" s="1"/>
  <c r="D187" i="8" a="1"/>
  <c r="D187" i="8" s="1"/>
  <c r="C187" i="8" a="1"/>
  <c r="C187" i="8" s="1"/>
  <c r="B187" i="8" a="1"/>
  <c r="B187" i="8" s="1"/>
  <c r="AO4" i="8"/>
  <c r="AS245" i="8" l="1"/>
  <c r="AQ245" i="8"/>
  <c r="AK53" i="8"/>
  <c r="G53" i="8" s="1"/>
  <c r="AJ136" i="8"/>
  <c r="F136" i="8" s="1"/>
  <c r="AK136" i="8"/>
  <c r="G136" i="8" s="1"/>
  <c r="AJ121" i="8"/>
  <c r="F121" i="8" s="1"/>
  <c r="AK121" i="8"/>
  <c r="G121" i="8" s="1"/>
  <c r="AK69" i="8"/>
  <c r="G69" i="8" s="1"/>
  <c r="AJ69" i="8"/>
  <c r="F69" i="8" s="1"/>
  <c r="AJ187" i="8"/>
  <c r="F187" i="8" s="1"/>
  <c r="AK187" i="8"/>
  <c r="G187" i="8" s="1"/>
  <c r="AP319" i="8"/>
  <c r="AQ319" i="8" s="1"/>
  <c r="AN319" i="8"/>
  <c r="AP316" i="8"/>
  <c r="AQ316" i="8" s="1"/>
  <c r="AN316" i="8"/>
  <c r="AP317" i="8"/>
  <c r="AQ317" i="8" s="1"/>
  <c r="AN317" i="8"/>
  <c r="AP323" i="8"/>
  <c r="AQ323" i="8" s="1"/>
  <c r="AP324" i="8"/>
  <c r="AQ324" i="8" s="1"/>
  <c r="U147" i="5"/>
  <c r="AD147" i="5" s="1"/>
  <c r="AS324" i="8"/>
  <c r="M324" i="8"/>
  <c r="Q324" i="8" s="1"/>
  <c r="N324" i="8"/>
  <c r="R324" i="8" s="1"/>
  <c r="AE324" i="8"/>
  <c r="E324" i="8" s="1"/>
  <c r="AJ324" i="8"/>
  <c r="AI324" i="8"/>
  <c r="AG324" i="8"/>
  <c r="AS322" i="8"/>
  <c r="AI147" i="5"/>
  <c r="N147" i="5"/>
  <c r="V147" i="5"/>
  <c r="AN53" i="8"/>
  <c r="M53" i="8"/>
  <c r="Q53" i="8" s="1"/>
  <c r="N53" i="8"/>
  <c r="R53" i="8" s="1"/>
  <c r="AS323" i="8"/>
  <c r="AE323" i="8"/>
  <c r="E323" i="8" s="1"/>
  <c r="AJ323" i="8"/>
  <c r="AI323" i="8"/>
  <c r="AG323" i="8"/>
  <c r="R323" i="8"/>
  <c r="M323" i="8"/>
  <c r="Q323" i="8" s="1"/>
  <c r="AP322" i="8"/>
  <c r="AQ322" i="8" s="1"/>
  <c r="N322" i="8"/>
  <c r="R322" i="8" s="1"/>
  <c r="M322" i="8"/>
  <c r="Q322" i="8" s="1"/>
  <c r="AE322" i="8"/>
  <c r="E322" i="8" s="1"/>
  <c r="AG322" i="8"/>
  <c r="AI322" i="8"/>
  <c r="AJ322" i="8"/>
  <c r="AK322" i="8"/>
  <c r="V165" i="5"/>
  <c r="AB165" i="5" s="1"/>
  <c r="N477" i="8"/>
  <c r="R477" i="8" s="1"/>
  <c r="M477" i="8"/>
  <c r="Q477" i="8" s="1"/>
  <c r="R480" i="8"/>
  <c r="AI478" i="8"/>
  <c r="AG478" i="8"/>
  <c r="AE478" i="8"/>
  <c r="E478" i="8" s="1"/>
  <c r="AN478" i="8"/>
  <c r="AK478" i="8"/>
  <c r="AJ478" i="8"/>
  <c r="N479" i="8"/>
  <c r="R479" i="8" s="1"/>
  <c r="M479" i="8"/>
  <c r="Q479" i="8" s="1"/>
  <c r="AK477" i="8"/>
  <c r="AJ477" i="8"/>
  <c r="AI477" i="8"/>
  <c r="AG477" i="8"/>
  <c r="AE477" i="8"/>
  <c r="E477" i="8" s="1"/>
  <c r="AN477" i="8"/>
  <c r="AN481" i="8"/>
  <c r="AK481" i="8"/>
  <c r="AJ481" i="8"/>
  <c r="AI481" i="8"/>
  <c r="AG481" i="8"/>
  <c r="AE481" i="8"/>
  <c r="E481" i="8" s="1"/>
  <c r="AE479" i="8"/>
  <c r="E479" i="8" s="1"/>
  <c r="AN479" i="8"/>
  <c r="AK479" i="8"/>
  <c r="AJ479" i="8"/>
  <c r="AI479" i="8"/>
  <c r="AG479" i="8"/>
  <c r="N481" i="8"/>
  <c r="R481" i="8" s="1"/>
  <c r="M481" i="8"/>
  <c r="Q481" i="8" s="1"/>
  <c r="N478" i="8"/>
  <c r="R478" i="8" s="1"/>
  <c r="M478" i="8"/>
  <c r="Q478" i="8" s="1"/>
  <c r="AN482" i="8"/>
  <c r="AK482" i="8"/>
  <c r="AJ482" i="8"/>
  <c r="AI482" i="8"/>
  <c r="AG482" i="8"/>
  <c r="AE482" i="8"/>
  <c r="E482" i="8" s="1"/>
  <c r="AN480" i="8"/>
  <c r="AK480" i="8"/>
  <c r="AJ480" i="8"/>
  <c r="AI480" i="8"/>
  <c r="AG480" i="8"/>
  <c r="AE480" i="8"/>
  <c r="E480" i="8" s="1"/>
  <c r="M482" i="8"/>
  <c r="Q482" i="8" s="1"/>
  <c r="N482" i="8"/>
  <c r="R482" i="8" s="1"/>
  <c r="AS321" i="8"/>
  <c r="M480" i="8"/>
  <c r="Q480" i="8" s="1"/>
  <c r="AN121" i="8"/>
  <c r="AI121" i="8"/>
  <c r="AG121" i="8"/>
  <c r="H121" i="8" s="1"/>
  <c r="AE121" i="8"/>
  <c r="E121" i="8" s="1"/>
  <c r="M121" i="8"/>
  <c r="Q121" i="8" s="1"/>
  <c r="N121" i="8"/>
  <c r="R121" i="8" s="1"/>
  <c r="AQ321" i="8"/>
  <c r="U165" i="5"/>
  <c r="AD165" i="5" s="1"/>
  <c r="AS319" i="8"/>
  <c r="AS320" i="8"/>
  <c r="AK320" i="8"/>
  <c r="AP320" i="8"/>
  <c r="AQ320" i="8" s="1"/>
  <c r="AK319" i="8"/>
  <c r="AI320" i="8"/>
  <c r="AJ320" i="8"/>
  <c r="AE320" i="8"/>
  <c r="E320" i="8" s="1"/>
  <c r="AG320" i="8"/>
  <c r="AE319" i="8"/>
  <c r="E319" i="8" s="1"/>
  <c r="AJ319" i="8"/>
  <c r="AI319" i="8"/>
  <c r="AG319" i="8"/>
  <c r="N300" i="5"/>
  <c r="U300" i="5"/>
  <c r="AD300" i="5" s="1"/>
  <c r="AQ318" i="8"/>
  <c r="AS318" i="8"/>
  <c r="AS317" i="8"/>
  <c r="M317" i="8"/>
  <c r="Q317" i="8" s="1"/>
  <c r="N317" i="8"/>
  <c r="R317" i="8" s="1"/>
  <c r="AE317" i="8"/>
  <c r="E317" i="8" s="1"/>
  <c r="AK317" i="8"/>
  <c r="AJ317" i="8"/>
  <c r="AI317" i="8"/>
  <c r="AG317" i="8"/>
  <c r="AS316" i="8"/>
  <c r="N316" i="8"/>
  <c r="R316" i="8" s="1"/>
  <c r="M316" i="8"/>
  <c r="Q316" i="8" s="1"/>
  <c r="AE316" i="8"/>
  <c r="E316" i="8" s="1"/>
  <c r="AI316" i="8"/>
  <c r="AG316" i="8"/>
  <c r="AI210" i="5"/>
  <c r="N210" i="5"/>
  <c r="V210" i="5"/>
  <c r="U210" i="5"/>
  <c r="AD210" i="5" s="1"/>
  <c r="AN136" i="8"/>
  <c r="AI136" i="8"/>
  <c r="AG136" i="8"/>
  <c r="H136" i="8" s="1"/>
  <c r="AE136" i="8"/>
  <c r="E136" i="8" s="1"/>
  <c r="M136" i="8"/>
  <c r="Q136" i="8" s="1"/>
  <c r="N136" i="8"/>
  <c r="R136" i="8" s="1"/>
  <c r="AN69" i="8"/>
  <c r="AI69" i="8"/>
  <c r="AG69" i="8"/>
  <c r="H69" i="8" s="1"/>
  <c r="AE69" i="8"/>
  <c r="E69" i="8" s="1"/>
  <c r="M69" i="8"/>
  <c r="Q69" i="8" s="1"/>
  <c r="N69" i="8"/>
  <c r="R69" i="8" s="1"/>
  <c r="AN187" i="8"/>
  <c r="AI187" i="8"/>
  <c r="AG187" i="8"/>
  <c r="H187" i="8" s="1"/>
  <c r="AE187" i="8"/>
  <c r="E187" i="8" s="1"/>
  <c r="M187" i="8"/>
  <c r="Q187" i="8" s="1"/>
  <c r="N187" i="8"/>
  <c r="R187" i="8" s="1"/>
  <c r="G2" i="5"/>
  <c r="AR315" i="8"/>
  <c r="L315" i="8" a="1"/>
  <c r="L315" i="8" s="1"/>
  <c r="O315" i="8" a="1"/>
  <c r="O315" i="8" s="1"/>
  <c r="AH315" i="8"/>
  <c r="AD315" i="8"/>
  <c r="AB315" i="8"/>
  <c r="AC315" i="8" s="1"/>
  <c r="K315" i="8" a="1"/>
  <c r="K315" i="8" s="1"/>
  <c r="J315" i="8" a="1"/>
  <c r="J315" i="8" s="1"/>
  <c r="D315" i="8" a="1"/>
  <c r="D315" i="8" s="1"/>
  <c r="AN315" i="8" s="1"/>
  <c r="B315" i="8" a="1"/>
  <c r="B315" i="8" s="1"/>
  <c r="D70" i="5" a="1"/>
  <c r="D70" i="5" s="1"/>
  <c r="E70" i="5" a="1"/>
  <c r="E70" i="5" s="1"/>
  <c r="T70" i="5" s="1"/>
  <c r="F70" i="5" a="1"/>
  <c r="F70" i="5" s="1"/>
  <c r="G70" i="5" a="1"/>
  <c r="G70" i="5" s="1"/>
  <c r="M70" i="5"/>
  <c r="Q70" i="5"/>
  <c r="S70" i="5"/>
  <c r="Y70" i="5"/>
  <c r="AM182" i="8"/>
  <c r="O182" i="8" a="1"/>
  <c r="O182" i="8" s="1"/>
  <c r="K182" i="8" a="1"/>
  <c r="K182" i="8" s="1"/>
  <c r="J182" i="8" a="1"/>
  <c r="J182" i="8" s="1"/>
  <c r="D182" i="8" a="1"/>
  <c r="D182" i="8" s="1"/>
  <c r="C182" i="8" a="1"/>
  <c r="C182" i="8" s="1"/>
  <c r="B182" i="8" a="1"/>
  <c r="B182" i="8" s="1"/>
  <c r="AR314" i="8"/>
  <c r="L314" i="8" a="1"/>
  <c r="L314" i="8" s="1"/>
  <c r="O314" i="8" a="1"/>
  <c r="O314" i="8" s="1"/>
  <c r="AD314" i="8"/>
  <c r="K314" i="8" a="1"/>
  <c r="K314" i="8" s="1"/>
  <c r="J314" i="8" a="1"/>
  <c r="J314" i="8" s="1"/>
  <c r="D314" i="8" a="1"/>
  <c r="D314" i="8" s="1"/>
  <c r="AN314" i="8" s="1"/>
  <c r="B314" i="8" a="1"/>
  <c r="B314" i="8" s="1"/>
  <c r="AD72" i="8"/>
  <c r="D83" i="5" a="1"/>
  <c r="D83" i="5" s="1"/>
  <c r="E83" i="5" a="1"/>
  <c r="E83" i="5" s="1"/>
  <c r="T83" i="5" s="1"/>
  <c r="F83" i="5" a="1"/>
  <c r="F83" i="5" s="1"/>
  <c r="G83" i="5" a="1"/>
  <c r="G83" i="5" s="1"/>
  <c r="M83" i="5"/>
  <c r="Q83" i="5"/>
  <c r="S83" i="5"/>
  <c r="Y83" i="5"/>
  <c r="AM195" i="8"/>
  <c r="O195" i="8" a="1"/>
  <c r="O195" i="8" s="1"/>
  <c r="K195" i="8" a="1"/>
  <c r="K195" i="8" s="1"/>
  <c r="J195" i="8" a="1"/>
  <c r="J195" i="8" s="1"/>
  <c r="D195" i="8" a="1"/>
  <c r="D195" i="8" s="1"/>
  <c r="C195" i="8" a="1"/>
  <c r="C195" i="8" s="1"/>
  <c r="B195" i="8" a="1"/>
  <c r="B195" i="8" s="1"/>
  <c r="AT245" i="8" l="1"/>
  <c r="AJ195" i="8"/>
  <c r="F195" i="8" s="1"/>
  <c r="AK195" i="8"/>
  <c r="G195" i="8" s="1"/>
  <c r="AJ182" i="8"/>
  <c r="F182" i="8" s="1"/>
  <c r="AK182" i="8"/>
  <c r="G182" i="8" s="1"/>
  <c r="AB147" i="5"/>
  <c r="AB210" i="5"/>
  <c r="AT322" i="8"/>
  <c r="AT324" i="8"/>
  <c r="AT323" i="8"/>
  <c r="AT320" i="8"/>
  <c r="AT321" i="8"/>
  <c r="AT319" i="8"/>
  <c r="AT317" i="8"/>
  <c r="AT318" i="8"/>
  <c r="AT316" i="8"/>
  <c r="AS315" i="8"/>
  <c r="AP314" i="8"/>
  <c r="AQ314" i="8" s="1"/>
  <c r="AP315" i="8"/>
  <c r="AQ315" i="8" s="1"/>
  <c r="Z315" i="8"/>
  <c r="M315" i="8"/>
  <c r="Q315" i="8" s="1"/>
  <c r="N315" i="8"/>
  <c r="R315" i="8" s="1"/>
  <c r="U70" i="5"/>
  <c r="AD70" i="5" s="1"/>
  <c r="N70" i="5"/>
  <c r="AS314" i="8"/>
  <c r="AN182" i="8"/>
  <c r="AI182" i="8"/>
  <c r="AG182" i="8"/>
  <c r="H182" i="8" s="1"/>
  <c r="AE182" i="8"/>
  <c r="E182" i="8" s="1"/>
  <c r="M182" i="8"/>
  <c r="Q182" i="8" s="1"/>
  <c r="N182" i="8"/>
  <c r="R182" i="8" s="1"/>
  <c r="M314" i="8"/>
  <c r="Q314" i="8" s="1"/>
  <c r="N314" i="8"/>
  <c r="R314" i="8" s="1"/>
  <c r="AE314" i="8"/>
  <c r="E314" i="8" s="1"/>
  <c r="AI314" i="8"/>
  <c r="AG314" i="8"/>
  <c r="U83" i="5"/>
  <c r="AD83" i="5" s="1"/>
  <c r="N83" i="5"/>
  <c r="AN195" i="8"/>
  <c r="AI195" i="8"/>
  <c r="AG195" i="8"/>
  <c r="H195" i="8" s="1"/>
  <c r="AE195" i="8"/>
  <c r="E195" i="8" s="1"/>
  <c r="M195" i="8"/>
  <c r="Q195" i="8" s="1"/>
  <c r="N195" i="8"/>
  <c r="R195" i="8" s="1"/>
  <c r="O48" i="8" a="1"/>
  <c r="O48" i="8" s="1"/>
  <c r="P196" i="8"/>
  <c r="D264" i="5" a="1"/>
  <c r="D264" i="5" s="1"/>
  <c r="E264" i="5" a="1"/>
  <c r="E264" i="5" s="1"/>
  <c r="F264" i="5" a="1"/>
  <c r="F264" i="5" s="1"/>
  <c r="G264" i="5" a="1"/>
  <c r="G264" i="5" s="1"/>
  <c r="M264" i="5"/>
  <c r="S264" i="5"/>
  <c r="AO227" i="8" s="1"/>
  <c r="D184" i="5" a="1"/>
  <c r="D184" i="5" s="1"/>
  <c r="E184" i="5" a="1"/>
  <c r="E184" i="5" s="1"/>
  <c r="T184" i="5" s="1"/>
  <c r="F184" i="5" a="1"/>
  <c r="F184" i="5" s="1"/>
  <c r="G184" i="5" a="1"/>
  <c r="G184" i="5" s="1"/>
  <c r="M184" i="5"/>
  <c r="Q184" i="5"/>
  <c r="S184" i="5"/>
  <c r="Y184" i="5"/>
  <c r="AM196" i="8"/>
  <c r="O196" i="8" a="1"/>
  <c r="O196" i="8" s="1"/>
  <c r="K196" i="8" a="1"/>
  <c r="K196" i="8" s="1"/>
  <c r="J196" i="8" a="1"/>
  <c r="J196" i="8" s="1"/>
  <c r="D196" i="8" a="1"/>
  <c r="D196" i="8" s="1"/>
  <c r="C196" i="8" a="1"/>
  <c r="C196" i="8" s="1"/>
  <c r="B196" i="8" a="1"/>
  <c r="B196" i="8" s="1"/>
  <c r="AA181" i="8"/>
  <c r="AU181" i="8" s="1"/>
  <c r="AA201" i="8"/>
  <c r="AU201" i="8" s="1"/>
  <c r="AA204" i="8"/>
  <c r="AU204" i="8" s="1"/>
  <c r="AA209" i="8"/>
  <c r="AU209" i="8" s="1"/>
  <c r="AA205" i="8"/>
  <c r="AU205" i="8" s="1"/>
  <c r="AA208" i="8"/>
  <c r="AU208" i="8" s="1"/>
  <c r="AA188" i="8"/>
  <c r="AU188" i="8" s="1"/>
  <c r="AA197" i="8"/>
  <c r="AU197" i="8" s="1"/>
  <c r="AA200" i="8"/>
  <c r="AU200" i="8" s="1"/>
  <c r="AA170" i="8"/>
  <c r="AU170" i="8" s="1"/>
  <c r="AA91" i="8"/>
  <c r="AU91" i="8" s="1"/>
  <c r="AA50" i="8"/>
  <c r="AU50" i="8" s="1"/>
  <c r="AA186" i="8"/>
  <c r="AU186" i="8" s="1"/>
  <c r="AA78" i="8"/>
  <c r="AU78" i="8" s="1"/>
  <c r="AA190" i="8"/>
  <c r="AU190" i="8" s="1"/>
  <c r="AA172" i="8"/>
  <c r="AU172" i="8" s="1"/>
  <c r="AA194" i="8"/>
  <c r="AU194" i="8" s="1"/>
  <c r="AA175" i="8"/>
  <c r="AU175" i="8" s="1"/>
  <c r="AA206" i="8"/>
  <c r="AU206" i="8" s="1"/>
  <c r="AA164" i="8"/>
  <c r="AU164" i="8" s="1"/>
  <c r="AA120" i="8"/>
  <c r="AU120" i="8" s="1"/>
  <c r="AA107" i="8"/>
  <c r="AU107" i="8" s="1"/>
  <c r="AA124" i="8"/>
  <c r="AU124" i="8" s="1"/>
  <c r="AA179" i="8"/>
  <c r="AU179" i="8" s="1"/>
  <c r="AA101" i="8"/>
  <c r="AU101" i="8" s="1"/>
  <c r="AA84" i="8"/>
  <c r="AU84" i="8" s="1"/>
  <c r="AA117" i="8"/>
  <c r="AU117" i="8" s="1"/>
  <c r="AA72" i="8"/>
  <c r="AU72" i="8" s="1"/>
  <c r="AA199" i="8"/>
  <c r="AU199" i="8" s="1"/>
  <c r="AA149" i="8"/>
  <c r="AU149" i="8" s="1"/>
  <c r="AA148" i="8"/>
  <c r="AU148" i="8" s="1"/>
  <c r="AA19" i="8"/>
  <c r="AU19" i="8" s="1"/>
  <c r="AA56" i="8"/>
  <c r="AU56" i="8" s="1"/>
  <c r="AA47" i="8"/>
  <c r="AU47" i="8" s="1"/>
  <c r="AA92" i="8"/>
  <c r="AU92" i="8" s="1"/>
  <c r="AA141" i="8"/>
  <c r="AU141" i="8" s="1"/>
  <c r="AA139" i="8"/>
  <c r="AU139" i="8" s="1"/>
  <c r="AA169" i="8"/>
  <c r="AU169" i="8" s="1"/>
  <c r="AA62" i="8"/>
  <c r="AU62" i="8" s="1"/>
  <c r="AA178" i="8"/>
  <c r="AU178" i="8" s="1"/>
  <c r="AA79" i="8"/>
  <c r="AU79" i="8" s="1"/>
  <c r="AA82" i="8"/>
  <c r="AU82" i="8" s="1"/>
  <c r="AA118" i="8"/>
  <c r="AU118" i="8" s="1"/>
  <c r="AA97" i="8"/>
  <c r="AU97" i="8" s="1"/>
  <c r="AA36" i="8"/>
  <c r="AU36" i="8" s="1"/>
  <c r="AA126" i="8"/>
  <c r="AU126" i="8" s="1"/>
  <c r="AA46" i="8"/>
  <c r="AU46" i="8" s="1"/>
  <c r="AA75" i="8"/>
  <c r="AU75" i="8" s="1"/>
  <c r="AA100" i="8"/>
  <c r="AU100" i="8" s="1"/>
  <c r="AA43" i="8"/>
  <c r="AU43" i="8" s="1"/>
  <c r="AA60" i="8"/>
  <c r="AU60" i="8" s="1"/>
  <c r="AA52" i="8"/>
  <c r="AU52" i="8" s="1"/>
  <c r="AA140" i="8"/>
  <c r="AU140" i="8" s="1"/>
  <c r="P256" i="8"/>
  <c r="P257" i="8" s="1"/>
  <c r="P258" i="8" s="1"/>
  <c r="P259" i="8" s="1"/>
  <c r="P260" i="8" s="1"/>
  <c r="P261" i="8" s="1"/>
  <c r="P262" i="8" s="1"/>
  <c r="P263" i="8" s="1"/>
  <c r="P264" i="8" s="1"/>
  <c r="P265" i="8" s="1"/>
  <c r="P266" i="8" s="1"/>
  <c r="P267" i="8" s="1"/>
  <c r="P268" i="8" s="1"/>
  <c r="P269" i="8" s="1"/>
  <c r="P270" i="8" s="1"/>
  <c r="P271" i="8" s="1"/>
  <c r="P272" i="8" s="1"/>
  <c r="P273" i="8" s="1"/>
  <c r="P274" i="8" s="1"/>
  <c r="P275" i="8" s="1"/>
  <c r="P276" i="8" s="1"/>
  <c r="P277" i="8" s="1"/>
  <c r="P278" i="8" s="1"/>
  <c r="P279" i="8" s="1"/>
  <c r="P280" i="8" s="1"/>
  <c r="P281" i="8" s="1"/>
  <c r="P282" i="8" s="1"/>
  <c r="P283" i="8" s="1"/>
  <c r="P284" i="8" s="1"/>
  <c r="P285" i="8" s="1"/>
  <c r="P286" i="8" s="1"/>
  <c r="P287" i="8" s="1"/>
  <c r="P288" i="8" s="1"/>
  <c r="P289" i="8" s="1"/>
  <c r="P290" i="8" s="1"/>
  <c r="P291" i="8" s="1"/>
  <c r="P292" i="8" s="1"/>
  <c r="P293" i="8" s="1"/>
  <c r="P294" i="8" s="1"/>
  <c r="P295" i="8" s="1"/>
  <c r="P296" i="8" s="1"/>
  <c r="P297" i="8" s="1"/>
  <c r="P298" i="8" s="1"/>
  <c r="P299" i="8" s="1"/>
  <c r="P300" i="8" s="1"/>
  <c r="P301" i="8" s="1"/>
  <c r="P302" i="8" s="1"/>
  <c r="P303" i="8" s="1"/>
  <c r="P304" i="8" s="1"/>
  <c r="P305" i="8" s="1"/>
  <c r="P306" i="8" s="1"/>
  <c r="P307" i="8" s="1"/>
  <c r="P308" i="8" s="1"/>
  <c r="P309" i="8" s="1"/>
  <c r="P310" i="8" s="1"/>
  <c r="P311" i="8" s="1"/>
  <c r="P312" i="8" s="1"/>
  <c r="P313" i="8" s="1"/>
  <c r="P314" i="8" s="1"/>
  <c r="P315" i="8" s="1"/>
  <c r="P316" i="8" s="1"/>
  <c r="P317" i="8" s="1"/>
  <c r="P141" i="8"/>
  <c r="L313" i="8" a="1"/>
  <c r="L313" i="8" s="1"/>
  <c r="O313" i="8" a="1"/>
  <c r="O313" i="8" s="1"/>
  <c r="AR313" i="8"/>
  <c r="AD313" i="8"/>
  <c r="K313" i="8" a="1"/>
  <c r="K313" i="8" s="1"/>
  <c r="J313" i="8" a="1"/>
  <c r="J313" i="8" s="1"/>
  <c r="D313" i="8" a="1"/>
  <c r="D313" i="8" s="1"/>
  <c r="AN313" i="8" s="1"/>
  <c r="B313" i="8" a="1"/>
  <c r="B313" i="8" s="1"/>
  <c r="AJ196" i="8" l="1"/>
  <c r="F196" i="8" s="1"/>
  <c r="AK196" i="8"/>
  <c r="G196" i="8" s="1"/>
  <c r="AS227" i="8"/>
  <c r="AQ227" i="8"/>
  <c r="Z154" i="8"/>
  <c r="AC154" i="8"/>
  <c r="AJ315" i="8"/>
  <c r="AM315" i="8"/>
  <c r="AT315" i="8"/>
  <c r="AP313" i="8"/>
  <c r="AG315" i="8"/>
  <c r="AE315" i="8"/>
  <c r="E315" i="8" s="1"/>
  <c r="AI315" i="8"/>
  <c r="AT314" i="8"/>
  <c r="M48" i="8"/>
  <c r="Q48" i="8" s="1"/>
  <c r="N48" i="8"/>
  <c r="R48" i="8" s="1"/>
  <c r="U264" i="5"/>
  <c r="AD264" i="5" s="1"/>
  <c r="AI264" i="5"/>
  <c r="V264" i="5"/>
  <c r="N264" i="5"/>
  <c r="U184" i="5"/>
  <c r="AD184" i="5" s="1"/>
  <c r="N184" i="5"/>
  <c r="AN196" i="8"/>
  <c r="AI196" i="8"/>
  <c r="AG196" i="8"/>
  <c r="H196" i="8" s="1"/>
  <c r="AE196" i="8"/>
  <c r="E196" i="8" s="1"/>
  <c r="M196" i="8"/>
  <c r="Q196" i="8" s="1"/>
  <c r="N196" i="8"/>
  <c r="R196" i="8" s="1"/>
  <c r="M313" i="8"/>
  <c r="Q313" i="8" s="1"/>
  <c r="N313" i="8"/>
  <c r="R313" i="8" s="1"/>
  <c r="AE313" i="8"/>
  <c r="E313" i="8" s="1"/>
  <c r="AG313" i="8"/>
  <c r="AI313" i="8"/>
  <c r="D169" i="5" a="1"/>
  <c r="D169" i="5" s="1"/>
  <c r="E169" i="5" a="1"/>
  <c r="E169" i="5" s="1"/>
  <c r="T169" i="5" s="1"/>
  <c r="F169" i="5" a="1"/>
  <c r="F169" i="5" s="1"/>
  <c r="G169" i="5" a="1"/>
  <c r="G169" i="5" s="1"/>
  <c r="M169" i="5"/>
  <c r="Q169" i="5"/>
  <c r="S169" i="5"/>
  <c r="Y169" i="5"/>
  <c r="AR312" i="8"/>
  <c r="AD312" i="8"/>
  <c r="O312" i="8" a="1"/>
  <c r="O312" i="8" s="1"/>
  <c r="L312" i="8" a="1"/>
  <c r="L312" i="8" s="1"/>
  <c r="K312" i="8" a="1"/>
  <c r="K312" i="8" s="1"/>
  <c r="J312" i="8" a="1"/>
  <c r="J312" i="8" s="1"/>
  <c r="D312" i="8" a="1"/>
  <c r="D312" i="8" s="1"/>
  <c r="AN312" i="8" s="1"/>
  <c r="B312" i="8" a="1"/>
  <c r="B312" i="8" s="1"/>
  <c r="M216" i="4"/>
  <c r="AR310" i="8"/>
  <c r="AR311" i="8"/>
  <c r="AD311" i="8"/>
  <c r="Z310" i="8"/>
  <c r="L311" i="8" a="1"/>
  <c r="L311" i="8" s="1"/>
  <c r="O311" i="8" a="1"/>
  <c r="O311" i="8" s="1"/>
  <c r="K311" i="8" a="1"/>
  <c r="K311" i="8" s="1"/>
  <c r="J311" i="8" a="1"/>
  <c r="J311" i="8" s="1"/>
  <c r="D311" i="8" a="1"/>
  <c r="D311" i="8" s="1"/>
  <c r="AN311" i="8" s="1"/>
  <c r="B311" i="8" a="1"/>
  <c r="B311" i="8" s="1"/>
  <c r="O310" i="8" a="1"/>
  <c r="O310" i="8" s="1"/>
  <c r="L310" i="8" a="1"/>
  <c r="L310" i="8" s="1"/>
  <c r="K310" i="8" a="1"/>
  <c r="K310" i="8" s="1"/>
  <c r="J310" i="8" a="1"/>
  <c r="J310" i="8" s="1"/>
  <c r="D310" i="8" a="1"/>
  <c r="D310" i="8" s="1"/>
  <c r="AN310" i="8" s="1"/>
  <c r="B310" i="8" a="1"/>
  <c r="B310" i="8" s="1"/>
  <c r="D117" i="5" a="1"/>
  <c r="D117" i="5" s="1"/>
  <c r="E117" i="5" a="1"/>
  <c r="E117" i="5" s="1"/>
  <c r="T117" i="5" s="1"/>
  <c r="F117" i="5" a="1"/>
  <c r="F117" i="5" s="1"/>
  <c r="G117" i="5" a="1"/>
  <c r="G117" i="5" s="1"/>
  <c r="M117" i="5"/>
  <c r="Q117" i="5"/>
  <c r="S117" i="5"/>
  <c r="Y117" i="5"/>
  <c r="P36" i="8"/>
  <c r="AM36" i="8"/>
  <c r="O36" i="8" a="1"/>
  <c r="O36" i="8" s="1"/>
  <c r="K36" i="8" a="1"/>
  <c r="K36" i="8" s="1"/>
  <c r="J36" i="8" a="1"/>
  <c r="J36" i="8" s="1"/>
  <c r="D36" i="8" a="1"/>
  <c r="D36" i="8" s="1"/>
  <c r="C36" i="8" a="1"/>
  <c r="C36" i="8" s="1"/>
  <c r="B36" i="8" a="1"/>
  <c r="B36" i="8" s="1"/>
  <c r="I154" i="8" l="1"/>
  <c r="AD154" i="8"/>
  <c r="AT227" i="8"/>
  <c r="Y264" i="5"/>
  <c r="AJ310" i="8"/>
  <c r="AM310" i="8"/>
  <c r="AB264" i="5"/>
  <c r="AP311" i="8"/>
  <c r="AQ311" i="8" s="1"/>
  <c r="AP312" i="8"/>
  <c r="AQ312" i="8" s="1"/>
  <c r="U169" i="5"/>
  <c r="AD169" i="5" s="1"/>
  <c r="N169" i="5"/>
  <c r="AS312" i="8"/>
  <c r="M312" i="8"/>
  <c r="Q312" i="8" s="1"/>
  <c r="N312" i="8"/>
  <c r="R312" i="8" s="1"/>
  <c r="AE312" i="8"/>
  <c r="E312" i="8" s="1"/>
  <c r="AI312" i="8"/>
  <c r="AG312" i="8"/>
  <c r="AS310" i="8"/>
  <c r="AP310" i="8"/>
  <c r="AQ310" i="8" s="1"/>
  <c r="AS311" i="8"/>
  <c r="M311" i="8"/>
  <c r="Q311" i="8" s="1"/>
  <c r="N311" i="8"/>
  <c r="R311" i="8" s="1"/>
  <c r="AE311" i="8"/>
  <c r="E311" i="8" s="1"/>
  <c r="AI311" i="8"/>
  <c r="AG311" i="8"/>
  <c r="N310" i="8"/>
  <c r="R310" i="8" s="1"/>
  <c r="M310" i="8"/>
  <c r="Q310" i="8" s="1"/>
  <c r="AE310" i="8"/>
  <c r="E310" i="8" s="1"/>
  <c r="AG310" i="8"/>
  <c r="AI310" i="8"/>
  <c r="U117" i="5"/>
  <c r="AD117" i="5" s="1"/>
  <c r="N117" i="5"/>
  <c r="AN36" i="8"/>
  <c r="AK36" i="8"/>
  <c r="G36" i="8" s="1"/>
  <c r="AJ36" i="8"/>
  <c r="F36" i="8" s="1"/>
  <c r="AI36" i="8"/>
  <c r="AG36" i="8"/>
  <c r="H36" i="8" s="1"/>
  <c r="AE36" i="8"/>
  <c r="E36" i="8" s="1"/>
  <c r="M36" i="8"/>
  <c r="Q36" i="8" s="1"/>
  <c r="N36" i="8"/>
  <c r="R36" i="8" s="1"/>
  <c r="AT312" i="8" l="1"/>
  <c r="AT310" i="8"/>
  <c r="AT311" i="8"/>
  <c r="AR309" i="8" l="1"/>
  <c r="L309" i="8" a="1"/>
  <c r="L309" i="8" s="1"/>
  <c r="O309" i="8" a="1"/>
  <c r="O309" i="8" s="1"/>
  <c r="AH309" i="8"/>
  <c r="K309" i="8" a="1"/>
  <c r="K309" i="8" s="1"/>
  <c r="J309" i="8" a="1"/>
  <c r="J309" i="8" s="1"/>
  <c r="D309" i="8" a="1"/>
  <c r="D309" i="8" s="1"/>
  <c r="AN309" i="8" s="1"/>
  <c r="B309" i="8" a="1"/>
  <c r="B309" i="8" s="1"/>
  <c r="D61" i="5" a="1"/>
  <c r="D61" i="5" s="1"/>
  <c r="E61" i="5" a="1"/>
  <c r="E61" i="5" s="1"/>
  <c r="T61" i="5" s="1"/>
  <c r="F61" i="5" a="1"/>
  <c r="F61" i="5" s="1"/>
  <c r="G61" i="5" a="1"/>
  <c r="G61" i="5" s="1"/>
  <c r="M61" i="5"/>
  <c r="Q61" i="5"/>
  <c r="S61" i="5"/>
  <c r="Y61" i="5"/>
  <c r="AM476" i="8"/>
  <c r="O476" i="8" a="1"/>
  <c r="O476" i="8" s="1"/>
  <c r="L476" i="8" a="1"/>
  <c r="L476" i="8" s="1"/>
  <c r="K476" i="8" a="1"/>
  <c r="K476" i="8" s="1"/>
  <c r="J476" i="8" a="1"/>
  <c r="J476" i="8" s="1"/>
  <c r="D476" i="8" a="1"/>
  <c r="D476" i="8" s="1"/>
  <c r="C476" i="8" a="1"/>
  <c r="C476" i="8" s="1"/>
  <c r="B476" i="8" a="1"/>
  <c r="B476" i="8" s="1"/>
  <c r="AM475" i="8"/>
  <c r="O475" i="8" a="1"/>
  <c r="O475" i="8" s="1"/>
  <c r="L475" i="8" a="1"/>
  <c r="L475" i="8" s="1"/>
  <c r="K475" i="8" a="1"/>
  <c r="K475" i="8" s="1"/>
  <c r="J475" i="8" a="1"/>
  <c r="J475" i="8" s="1"/>
  <c r="D475" i="8" a="1"/>
  <c r="D475" i="8" s="1"/>
  <c r="C475" i="8" a="1"/>
  <c r="C475" i="8" s="1"/>
  <c r="B475" i="8" a="1"/>
  <c r="B475" i="8" s="1"/>
  <c r="AM474" i="8"/>
  <c r="O474" i="8" a="1"/>
  <c r="O474" i="8" s="1"/>
  <c r="L474" i="8" a="1"/>
  <c r="L474" i="8" s="1"/>
  <c r="K474" i="8" a="1"/>
  <c r="K474" i="8" s="1"/>
  <c r="J474" i="8" a="1"/>
  <c r="J474" i="8" s="1"/>
  <c r="D474" i="8" a="1"/>
  <c r="D474" i="8" s="1"/>
  <c r="C474" i="8" a="1"/>
  <c r="C474" i="8" s="1"/>
  <c r="B474" i="8" a="1"/>
  <c r="B474" i="8" s="1"/>
  <c r="AM473" i="8"/>
  <c r="O473" i="8" a="1"/>
  <c r="O473" i="8" s="1"/>
  <c r="L473" i="8" a="1"/>
  <c r="L473" i="8" s="1"/>
  <c r="K473" i="8" a="1"/>
  <c r="K473" i="8" s="1"/>
  <c r="J473" i="8" a="1"/>
  <c r="J473" i="8" s="1"/>
  <c r="D473" i="8" a="1"/>
  <c r="D473" i="8" s="1"/>
  <c r="C473" i="8" a="1"/>
  <c r="C473" i="8" s="1"/>
  <c r="B473" i="8" a="1"/>
  <c r="B473" i="8" s="1"/>
  <c r="AM472" i="8"/>
  <c r="O472" i="8" a="1"/>
  <c r="O472" i="8" s="1"/>
  <c r="L472" i="8" a="1"/>
  <c r="L472" i="8" s="1"/>
  <c r="K472" i="8" a="1"/>
  <c r="K472" i="8" s="1"/>
  <c r="J472" i="8" a="1"/>
  <c r="J472" i="8" s="1"/>
  <c r="D472" i="8" a="1"/>
  <c r="D472" i="8" s="1"/>
  <c r="C472" i="8" a="1"/>
  <c r="C472" i="8" s="1"/>
  <c r="B472" i="8" a="1"/>
  <c r="B472" i="8" s="1"/>
  <c r="AM471" i="8"/>
  <c r="O471" i="8" a="1"/>
  <c r="O471" i="8" s="1"/>
  <c r="L471" i="8" a="1"/>
  <c r="L471" i="8" s="1"/>
  <c r="N471" i="8" s="1"/>
  <c r="K471" i="8" a="1"/>
  <c r="K471" i="8" s="1"/>
  <c r="J471" i="8" a="1"/>
  <c r="J471" i="8" s="1"/>
  <c r="D471" i="8" a="1"/>
  <c r="D471" i="8" s="1"/>
  <c r="C471" i="8" a="1"/>
  <c r="C471" i="8" s="1"/>
  <c r="B471" i="8" a="1"/>
  <c r="B471" i="8" s="1"/>
  <c r="AM470" i="8"/>
  <c r="O470" i="8" a="1"/>
  <c r="O470" i="8" s="1"/>
  <c r="L470" i="8" a="1"/>
  <c r="L470" i="8" s="1"/>
  <c r="K470" i="8" a="1"/>
  <c r="K470" i="8" s="1"/>
  <c r="J470" i="8" a="1"/>
  <c r="J470" i="8" s="1"/>
  <c r="D470" i="8" a="1"/>
  <c r="D470" i="8" s="1"/>
  <c r="C470" i="8" a="1"/>
  <c r="C470" i="8" s="1"/>
  <c r="B470" i="8" a="1"/>
  <c r="B470" i="8" s="1"/>
  <c r="AR308" i="8"/>
  <c r="AC308" i="8"/>
  <c r="Z308" i="8"/>
  <c r="AH308" i="8"/>
  <c r="AD308" i="8"/>
  <c r="O308" i="8" a="1"/>
  <c r="O308" i="8" s="1"/>
  <c r="L308" i="8" a="1"/>
  <c r="L308" i="8" s="1"/>
  <c r="K308" i="8" a="1"/>
  <c r="K308" i="8" s="1"/>
  <c r="J308" i="8" a="1"/>
  <c r="J308" i="8" s="1"/>
  <c r="D308" i="8" a="1"/>
  <c r="D308" i="8" s="1"/>
  <c r="AN308" i="8" s="1"/>
  <c r="B308" i="8" a="1"/>
  <c r="B308" i="8" s="1"/>
  <c r="D247" i="5" a="1"/>
  <c r="D247" i="5" s="1"/>
  <c r="E247" i="5" a="1"/>
  <c r="E247" i="5" s="1"/>
  <c r="T247" i="5" s="1"/>
  <c r="F247" i="5" a="1"/>
  <c r="F247" i="5" s="1"/>
  <c r="G247" i="5" a="1"/>
  <c r="G247" i="5" s="1"/>
  <c r="M247" i="5"/>
  <c r="Q247" i="5"/>
  <c r="S247" i="5"/>
  <c r="Y247" i="5"/>
  <c r="P118" i="8"/>
  <c r="AM118" i="8"/>
  <c r="O118" i="8" a="1"/>
  <c r="O118" i="8" s="1"/>
  <c r="K118" i="8" a="1"/>
  <c r="K118" i="8" s="1"/>
  <c r="J118" i="8" a="1"/>
  <c r="J118" i="8" s="1"/>
  <c r="D118" i="8" a="1"/>
  <c r="D118" i="8" s="1"/>
  <c r="C118" i="8" a="1"/>
  <c r="C118" i="8" s="1"/>
  <c r="B118" i="8" a="1"/>
  <c r="B118" i="8" s="1"/>
  <c r="AR307" i="8"/>
  <c r="L307" i="8" a="1"/>
  <c r="L307" i="8" s="1"/>
  <c r="O307" i="8" a="1"/>
  <c r="O307" i="8" s="1"/>
  <c r="AD307" i="8"/>
  <c r="K307" i="8" a="1"/>
  <c r="K307" i="8" s="1"/>
  <c r="J307" i="8" a="1"/>
  <c r="J307" i="8" s="1"/>
  <c r="D307" i="8" a="1"/>
  <c r="D307" i="8" s="1"/>
  <c r="AN307" i="8" s="1"/>
  <c r="B307" i="8" a="1"/>
  <c r="B307" i="8" s="1"/>
  <c r="AJ118" i="8" l="1"/>
  <c r="F118" i="8" s="1"/>
  <c r="AK118" i="8"/>
  <c r="G118" i="8" s="1"/>
  <c r="AJ308" i="8"/>
  <c r="AM308" i="8"/>
  <c r="AP308" i="8"/>
  <c r="AQ308" i="8" s="1"/>
  <c r="AP309" i="8"/>
  <c r="AQ309" i="8" s="1"/>
  <c r="AP307" i="8"/>
  <c r="AQ307" i="8" s="1"/>
  <c r="AS309" i="8"/>
  <c r="AC309" i="8"/>
  <c r="AD309" i="8" s="1"/>
  <c r="Z309" i="8"/>
  <c r="M309" i="8"/>
  <c r="Q309" i="8" s="1"/>
  <c r="N309" i="8"/>
  <c r="R309" i="8" s="1"/>
  <c r="U61" i="5"/>
  <c r="AD61" i="5" s="1"/>
  <c r="AI61" i="5"/>
  <c r="V61" i="5"/>
  <c r="N61" i="5"/>
  <c r="AN470" i="8"/>
  <c r="AI470" i="8"/>
  <c r="AG470" i="8"/>
  <c r="AK471" i="8"/>
  <c r="AN471" i="8"/>
  <c r="AE471" i="8"/>
  <c r="E471" i="8" s="1"/>
  <c r="M471" i="8"/>
  <c r="Q471" i="8" s="1"/>
  <c r="R471" i="8"/>
  <c r="AN474" i="8"/>
  <c r="AK474" i="8"/>
  <c r="AJ474" i="8"/>
  <c r="AI474" i="8"/>
  <c r="AG474" i="8"/>
  <c r="AE474" i="8"/>
  <c r="E474" i="8" s="1"/>
  <c r="N475" i="8"/>
  <c r="R475" i="8" s="1"/>
  <c r="M475" i="8"/>
  <c r="Q475" i="8" s="1"/>
  <c r="M470" i="8"/>
  <c r="Q470" i="8" s="1"/>
  <c r="N470" i="8"/>
  <c r="R470" i="8" s="1"/>
  <c r="AE473" i="8"/>
  <c r="E473" i="8" s="1"/>
  <c r="AN473" i="8"/>
  <c r="AK473" i="8"/>
  <c r="AJ473" i="8"/>
  <c r="AI473" i="8"/>
  <c r="AG473" i="8"/>
  <c r="AI472" i="8"/>
  <c r="AG472" i="8"/>
  <c r="AE472" i="8"/>
  <c r="E472" i="8" s="1"/>
  <c r="AN472" i="8"/>
  <c r="AK472" i="8"/>
  <c r="AJ472" i="8"/>
  <c r="N474" i="8"/>
  <c r="R474" i="8" s="1"/>
  <c r="M474" i="8"/>
  <c r="Q474" i="8" s="1"/>
  <c r="N473" i="8"/>
  <c r="R473" i="8" s="1"/>
  <c r="M473" i="8"/>
  <c r="Q473" i="8" s="1"/>
  <c r="N472" i="8"/>
  <c r="R472" i="8" s="1"/>
  <c r="M472" i="8"/>
  <c r="Q472" i="8" s="1"/>
  <c r="AN476" i="8"/>
  <c r="AK476" i="8"/>
  <c r="AJ476" i="8"/>
  <c r="AI476" i="8"/>
  <c r="AG476" i="8"/>
  <c r="AE476" i="8"/>
  <c r="E476" i="8" s="1"/>
  <c r="AN475" i="8"/>
  <c r="AK475" i="8"/>
  <c r="AJ475" i="8"/>
  <c r="AI475" i="8"/>
  <c r="AG475" i="8"/>
  <c r="AE475" i="8"/>
  <c r="E475" i="8" s="1"/>
  <c r="M476" i="8"/>
  <c r="Q476" i="8" s="1"/>
  <c r="N476" i="8"/>
  <c r="R476" i="8" s="1"/>
  <c r="AS308" i="8"/>
  <c r="AE470" i="8"/>
  <c r="E470" i="8" s="1"/>
  <c r="AJ470" i="8"/>
  <c r="AG471" i="8"/>
  <c r="AK470" i="8"/>
  <c r="AI471" i="8"/>
  <c r="AJ471" i="8"/>
  <c r="AI308" i="8"/>
  <c r="AG308" i="8"/>
  <c r="M308" i="8"/>
  <c r="Q308" i="8" s="1"/>
  <c r="N308" i="8"/>
  <c r="R308" i="8" s="1"/>
  <c r="AE308" i="8"/>
  <c r="E308" i="8" s="1"/>
  <c r="AS307" i="8"/>
  <c r="U247" i="5"/>
  <c r="AD247" i="5" s="1"/>
  <c r="V247" i="5"/>
  <c r="N247" i="5"/>
  <c r="AI247" i="5"/>
  <c r="AN118" i="8"/>
  <c r="AI118" i="8"/>
  <c r="AG118" i="8"/>
  <c r="H118" i="8" s="1"/>
  <c r="AE118" i="8"/>
  <c r="E118" i="8" s="1"/>
  <c r="M118" i="8"/>
  <c r="Q118" i="8" s="1"/>
  <c r="N118" i="8"/>
  <c r="R118" i="8" s="1"/>
  <c r="M307" i="8"/>
  <c r="Q307" i="8" s="1"/>
  <c r="N307" i="8"/>
  <c r="R307" i="8" s="1"/>
  <c r="AE307" i="8"/>
  <c r="E307" i="8" s="1"/>
  <c r="AI307" i="8"/>
  <c r="AG307" i="8"/>
  <c r="AJ309" i="8" l="1"/>
  <c r="AM309" i="8"/>
  <c r="AB247" i="5"/>
  <c r="AB61" i="5"/>
  <c r="AI309" i="8"/>
  <c r="AT309" i="8"/>
  <c r="AG309" i="8"/>
  <c r="AE309" i="8"/>
  <c r="E309" i="8" s="1"/>
  <c r="AT308" i="8"/>
  <c r="AT307" i="8"/>
  <c r="D152" i="5" l="1" a="1"/>
  <c r="D152" i="5" s="1"/>
  <c r="E152" i="5" a="1"/>
  <c r="E152" i="5" s="1"/>
  <c r="T152" i="5" s="1"/>
  <c r="F152" i="5" a="1"/>
  <c r="F152" i="5" s="1"/>
  <c r="G152" i="5" a="1"/>
  <c r="G152" i="5" s="1"/>
  <c r="M152" i="5"/>
  <c r="Q152" i="5"/>
  <c r="S152" i="5"/>
  <c r="Y152" i="5"/>
  <c r="P75" i="8"/>
  <c r="AM75" i="8"/>
  <c r="O75" i="8" a="1"/>
  <c r="O75" i="8" s="1"/>
  <c r="K75" i="8" a="1"/>
  <c r="K75" i="8" s="1"/>
  <c r="J75" i="8" a="1"/>
  <c r="J75" i="8" s="1"/>
  <c r="D75" i="8" a="1"/>
  <c r="D75" i="8" s="1"/>
  <c r="C75" i="8" a="1"/>
  <c r="C75" i="8" s="1"/>
  <c r="B75" i="8" a="1"/>
  <c r="B75" i="8" s="1"/>
  <c r="D32" i="5" a="1"/>
  <c r="D32" i="5" s="1"/>
  <c r="E32" i="5" a="1"/>
  <c r="E32" i="5" s="1"/>
  <c r="T32" i="5" s="1"/>
  <c r="F32" i="5" a="1"/>
  <c r="F32" i="5" s="1"/>
  <c r="G32" i="5" a="1"/>
  <c r="G32" i="5" s="1"/>
  <c r="M32" i="5"/>
  <c r="Q32" i="5"/>
  <c r="S32" i="5"/>
  <c r="Y32" i="5"/>
  <c r="D31" i="5" a="1"/>
  <c r="D31" i="5" s="1"/>
  <c r="E31" i="5" a="1"/>
  <c r="E31" i="5" s="1"/>
  <c r="T31" i="5" s="1"/>
  <c r="F31" i="5" a="1"/>
  <c r="F31" i="5" s="1"/>
  <c r="G31" i="5" a="1"/>
  <c r="G31" i="5" s="1"/>
  <c r="M31" i="5"/>
  <c r="Q31" i="5"/>
  <c r="S31" i="5"/>
  <c r="Y31" i="5"/>
  <c r="D186" i="5" a="1"/>
  <c r="D186" i="5" s="1"/>
  <c r="E186" i="5" a="1"/>
  <c r="E186" i="5" s="1"/>
  <c r="T186" i="5" s="1"/>
  <c r="F186" i="5" a="1"/>
  <c r="F186" i="5" s="1"/>
  <c r="G186" i="5" a="1"/>
  <c r="G186" i="5" s="1"/>
  <c r="M186" i="5"/>
  <c r="Q186" i="5"/>
  <c r="S186" i="5"/>
  <c r="Y186" i="5"/>
  <c r="AD208" i="8"/>
  <c r="AC208" i="8"/>
  <c r="I208" i="8" s="1"/>
  <c r="L64" i="5"/>
  <c r="K64" i="5"/>
  <c r="F167" i="5" a="1"/>
  <c r="F167" i="5" s="1"/>
  <c r="F170" i="5" a="1"/>
  <c r="F170" i="5" s="1"/>
  <c r="F171" i="5" a="1"/>
  <c r="F171" i="5" s="1"/>
  <c r="F172" i="5" a="1"/>
  <c r="F172" i="5" s="1"/>
  <c r="F173" i="5" a="1"/>
  <c r="F173" i="5" s="1"/>
  <c r="F174" i="5" a="1"/>
  <c r="F174" i="5" s="1"/>
  <c r="F273" i="5" a="1"/>
  <c r="F273" i="5" s="1"/>
  <c r="F176" i="5" a="1"/>
  <c r="F176" i="5" s="1"/>
  <c r="F265" i="5" a="1"/>
  <c r="F265" i="5" s="1"/>
  <c r="F180" i="5" a="1"/>
  <c r="F180" i="5" s="1"/>
  <c r="F181" i="5" a="1"/>
  <c r="F181" i="5" s="1"/>
  <c r="F182" i="5" a="1"/>
  <c r="F182" i="5" s="1"/>
  <c r="F183" i="5" a="1"/>
  <c r="F183" i="5" s="1"/>
  <c r="F185" i="5" a="1"/>
  <c r="F185" i="5" s="1"/>
  <c r="F277" i="5" a="1"/>
  <c r="F277" i="5" s="1"/>
  <c r="F187" i="5" a="1"/>
  <c r="F187" i="5" s="1"/>
  <c r="F188" i="5" a="1"/>
  <c r="F188" i="5" s="1"/>
  <c r="F189" i="5" a="1"/>
  <c r="F189" i="5" s="1"/>
  <c r="F190" i="5" a="1"/>
  <c r="F190" i="5" s="1"/>
  <c r="F191" i="5" a="1"/>
  <c r="F191" i="5" s="1"/>
  <c r="F194" i="5" a="1"/>
  <c r="F194" i="5" s="1"/>
  <c r="F195" i="5" a="1"/>
  <c r="F195" i="5" s="1"/>
  <c r="F196" i="5" a="1"/>
  <c r="F196" i="5" s="1"/>
  <c r="F197" i="5" a="1"/>
  <c r="F197" i="5" s="1"/>
  <c r="F198" i="5" a="1"/>
  <c r="F198" i="5" s="1"/>
  <c r="F199" i="5" a="1"/>
  <c r="F199" i="5" s="1"/>
  <c r="F200" i="5" a="1"/>
  <c r="F200" i="5" s="1"/>
  <c r="F201" i="5" a="1"/>
  <c r="F201" i="5" s="1"/>
  <c r="F202" i="5" a="1"/>
  <c r="F202" i="5" s="1"/>
  <c r="F203" i="5" a="1"/>
  <c r="F203" i="5" s="1"/>
  <c r="F204" i="5" a="1"/>
  <c r="F204" i="5" s="1"/>
  <c r="F206" i="5" a="1"/>
  <c r="F206" i="5" s="1"/>
  <c r="F207" i="5" a="1"/>
  <c r="F207" i="5" s="1"/>
  <c r="F208" i="5" a="1"/>
  <c r="F208" i="5" s="1"/>
  <c r="F209" i="5" a="1"/>
  <c r="F209" i="5" s="1"/>
  <c r="F211" i="5" a="1"/>
  <c r="F211" i="5" s="1"/>
  <c r="F213" i="5" a="1"/>
  <c r="F213" i="5" s="1"/>
  <c r="F215" i="5" a="1"/>
  <c r="F215" i="5" s="1"/>
  <c r="F216" i="5" a="1"/>
  <c r="F216" i="5" s="1"/>
  <c r="F299" i="5" a="1"/>
  <c r="F299" i="5" s="1"/>
  <c r="F217" i="5" a="1"/>
  <c r="F217" i="5" s="1"/>
  <c r="F218" i="5" a="1"/>
  <c r="F218" i="5" s="1"/>
  <c r="F220" i="5" a="1"/>
  <c r="F220" i="5" s="1"/>
  <c r="F221" i="5" a="1"/>
  <c r="F221" i="5" s="1"/>
  <c r="F222" i="5" a="1"/>
  <c r="F222" i="5" s="1"/>
  <c r="F223" i="5" a="1"/>
  <c r="F223" i="5" s="1"/>
  <c r="F224" i="5" a="1"/>
  <c r="F224" i="5" s="1"/>
  <c r="F225" i="5" a="1"/>
  <c r="F225" i="5" s="1"/>
  <c r="F226" i="5" a="1"/>
  <c r="F226" i="5" s="1"/>
  <c r="F229" i="5" a="1"/>
  <c r="F229" i="5" s="1"/>
  <c r="F231" i="5" a="1"/>
  <c r="F231" i="5" s="1"/>
  <c r="F232" i="5" a="1"/>
  <c r="F232" i="5" s="1"/>
  <c r="F233" i="5" a="1"/>
  <c r="F233" i="5" s="1"/>
  <c r="F234" i="5" a="1"/>
  <c r="F234" i="5" s="1"/>
  <c r="F235" i="5" a="1"/>
  <c r="F235" i="5" s="1"/>
  <c r="F236" i="5" a="1"/>
  <c r="F236" i="5" s="1"/>
  <c r="F238" i="5" a="1"/>
  <c r="F238" i="5" s="1"/>
  <c r="F239" i="5" a="1"/>
  <c r="F239" i="5" s="1"/>
  <c r="F240" i="5" a="1"/>
  <c r="F240" i="5" s="1"/>
  <c r="F291" i="5" a="1"/>
  <c r="F291" i="5" s="1"/>
  <c r="F241" i="5" a="1"/>
  <c r="F241" i="5" s="1"/>
  <c r="F242" i="5" a="1"/>
  <c r="F242" i="5" s="1"/>
  <c r="F244" i="5" a="1"/>
  <c r="F244" i="5" s="1"/>
  <c r="F245" i="5" a="1"/>
  <c r="F245" i="5" s="1"/>
  <c r="F246" i="5" a="1"/>
  <c r="F246" i="5" s="1"/>
  <c r="F249" i="5" a="1"/>
  <c r="F249" i="5" s="1"/>
  <c r="F252" i="5" a="1"/>
  <c r="F252" i="5" s="1"/>
  <c r="F253" i="5" a="1"/>
  <c r="F253" i="5" s="1"/>
  <c r="F255" i="5" a="1"/>
  <c r="F255" i="5" s="1"/>
  <c r="D167" i="5" a="1"/>
  <c r="D167" i="5" s="1"/>
  <c r="E167" i="5" a="1"/>
  <c r="E167" i="5" s="1"/>
  <c r="T167" i="5" s="1"/>
  <c r="M167" i="5"/>
  <c r="Q167" i="5"/>
  <c r="S167" i="5"/>
  <c r="Y167" i="5"/>
  <c r="P66" i="8"/>
  <c r="AM66" i="8"/>
  <c r="O66" i="8" a="1"/>
  <c r="O66" i="8" s="1"/>
  <c r="K66" i="8" a="1"/>
  <c r="K66" i="8" s="1"/>
  <c r="J66" i="8" a="1"/>
  <c r="J66" i="8" s="1"/>
  <c r="D66" i="8" a="1"/>
  <c r="D66" i="8" s="1"/>
  <c r="C66" i="8" a="1"/>
  <c r="C66" i="8" s="1"/>
  <c r="B66" i="8" a="1"/>
  <c r="B66" i="8" s="1"/>
  <c r="AR306" i="8"/>
  <c r="Z306" i="8"/>
  <c r="AH306" i="8"/>
  <c r="AD306" i="8"/>
  <c r="AC306" i="8"/>
  <c r="O306" i="8" a="1"/>
  <c r="O306" i="8" s="1"/>
  <c r="L306" i="8" a="1"/>
  <c r="L306" i="8" s="1"/>
  <c r="K306" i="8" a="1"/>
  <c r="K306" i="8" s="1"/>
  <c r="J306" i="8" a="1"/>
  <c r="J306" i="8" s="1"/>
  <c r="D306" i="8" a="1"/>
  <c r="D306" i="8" s="1"/>
  <c r="AN306" i="8" s="1"/>
  <c r="B306" i="8" a="1"/>
  <c r="B306" i="8" s="1"/>
  <c r="K8" i="5"/>
  <c r="M183" i="5"/>
  <c r="D183" i="5" a="1"/>
  <c r="D183" i="5" s="1"/>
  <c r="E183" i="5" a="1"/>
  <c r="E183" i="5" s="1"/>
  <c r="T183" i="5" s="1"/>
  <c r="G183" i="5" a="1"/>
  <c r="G183" i="5" s="1"/>
  <c r="Q183" i="5"/>
  <c r="S183" i="5"/>
  <c r="Y183" i="5"/>
  <c r="AM141" i="8"/>
  <c r="O141" i="8" a="1"/>
  <c r="O141" i="8" s="1"/>
  <c r="K141" i="8" a="1"/>
  <c r="K141" i="8" s="1"/>
  <c r="J141" i="8" a="1"/>
  <c r="J141" i="8" s="1"/>
  <c r="D141" i="8" a="1"/>
  <c r="D141" i="8" s="1"/>
  <c r="C141" i="8" a="1"/>
  <c r="C141" i="8" s="1"/>
  <c r="B141" i="8" a="1"/>
  <c r="B141" i="8" s="1"/>
  <c r="D34" i="5" a="1"/>
  <c r="D34" i="5" s="1"/>
  <c r="E34" i="5" a="1"/>
  <c r="E34" i="5" s="1"/>
  <c r="T34" i="5" s="1"/>
  <c r="F34" i="5" a="1"/>
  <c r="F34" i="5" s="1"/>
  <c r="G34" i="5" a="1"/>
  <c r="G34" i="5" s="1"/>
  <c r="M34" i="5"/>
  <c r="Q34" i="5"/>
  <c r="S34" i="5"/>
  <c r="Y34" i="5"/>
  <c r="D30" i="5" a="1"/>
  <c r="D30" i="5" s="1"/>
  <c r="E30" i="5" a="1"/>
  <c r="E30" i="5" s="1"/>
  <c r="T30" i="5" s="1"/>
  <c r="F30" i="5" a="1"/>
  <c r="F30" i="5" s="1"/>
  <c r="G30" i="5" a="1"/>
  <c r="G30" i="5" s="1"/>
  <c r="M30" i="5"/>
  <c r="Q30" i="5"/>
  <c r="S30" i="5"/>
  <c r="Y30" i="5"/>
  <c r="AR305" i="8"/>
  <c r="Z305" i="8"/>
  <c r="AH305" i="8"/>
  <c r="AC305" i="8"/>
  <c r="O305" i="8" a="1"/>
  <c r="O305" i="8" s="1"/>
  <c r="L305" i="8" a="1"/>
  <c r="L305" i="8" s="1"/>
  <c r="N305" i="8" s="1"/>
  <c r="K305" i="8" a="1"/>
  <c r="K305" i="8" s="1"/>
  <c r="J305" i="8" a="1"/>
  <c r="J305" i="8" s="1"/>
  <c r="D305" i="8" a="1"/>
  <c r="D305" i="8" s="1"/>
  <c r="AN305" i="8" s="1"/>
  <c r="B305" i="8" a="1"/>
  <c r="B305" i="8" s="1"/>
  <c r="D88" i="5" a="1"/>
  <c r="D88" i="5" s="1"/>
  <c r="E88" i="5" a="1"/>
  <c r="E88" i="5" s="1"/>
  <c r="T88" i="5" s="1"/>
  <c r="F88" i="5" a="1"/>
  <c r="F88" i="5" s="1"/>
  <c r="G88" i="5" a="1"/>
  <c r="G88" i="5" s="1"/>
  <c r="M88" i="5"/>
  <c r="Q88" i="5"/>
  <c r="S88" i="5"/>
  <c r="Y88" i="5"/>
  <c r="D87" i="5" a="1"/>
  <c r="D87" i="5" s="1"/>
  <c r="E87" i="5" a="1"/>
  <c r="E87" i="5" s="1"/>
  <c r="T87" i="5" s="1"/>
  <c r="F87" i="5" a="1"/>
  <c r="F87" i="5" s="1"/>
  <c r="G87" i="5" a="1"/>
  <c r="G87" i="5" s="1"/>
  <c r="S87" i="5"/>
  <c r="M87" i="5"/>
  <c r="Q87" i="5"/>
  <c r="Y87" i="5"/>
  <c r="AJ141" i="8" l="1"/>
  <c r="F141" i="8" s="1"/>
  <c r="AK141" i="8"/>
  <c r="G141" i="8" s="1"/>
  <c r="AJ75" i="8"/>
  <c r="F75" i="8" s="1"/>
  <c r="AK75" i="8"/>
  <c r="G75" i="8" s="1"/>
  <c r="AJ306" i="8"/>
  <c r="AM306" i="8"/>
  <c r="AJ305" i="8"/>
  <c r="AM305" i="8"/>
  <c r="AP306" i="8"/>
  <c r="AQ306" i="8" s="1"/>
  <c r="U152" i="5"/>
  <c r="AD152" i="5" s="1"/>
  <c r="N152" i="5"/>
  <c r="AN75" i="8"/>
  <c r="AI75" i="8"/>
  <c r="AG75" i="8"/>
  <c r="H75" i="8" s="1"/>
  <c r="AE75" i="8"/>
  <c r="E75" i="8" s="1"/>
  <c r="M75" i="8"/>
  <c r="Q75" i="8" s="1"/>
  <c r="N75" i="8"/>
  <c r="R75" i="8" s="1"/>
  <c r="U32" i="5"/>
  <c r="AD32" i="5" s="1"/>
  <c r="AI32" i="5"/>
  <c r="V32" i="5"/>
  <c r="N32" i="5"/>
  <c r="U31" i="5"/>
  <c r="AD31" i="5" s="1"/>
  <c r="AI31" i="5"/>
  <c r="V31" i="5"/>
  <c r="N31" i="5"/>
  <c r="U186" i="5"/>
  <c r="AD186" i="5" s="1"/>
  <c r="AI186" i="5"/>
  <c r="V186" i="5"/>
  <c r="N186" i="5"/>
  <c r="N167" i="5"/>
  <c r="U167" i="5"/>
  <c r="AD167" i="5" s="1"/>
  <c r="AN66" i="8"/>
  <c r="M66" i="8"/>
  <c r="Q66" i="8" s="1"/>
  <c r="N66" i="8"/>
  <c r="R66" i="8" s="1"/>
  <c r="AS306" i="8"/>
  <c r="AG306" i="8"/>
  <c r="M306" i="8"/>
  <c r="Q306" i="8" s="1"/>
  <c r="N306" i="8"/>
  <c r="R306" i="8" s="1"/>
  <c r="AS305" i="8"/>
  <c r="AI306" i="8"/>
  <c r="AE306" i="8"/>
  <c r="E306" i="8" s="1"/>
  <c r="U183" i="5"/>
  <c r="AD183" i="5" s="1"/>
  <c r="AI183" i="5"/>
  <c r="V183" i="5"/>
  <c r="N183" i="5"/>
  <c r="AN141" i="8"/>
  <c r="AI141" i="8"/>
  <c r="AG141" i="8"/>
  <c r="H141" i="8" s="1"/>
  <c r="AE141" i="8"/>
  <c r="E141" i="8" s="1"/>
  <c r="M141" i="8"/>
  <c r="Q141" i="8" s="1"/>
  <c r="N141" i="8"/>
  <c r="R141" i="8" s="1"/>
  <c r="U34" i="5"/>
  <c r="AD34" i="5" s="1"/>
  <c r="V34" i="5"/>
  <c r="N34" i="5"/>
  <c r="AI34" i="5"/>
  <c r="U30" i="5"/>
  <c r="AD30" i="5" s="1"/>
  <c r="V30" i="5"/>
  <c r="AI30" i="5"/>
  <c r="N30" i="5"/>
  <c r="AP305" i="8"/>
  <c r="AQ305" i="8" s="1"/>
  <c r="AG305" i="8"/>
  <c r="AI305" i="8"/>
  <c r="R305" i="8"/>
  <c r="M305" i="8"/>
  <c r="Q305" i="8" s="1"/>
  <c r="AE305" i="8"/>
  <c r="E305" i="8" s="1"/>
  <c r="U88" i="5"/>
  <c r="AD88" i="5" s="1"/>
  <c r="V88" i="5"/>
  <c r="AI88" i="5"/>
  <c r="N88" i="5"/>
  <c r="U87" i="5"/>
  <c r="AD87" i="5" s="1"/>
  <c r="AI87" i="5"/>
  <c r="V87" i="5"/>
  <c r="N87" i="5"/>
  <c r="AB88" i="5" l="1"/>
  <c r="AB32" i="5"/>
  <c r="AB183" i="5"/>
  <c r="AB34" i="5"/>
  <c r="AB186" i="5"/>
  <c r="AB31" i="5"/>
  <c r="AB87" i="5"/>
  <c r="AB30" i="5"/>
  <c r="AT305" i="8"/>
  <c r="AT306" i="8"/>
  <c r="L304" i="8" a="1"/>
  <c r="L304" i="8" s="1"/>
  <c r="O304" i="8" a="1"/>
  <c r="O304" i="8" s="1"/>
  <c r="AR304" i="8"/>
  <c r="AD304" i="8"/>
  <c r="K304" i="8" a="1"/>
  <c r="K304" i="8" s="1"/>
  <c r="J304" i="8" a="1"/>
  <c r="J304" i="8" s="1"/>
  <c r="D304" i="8" a="1"/>
  <c r="D304" i="8" s="1"/>
  <c r="AN304" i="8" s="1"/>
  <c r="B304" i="8" a="1"/>
  <c r="B304" i="8" s="1"/>
  <c r="D29" i="5" a="1"/>
  <c r="D29" i="5" s="1"/>
  <c r="E29" i="5" a="1"/>
  <c r="E29" i="5" s="1"/>
  <c r="T29" i="5" s="1"/>
  <c r="F29" i="5" a="1"/>
  <c r="F29" i="5" s="1"/>
  <c r="G29" i="5" a="1"/>
  <c r="G29" i="5" s="1"/>
  <c r="M29" i="5"/>
  <c r="Q29" i="5"/>
  <c r="S29" i="5"/>
  <c r="Y29" i="5"/>
  <c r="AR303" i="8"/>
  <c r="AD303" i="8"/>
  <c r="O303" i="8" a="1"/>
  <c r="O303" i="8" s="1"/>
  <c r="L303" i="8" a="1"/>
  <c r="L303" i="8" s="1"/>
  <c r="K303" i="8" a="1"/>
  <c r="K303" i="8" s="1"/>
  <c r="J303" i="8" a="1"/>
  <c r="J303" i="8" s="1"/>
  <c r="D303" i="8" a="1"/>
  <c r="D303" i="8" s="1"/>
  <c r="AN303" i="8" s="1"/>
  <c r="B303" i="8" a="1"/>
  <c r="B303" i="8" s="1"/>
  <c r="D268" i="5" a="1"/>
  <c r="D268" i="5" s="1"/>
  <c r="E268" i="5" a="1"/>
  <c r="E268" i="5" s="1"/>
  <c r="F268" i="5" a="1"/>
  <c r="F268" i="5" s="1"/>
  <c r="G268" i="5" a="1"/>
  <c r="G268" i="5" s="1"/>
  <c r="M268" i="5"/>
  <c r="S268" i="5"/>
  <c r="AO230" i="8" s="1"/>
  <c r="K155" i="5"/>
  <c r="I183" i="4"/>
  <c r="AR302" i="8"/>
  <c r="L302" i="8" a="1"/>
  <c r="L302" i="8" s="1"/>
  <c r="O302" i="8" a="1"/>
  <c r="O302" i="8" s="1"/>
  <c r="AD302" i="8"/>
  <c r="K302" i="8" a="1"/>
  <c r="K302" i="8" s="1"/>
  <c r="J302" i="8" a="1"/>
  <c r="J302" i="8" s="1"/>
  <c r="D302" i="8" a="1"/>
  <c r="D302" i="8" s="1"/>
  <c r="AN302" i="8" s="1"/>
  <c r="B302" i="8" a="1"/>
  <c r="B302" i="8" s="1"/>
  <c r="L301" i="8" a="1"/>
  <c r="L301" i="8" s="1"/>
  <c r="O301" i="8" a="1"/>
  <c r="O301" i="8" s="1"/>
  <c r="AR301" i="8"/>
  <c r="AD301" i="8"/>
  <c r="AB301" i="8"/>
  <c r="Z301" i="8" s="1"/>
  <c r="K301" i="8" a="1"/>
  <c r="K301" i="8" s="1"/>
  <c r="J301" i="8" a="1"/>
  <c r="J301" i="8" s="1"/>
  <c r="D301" i="8" a="1"/>
  <c r="D301" i="8" s="1"/>
  <c r="B301" i="8" a="1"/>
  <c r="B301" i="8" s="1"/>
  <c r="P79" i="8"/>
  <c r="D198" i="5" a="1"/>
  <c r="D198" i="5" s="1"/>
  <c r="E198" i="5" a="1"/>
  <c r="E198" i="5" s="1"/>
  <c r="T198" i="5" s="1"/>
  <c r="G198" i="5" a="1"/>
  <c r="G198" i="5" s="1"/>
  <c r="M198" i="5"/>
  <c r="Q198" i="5"/>
  <c r="S198" i="5"/>
  <c r="Y198" i="5"/>
  <c r="AM79" i="8"/>
  <c r="O79" i="8" a="1"/>
  <c r="O79" i="8" s="1"/>
  <c r="K79" i="8" a="1"/>
  <c r="K79" i="8" s="1"/>
  <c r="J79" i="8" a="1"/>
  <c r="J79" i="8" s="1"/>
  <c r="D79" i="8" a="1"/>
  <c r="D79" i="8" s="1"/>
  <c r="C79" i="8" a="1"/>
  <c r="C79" i="8" s="1"/>
  <c r="B79" i="8" a="1"/>
  <c r="B79" i="8" s="1"/>
  <c r="P126" i="8"/>
  <c r="AH20" i="8"/>
  <c r="Z20" i="8"/>
  <c r="AC20" i="8"/>
  <c r="Z13" i="8"/>
  <c r="AC13" i="8"/>
  <c r="I13" i="8" s="1"/>
  <c r="I20" i="8" l="1"/>
  <c r="AD20" i="8"/>
  <c r="AJ79" i="8"/>
  <c r="F79" i="8" s="1"/>
  <c r="AK79" i="8"/>
  <c r="G79" i="8" s="1"/>
  <c r="AS230" i="8"/>
  <c r="AQ230" i="8"/>
  <c r="AJ301" i="8"/>
  <c r="AM301" i="8"/>
  <c r="AP302" i="8"/>
  <c r="AQ302" i="8" s="1"/>
  <c r="AP304" i="8"/>
  <c r="AQ304" i="8" s="1"/>
  <c r="AP303" i="8"/>
  <c r="AQ303" i="8" s="1"/>
  <c r="AP301" i="8"/>
  <c r="AQ301" i="8" s="1"/>
  <c r="AN301" i="8"/>
  <c r="AS304" i="8"/>
  <c r="AS303" i="8"/>
  <c r="M304" i="8"/>
  <c r="Q304" i="8" s="1"/>
  <c r="N304" i="8"/>
  <c r="R304" i="8" s="1"/>
  <c r="AE304" i="8"/>
  <c r="E304" i="8" s="1"/>
  <c r="AI304" i="8"/>
  <c r="AG304" i="8"/>
  <c r="U29" i="5"/>
  <c r="AD29" i="5" s="1"/>
  <c r="AI29" i="5"/>
  <c r="N29" i="5"/>
  <c r="V29" i="5"/>
  <c r="AE303" i="8"/>
  <c r="E303" i="8" s="1"/>
  <c r="AI303" i="8"/>
  <c r="AG303" i="8"/>
  <c r="N303" i="8"/>
  <c r="R303" i="8" s="1"/>
  <c r="M303" i="8"/>
  <c r="Q303" i="8" s="1"/>
  <c r="U268" i="5"/>
  <c r="AD268" i="5" s="1"/>
  <c r="N268" i="5"/>
  <c r="AS302" i="8"/>
  <c r="AC301" i="8"/>
  <c r="AE301" i="8" s="1"/>
  <c r="E301" i="8" s="1"/>
  <c r="AH301" i="8"/>
  <c r="AI301" i="8" s="1"/>
  <c r="M302" i="8"/>
  <c r="Q302" i="8" s="1"/>
  <c r="N302" i="8"/>
  <c r="R302" i="8" s="1"/>
  <c r="AE302" i="8"/>
  <c r="E302" i="8" s="1"/>
  <c r="AI302" i="8"/>
  <c r="AG302" i="8"/>
  <c r="M301" i="8"/>
  <c r="Q301" i="8" s="1"/>
  <c r="N301" i="8"/>
  <c r="R301" i="8" s="1"/>
  <c r="AS301" i="8"/>
  <c r="AG301" i="8"/>
  <c r="U198" i="5"/>
  <c r="AD198" i="5" s="1"/>
  <c r="AI198" i="5"/>
  <c r="V198" i="5"/>
  <c r="N198" i="5"/>
  <c r="AN79" i="8"/>
  <c r="AI79" i="8"/>
  <c r="AG79" i="8"/>
  <c r="H79" i="8" s="1"/>
  <c r="AE79" i="8"/>
  <c r="E79" i="8" s="1"/>
  <c r="M79" i="8"/>
  <c r="Q79" i="8" s="1"/>
  <c r="N79" i="8"/>
  <c r="R79" i="8" s="1"/>
  <c r="H183" i="4"/>
  <c r="AH58" i="8"/>
  <c r="Z58" i="8"/>
  <c r="AA58" i="8" s="1"/>
  <c r="AU58" i="8" s="1"/>
  <c r="AC58" i="8"/>
  <c r="AD58" i="8" s="1"/>
  <c r="AM58" i="8"/>
  <c r="W58" i="8"/>
  <c r="P58" i="8" s="1"/>
  <c r="O58" i="8" a="1"/>
  <c r="O58" i="8" s="1"/>
  <c r="K58" i="8" a="1"/>
  <c r="K58" i="8" s="1"/>
  <c r="J58" i="8" a="1"/>
  <c r="J58" i="8" s="1"/>
  <c r="D58" i="8" a="1"/>
  <c r="D58" i="8" s="1"/>
  <c r="C58" i="8" a="1"/>
  <c r="C58" i="8" s="1"/>
  <c r="B58" i="8" a="1"/>
  <c r="B58" i="8" s="1"/>
  <c r="D63" i="5" a="1"/>
  <c r="D63" i="5" s="1"/>
  <c r="E63" i="5" a="1"/>
  <c r="E63" i="5" s="1"/>
  <c r="T63" i="5" s="1"/>
  <c r="F63" i="5" a="1"/>
  <c r="F63" i="5" s="1"/>
  <c r="G63" i="5" a="1"/>
  <c r="G63" i="5" s="1"/>
  <c r="M63" i="5"/>
  <c r="Q63" i="5"/>
  <c r="S63" i="5"/>
  <c r="Y63" i="5"/>
  <c r="D226" i="5" a="1"/>
  <c r="D226" i="5" s="1"/>
  <c r="E226" i="5" a="1"/>
  <c r="E226" i="5" s="1"/>
  <c r="T226" i="5" s="1"/>
  <c r="G226" i="5" a="1"/>
  <c r="G226" i="5" s="1"/>
  <c r="M226" i="5"/>
  <c r="Q226" i="5"/>
  <c r="S226" i="5"/>
  <c r="Y226" i="5"/>
  <c r="P149" i="8"/>
  <c r="P172" i="8"/>
  <c r="AM172" i="8"/>
  <c r="O172" i="8" a="1"/>
  <c r="O172" i="8" s="1"/>
  <c r="K172" i="8" a="1"/>
  <c r="K172" i="8" s="1"/>
  <c r="J172" i="8" a="1"/>
  <c r="J172" i="8" s="1"/>
  <c r="D172" i="8" a="1"/>
  <c r="D172" i="8" s="1"/>
  <c r="C172" i="8" a="1"/>
  <c r="C172" i="8" s="1"/>
  <c r="B172" i="8" a="1"/>
  <c r="B172" i="8" s="1"/>
  <c r="AM149" i="8"/>
  <c r="O149" i="8" a="1"/>
  <c r="O149" i="8" s="1"/>
  <c r="K149" i="8" a="1"/>
  <c r="K149" i="8" s="1"/>
  <c r="J149" i="8" a="1"/>
  <c r="J149" i="8" s="1"/>
  <c r="D149" i="8" a="1"/>
  <c r="D149" i="8" s="1"/>
  <c r="C149" i="8" a="1"/>
  <c r="C149" i="8" s="1"/>
  <c r="B149" i="8" a="1"/>
  <c r="B149" i="8" s="1"/>
  <c r="AM469" i="8"/>
  <c r="AK469" i="8"/>
  <c r="AJ469" i="8"/>
  <c r="AI469" i="8"/>
  <c r="AE469" i="8"/>
  <c r="E469" i="8" s="1"/>
  <c r="O469" i="8" a="1"/>
  <c r="O469" i="8" s="1"/>
  <c r="L469" i="8" a="1"/>
  <c r="L469" i="8" s="1"/>
  <c r="K469" i="8" a="1"/>
  <c r="K469" i="8" s="1"/>
  <c r="J469" i="8" a="1"/>
  <c r="J469" i="8" s="1"/>
  <c r="D469" i="8" a="1"/>
  <c r="D469" i="8" s="1"/>
  <c r="AN469" i="8" s="1"/>
  <c r="C469" i="8" a="1"/>
  <c r="C469" i="8" s="1"/>
  <c r="B469" i="8" a="1"/>
  <c r="B469" i="8" s="1"/>
  <c r="AM468" i="8"/>
  <c r="AJ468" i="8"/>
  <c r="AI468" i="8"/>
  <c r="AE468" i="8"/>
  <c r="E468" i="8" s="1"/>
  <c r="O468" i="8" a="1"/>
  <c r="O468" i="8" s="1"/>
  <c r="L468" i="8" a="1"/>
  <c r="L468" i="8" s="1"/>
  <c r="K468" i="8" a="1"/>
  <c r="K468" i="8" s="1"/>
  <c r="J468" i="8" a="1"/>
  <c r="J468" i="8" s="1"/>
  <c r="D468" i="8" a="1"/>
  <c r="D468" i="8" s="1"/>
  <c r="C468" i="8" a="1"/>
  <c r="C468" i="8" s="1"/>
  <c r="B468" i="8" a="1"/>
  <c r="B468" i="8" s="1"/>
  <c r="AM467" i="8"/>
  <c r="AK467" i="8"/>
  <c r="AJ467" i="8"/>
  <c r="AI467" i="8"/>
  <c r="AE467" i="8"/>
  <c r="E467" i="8" s="1"/>
  <c r="O467" i="8" a="1"/>
  <c r="O467" i="8" s="1"/>
  <c r="L467" i="8" a="1"/>
  <c r="L467" i="8" s="1"/>
  <c r="K467" i="8" a="1"/>
  <c r="K467" i="8" s="1"/>
  <c r="J467" i="8" a="1"/>
  <c r="J467" i="8" s="1"/>
  <c r="D467" i="8" a="1"/>
  <c r="D467" i="8" s="1"/>
  <c r="C467" i="8" a="1"/>
  <c r="C467" i="8" s="1"/>
  <c r="B467" i="8" a="1"/>
  <c r="B467" i="8" s="1"/>
  <c r="AM466" i="8"/>
  <c r="AK466" i="8"/>
  <c r="AJ466" i="8"/>
  <c r="AI466" i="8"/>
  <c r="AE466" i="8"/>
  <c r="E466" i="8" s="1"/>
  <c r="O466" i="8" a="1"/>
  <c r="O466" i="8" s="1"/>
  <c r="L466" i="8" a="1"/>
  <c r="L466" i="8" s="1"/>
  <c r="K466" i="8" a="1"/>
  <c r="K466" i="8" s="1"/>
  <c r="J466" i="8" a="1"/>
  <c r="J466" i="8" s="1"/>
  <c r="D466" i="8" a="1"/>
  <c r="D466" i="8" s="1"/>
  <c r="C466" i="8" a="1"/>
  <c r="C466" i="8" s="1"/>
  <c r="B466" i="8" a="1"/>
  <c r="B466" i="8" s="1"/>
  <c r="AM465" i="8"/>
  <c r="AK465" i="8"/>
  <c r="AJ465" i="8"/>
  <c r="AI465" i="8"/>
  <c r="AE465" i="8"/>
  <c r="E465" i="8" s="1"/>
  <c r="O465" i="8" a="1"/>
  <c r="O465" i="8" s="1"/>
  <c r="L465" i="8" a="1"/>
  <c r="L465" i="8" s="1"/>
  <c r="K465" i="8" a="1"/>
  <c r="K465" i="8" s="1"/>
  <c r="J465" i="8" a="1"/>
  <c r="J465" i="8" s="1"/>
  <c r="D465" i="8" a="1"/>
  <c r="D465" i="8" s="1"/>
  <c r="C465" i="8" a="1"/>
  <c r="C465" i="8" s="1"/>
  <c r="B465" i="8" a="1"/>
  <c r="B465" i="8" s="1"/>
  <c r="D187" i="5" a="1"/>
  <c r="D187" i="5" s="1"/>
  <c r="M187" i="5"/>
  <c r="Q187" i="5"/>
  <c r="S187" i="5"/>
  <c r="Y187" i="5"/>
  <c r="AR300" i="8"/>
  <c r="AD300" i="8"/>
  <c r="O300" i="8" a="1"/>
  <c r="O300" i="8" s="1"/>
  <c r="L300" i="8" a="1"/>
  <c r="L300" i="8" s="1"/>
  <c r="K300" i="8" a="1"/>
  <c r="K300" i="8" s="1"/>
  <c r="J300" i="8" a="1"/>
  <c r="J300" i="8" s="1"/>
  <c r="D300" i="8" a="1"/>
  <c r="D300" i="8" s="1"/>
  <c r="B300" i="8" a="1"/>
  <c r="B300" i="8" s="1"/>
  <c r="AR299" i="8"/>
  <c r="AD299" i="8"/>
  <c r="O299" i="8" a="1"/>
  <c r="O299" i="8" s="1"/>
  <c r="L299" i="8" a="1"/>
  <c r="L299" i="8" s="1"/>
  <c r="K299" i="8" a="1"/>
  <c r="K299" i="8" s="1"/>
  <c r="J299" i="8" a="1"/>
  <c r="J299" i="8" s="1"/>
  <c r="D299" i="8" a="1"/>
  <c r="D299" i="8" s="1"/>
  <c r="B299" i="8" a="1"/>
  <c r="B299" i="8" s="1"/>
  <c r="AR298" i="8"/>
  <c r="AD298" i="8"/>
  <c r="O298" i="8" a="1"/>
  <c r="O298" i="8" s="1"/>
  <c r="L298" i="8" a="1"/>
  <c r="L298" i="8" s="1"/>
  <c r="K298" i="8" a="1"/>
  <c r="K298" i="8" s="1"/>
  <c r="J298" i="8" a="1"/>
  <c r="J298" i="8" s="1"/>
  <c r="D298" i="8" a="1"/>
  <c r="D298" i="8" s="1"/>
  <c r="B298" i="8" a="1"/>
  <c r="B298" i="8" s="1"/>
  <c r="D277" i="5" a="1"/>
  <c r="D277" i="5" s="1"/>
  <c r="E277" i="5" a="1"/>
  <c r="E277" i="5" s="1"/>
  <c r="G277" i="5" a="1"/>
  <c r="G277" i="5" s="1"/>
  <c r="G187" i="5" s="1"/>
  <c r="M277" i="5"/>
  <c r="S277" i="5"/>
  <c r="AO234" i="8" s="1"/>
  <c r="J524" i="5"/>
  <c r="J521" i="5"/>
  <c r="I58" i="8" l="1"/>
  <c r="AG149" i="8"/>
  <c r="H149" i="8" s="1"/>
  <c r="AJ149" i="8"/>
  <c r="F149" i="8" s="1"/>
  <c r="AK149" i="8"/>
  <c r="G149" i="8" s="1"/>
  <c r="AG172" i="8"/>
  <c r="H172" i="8" s="1"/>
  <c r="AJ172" i="8"/>
  <c r="F172" i="8" s="1"/>
  <c r="AK172" i="8"/>
  <c r="G172" i="8" s="1"/>
  <c r="AQ234" i="8"/>
  <c r="AS234" i="8"/>
  <c r="AT230" i="8"/>
  <c r="AB198" i="5"/>
  <c r="AB29" i="5"/>
  <c r="AT303" i="8"/>
  <c r="AT304" i="8"/>
  <c r="AP300" i="8"/>
  <c r="AQ300" i="8" s="1"/>
  <c r="AN300" i="8"/>
  <c r="AP299" i="8"/>
  <c r="AQ299" i="8" s="1"/>
  <c r="AN299" i="8"/>
  <c r="AP298" i="8"/>
  <c r="AQ298" i="8" s="1"/>
  <c r="AN298" i="8"/>
  <c r="AT302" i="8"/>
  <c r="AT301" i="8"/>
  <c r="AG58" i="8"/>
  <c r="H58" i="8" s="1"/>
  <c r="H154" i="4"/>
  <c r="N58" i="8"/>
  <c r="R58" i="8" s="1"/>
  <c r="M58" i="8"/>
  <c r="Q58" i="8" s="1"/>
  <c r="AN58" i="8"/>
  <c r="AK58" i="8"/>
  <c r="G58" i="8" s="1"/>
  <c r="AJ58" i="8"/>
  <c r="F58" i="8" s="1"/>
  <c r="AI58" i="8"/>
  <c r="AE58" i="8"/>
  <c r="E58" i="8" s="1"/>
  <c r="U226" i="5"/>
  <c r="AD226" i="5" s="1"/>
  <c r="U63" i="5"/>
  <c r="AD63" i="5" s="1"/>
  <c r="N63" i="5"/>
  <c r="N226" i="5"/>
  <c r="AS300" i="8"/>
  <c r="N149" i="8"/>
  <c r="R149" i="8" s="1"/>
  <c r="M149" i="8"/>
  <c r="Q149" i="8" s="1"/>
  <c r="AN172" i="8"/>
  <c r="AI172" i="8"/>
  <c r="AE172" i="8"/>
  <c r="E172" i="8" s="1"/>
  <c r="AN149" i="8"/>
  <c r="AI149" i="8"/>
  <c r="AE149" i="8"/>
  <c r="E149" i="8" s="1"/>
  <c r="M172" i="8"/>
  <c r="Q172" i="8" s="1"/>
  <c r="N172" i="8"/>
  <c r="R172" i="8" s="1"/>
  <c r="AN468" i="8"/>
  <c r="AK468" i="8"/>
  <c r="AG468" i="8"/>
  <c r="M466" i="8"/>
  <c r="Q466" i="8" s="1"/>
  <c r="N466" i="8"/>
  <c r="R466" i="8" s="1"/>
  <c r="AG469" i="8"/>
  <c r="M467" i="8"/>
  <c r="Q467" i="8" s="1"/>
  <c r="N467" i="8"/>
  <c r="R467" i="8" s="1"/>
  <c r="N468" i="8"/>
  <c r="R468" i="8" s="1"/>
  <c r="M468" i="8"/>
  <c r="Q468" i="8" s="1"/>
  <c r="M469" i="8"/>
  <c r="Q469" i="8" s="1"/>
  <c r="N469" i="8"/>
  <c r="R469" i="8" s="1"/>
  <c r="AG465" i="8"/>
  <c r="AN465" i="8"/>
  <c r="AN466" i="8"/>
  <c r="AG466" i="8"/>
  <c r="M465" i="8"/>
  <c r="Q465" i="8" s="1"/>
  <c r="N465" i="8"/>
  <c r="R465" i="8" s="1"/>
  <c r="AN467" i="8"/>
  <c r="AG467" i="8"/>
  <c r="U187" i="5"/>
  <c r="AD187" i="5" s="1"/>
  <c r="N187" i="5"/>
  <c r="AS299" i="8"/>
  <c r="N300" i="8"/>
  <c r="R300" i="8" s="1"/>
  <c r="M300" i="8"/>
  <c r="Q300" i="8" s="1"/>
  <c r="AE300" i="8"/>
  <c r="E300" i="8" s="1"/>
  <c r="AI300" i="8"/>
  <c r="AG300" i="8"/>
  <c r="AI299" i="8"/>
  <c r="AG299" i="8"/>
  <c r="AE299" i="8"/>
  <c r="E299" i="8" s="1"/>
  <c r="N299" i="8"/>
  <c r="R299" i="8" s="1"/>
  <c r="M299" i="8"/>
  <c r="Q299" i="8" s="1"/>
  <c r="AS298" i="8"/>
  <c r="N298" i="8"/>
  <c r="R298" i="8" s="1"/>
  <c r="M298" i="8"/>
  <c r="Q298" i="8" s="1"/>
  <c r="AE298" i="8"/>
  <c r="E298" i="8" s="1"/>
  <c r="AI298" i="8"/>
  <c r="AG298" i="8"/>
  <c r="U277" i="5"/>
  <c r="AD277" i="5" s="1"/>
  <c r="N277" i="5"/>
  <c r="AT234" i="8" l="1"/>
  <c r="AT300" i="8"/>
  <c r="AT299" i="8"/>
  <c r="AT298" i="8"/>
  <c r="P52" i="8"/>
  <c r="M183" i="4"/>
  <c r="I154" i="4"/>
  <c r="AM126" i="8"/>
  <c r="O126" i="8" a="1"/>
  <c r="O126" i="8" s="1"/>
  <c r="K126" i="8" a="1"/>
  <c r="K126" i="8" s="1"/>
  <c r="J126" i="8" a="1"/>
  <c r="J126" i="8" s="1"/>
  <c r="D126" i="8" a="1"/>
  <c r="D126" i="8" s="1"/>
  <c r="C126" i="8" a="1"/>
  <c r="C126" i="8" s="1"/>
  <c r="B126" i="8" a="1"/>
  <c r="B126" i="8" s="1"/>
  <c r="D149" i="5" a="1"/>
  <c r="D149" i="5" s="1"/>
  <c r="E149" i="5" a="1"/>
  <c r="E149" i="5" s="1"/>
  <c r="T149" i="5" s="1"/>
  <c r="F149" i="5" a="1"/>
  <c r="F149" i="5" s="1"/>
  <c r="G149" i="5" a="1"/>
  <c r="G149" i="5" s="1"/>
  <c r="M149" i="5"/>
  <c r="Q149" i="5"/>
  <c r="S149" i="5"/>
  <c r="Y149" i="5"/>
  <c r="D14" i="5" a="1"/>
  <c r="D14" i="5" s="1"/>
  <c r="E14" i="5" a="1"/>
  <c r="E14" i="5" s="1"/>
  <c r="T14" i="5" s="1"/>
  <c r="F14" i="5" a="1"/>
  <c r="F14" i="5" s="1"/>
  <c r="G14" i="5" a="1"/>
  <c r="G14" i="5" s="1"/>
  <c r="M14" i="5"/>
  <c r="Q14" i="5"/>
  <c r="S14" i="5"/>
  <c r="Y14" i="5"/>
  <c r="D42" i="5" a="1"/>
  <c r="D42" i="5" s="1"/>
  <c r="E42" i="5" a="1"/>
  <c r="E42" i="5" s="1"/>
  <c r="T42" i="5" s="1"/>
  <c r="F42" i="5" a="1"/>
  <c r="F42" i="5" s="1"/>
  <c r="G42" i="5" a="1"/>
  <c r="G42" i="5" s="1"/>
  <c r="M42" i="5"/>
  <c r="Q42" i="5"/>
  <c r="S42" i="5"/>
  <c r="Y42" i="5"/>
  <c r="AM52" i="8"/>
  <c r="O52" i="8" a="1"/>
  <c r="O52" i="8" s="1"/>
  <c r="K52" i="8" a="1"/>
  <c r="K52" i="8" s="1"/>
  <c r="J52" i="8" a="1"/>
  <c r="J52" i="8" s="1"/>
  <c r="D52" i="8" a="1"/>
  <c r="D52" i="8" s="1"/>
  <c r="AG52" i="8" s="1"/>
  <c r="H52" i="8" s="1"/>
  <c r="C52" i="8" a="1"/>
  <c r="C52" i="8" s="1"/>
  <c r="B52" i="8" a="1"/>
  <c r="B52" i="8" s="1"/>
  <c r="AJ126" i="8" l="1"/>
  <c r="F126" i="8" s="1"/>
  <c r="AK126" i="8"/>
  <c r="G126" i="8" s="1"/>
  <c r="AN126" i="8"/>
  <c r="AG126" i="8"/>
  <c r="H126" i="8" s="1"/>
  <c r="M126" i="8"/>
  <c r="Q126" i="8" s="1"/>
  <c r="N126" i="8"/>
  <c r="R126" i="8" s="1"/>
  <c r="AE126" i="8"/>
  <c r="E126" i="8" s="1"/>
  <c r="AI126" i="8"/>
  <c r="U149" i="5"/>
  <c r="AD149" i="5" s="1"/>
  <c r="N149" i="5"/>
  <c r="U14" i="5"/>
  <c r="AD14" i="5" s="1"/>
  <c r="AI14" i="5"/>
  <c r="V14" i="5"/>
  <c r="N14" i="5"/>
  <c r="U42" i="5"/>
  <c r="AD42" i="5" s="1"/>
  <c r="V42" i="5"/>
  <c r="N42" i="5"/>
  <c r="AI42" i="5"/>
  <c r="AN52" i="8"/>
  <c r="AK52" i="8"/>
  <c r="G52" i="8" s="1"/>
  <c r="AJ52" i="8"/>
  <c r="F52" i="8" s="1"/>
  <c r="AI52" i="8"/>
  <c r="AE52" i="8"/>
  <c r="E52" i="8" s="1"/>
  <c r="M52" i="8"/>
  <c r="Q52" i="8" s="1"/>
  <c r="N52" i="8"/>
  <c r="R52" i="8" s="1"/>
  <c r="AC30" i="8"/>
  <c r="I30" i="8" s="1"/>
  <c r="Z30" i="8"/>
  <c r="AB42" i="5" l="1"/>
  <c r="AB14" i="5"/>
  <c r="AR297" i="8"/>
  <c r="AD297" i="8"/>
  <c r="O297" i="8" a="1"/>
  <c r="O297" i="8" s="1"/>
  <c r="L297" i="8" a="1"/>
  <c r="L297" i="8" s="1"/>
  <c r="N297" i="8" s="1"/>
  <c r="K297" i="8" a="1"/>
  <c r="K297" i="8" s="1"/>
  <c r="J297" i="8" a="1"/>
  <c r="J297" i="8" s="1"/>
  <c r="D297" i="8" a="1"/>
  <c r="D297" i="8" s="1"/>
  <c r="B297" i="8" a="1"/>
  <c r="B297" i="8" s="1"/>
  <c r="AM464" i="8"/>
  <c r="AK464" i="8"/>
  <c r="AJ464" i="8"/>
  <c r="AI464" i="8"/>
  <c r="AE464" i="8"/>
  <c r="E464" i="8" s="1"/>
  <c r="O464" i="8" a="1"/>
  <c r="O464" i="8" s="1"/>
  <c r="L464" i="8" a="1"/>
  <c r="L464" i="8" s="1"/>
  <c r="K464" i="8" a="1"/>
  <c r="K464" i="8" s="1"/>
  <c r="J464" i="8" a="1"/>
  <c r="J464" i="8" s="1"/>
  <c r="D464" i="8" a="1"/>
  <c r="D464" i="8" s="1"/>
  <c r="C464" i="8" a="1"/>
  <c r="C464" i="8" s="1"/>
  <c r="B464" i="8" a="1"/>
  <c r="B464" i="8" s="1"/>
  <c r="AM463" i="8"/>
  <c r="AK463" i="8"/>
  <c r="AJ463" i="8"/>
  <c r="AI463" i="8"/>
  <c r="AE463" i="8"/>
  <c r="E463" i="8" s="1"/>
  <c r="O463" i="8" a="1"/>
  <c r="O463" i="8" s="1"/>
  <c r="L463" i="8" a="1"/>
  <c r="L463" i="8" s="1"/>
  <c r="K463" i="8" a="1"/>
  <c r="K463" i="8" s="1"/>
  <c r="J463" i="8" a="1"/>
  <c r="J463" i="8" s="1"/>
  <c r="D463" i="8" a="1"/>
  <c r="D463" i="8" s="1"/>
  <c r="C463" i="8" a="1"/>
  <c r="C463" i="8" s="1"/>
  <c r="B463" i="8" a="1"/>
  <c r="B463" i="8" s="1"/>
  <c r="AM462" i="8"/>
  <c r="AK462" i="8"/>
  <c r="AJ462" i="8"/>
  <c r="AI462" i="8"/>
  <c r="AE462" i="8"/>
  <c r="E462" i="8" s="1"/>
  <c r="O462" i="8" a="1"/>
  <c r="O462" i="8" s="1"/>
  <c r="L462" i="8" a="1"/>
  <c r="L462" i="8" s="1"/>
  <c r="K462" i="8" a="1"/>
  <c r="K462" i="8" s="1"/>
  <c r="J462" i="8" a="1"/>
  <c r="J462" i="8" s="1"/>
  <c r="D462" i="8" a="1"/>
  <c r="D462" i="8" s="1"/>
  <c r="C462" i="8" a="1"/>
  <c r="C462" i="8" s="1"/>
  <c r="B462" i="8" a="1"/>
  <c r="B462" i="8" s="1"/>
  <c r="AH35" i="8"/>
  <c r="AH74" i="8" l="1"/>
  <c r="AC74" i="8"/>
  <c r="AP297" i="8"/>
  <c r="AQ297" i="8" s="1"/>
  <c r="AN297" i="8"/>
  <c r="AS297" i="8"/>
  <c r="R297" i="8"/>
  <c r="AE297" i="8"/>
  <c r="E297" i="8" s="1"/>
  <c r="AI297" i="8"/>
  <c r="AG297" i="8"/>
  <c r="M297" i="8"/>
  <c r="Q297" i="8" s="1"/>
  <c r="Z74" i="8"/>
  <c r="AA74" i="8" s="1"/>
  <c r="AU74" i="8" s="1"/>
  <c r="AN464" i="8"/>
  <c r="AG464" i="8"/>
  <c r="N463" i="8"/>
  <c r="R463" i="8" s="1"/>
  <c r="M463" i="8"/>
  <c r="Q463" i="8" s="1"/>
  <c r="M464" i="8"/>
  <c r="Q464" i="8" s="1"/>
  <c r="N464" i="8"/>
  <c r="R464" i="8" s="1"/>
  <c r="N462" i="8"/>
  <c r="R462" i="8" s="1"/>
  <c r="M462" i="8"/>
  <c r="Q462" i="8" s="1"/>
  <c r="AN462" i="8"/>
  <c r="AG462" i="8"/>
  <c r="AN463" i="8"/>
  <c r="AG463" i="8"/>
  <c r="Z35" i="8"/>
  <c r="AA35" i="8" s="1"/>
  <c r="AU35" i="8" s="1"/>
  <c r="AC35" i="8"/>
  <c r="I35" i="8" l="1"/>
  <c r="AD35" i="8"/>
  <c r="AD74" i="8"/>
  <c r="I74" i="8"/>
  <c r="AT297" i="8"/>
  <c r="AR4" i="8" l="1"/>
  <c r="AN9" i="8"/>
  <c r="AW7" i="8" s="1"/>
  <c r="AP4" i="8"/>
  <c r="AZ3" i="8"/>
  <c r="AV3" i="8"/>
  <c r="AW9" i="8" s="1"/>
  <c r="AU2" i="8"/>
  <c r="AW8" i="8" s="1"/>
  <c r="AV4" i="8"/>
  <c r="AW10" i="8" s="1"/>
  <c r="AL6" i="8"/>
  <c r="AN7" i="8"/>
  <c r="AL5" i="8"/>
  <c r="AV2" i="8" l="1"/>
  <c r="AP9" i="8"/>
  <c r="AN8" i="8" l="1"/>
  <c r="AP7" i="8"/>
  <c r="AP3" i="8"/>
  <c r="AP2" i="8"/>
  <c r="P178" i="8"/>
  <c r="D204" i="5" a="1"/>
  <c r="D204" i="5" s="1"/>
  <c r="E204" i="5" a="1"/>
  <c r="E204" i="5" s="1"/>
  <c r="T204" i="5" s="1"/>
  <c r="G204" i="5" a="1"/>
  <c r="G204" i="5" s="1"/>
  <c r="M204" i="5"/>
  <c r="Q204" i="5"/>
  <c r="S204" i="5"/>
  <c r="Y204" i="5"/>
  <c r="P84" i="8"/>
  <c r="P116" i="8"/>
  <c r="AM116" i="8"/>
  <c r="Z116" i="8"/>
  <c r="AA116" i="8" s="1"/>
  <c r="AU116" i="8" s="1"/>
  <c r="O116" i="8" a="1"/>
  <c r="O116" i="8" s="1"/>
  <c r="K116" i="8" a="1"/>
  <c r="K116" i="8" s="1"/>
  <c r="J116" i="8" a="1"/>
  <c r="J116" i="8" s="1"/>
  <c r="D116" i="8" a="1"/>
  <c r="D116" i="8" s="1"/>
  <c r="C116" i="8" a="1"/>
  <c r="C116" i="8" s="1"/>
  <c r="B116" i="8" a="1"/>
  <c r="B116" i="8" s="1"/>
  <c r="P63" i="8"/>
  <c r="P101" i="8"/>
  <c r="P166" i="8"/>
  <c r="AH63" i="8"/>
  <c r="AC26" i="8"/>
  <c r="D121" i="5" a="1"/>
  <c r="D121" i="5" s="1"/>
  <c r="E121" i="5" a="1"/>
  <c r="E121" i="5" s="1"/>
  <c r="T121" i="5" s="1"/>
  <c r="F121" i="5" a="1"/>
  <c r="F121" i="5" s="1"/>
  <c r="G121" i="5" a="1"/>
  <c r="G121" i="5" s="1"/>
  <c r="M121" i="5"/>
  <c r="Q121" i="5"/>
  <c r="S121" i="5"/>
  <c r="Y121" i="5"/>
  <c r="W175" i="8"/>
  <c r="P175" i="8" s="1"/>
  <c r="AM175" i="8"/>
  <c r="O175" i="8" a="1"/>
  <c r="O175" i="8" s="1"/>
  <c r="K175" i="8" a="1"/>
  <c r="K175" i="8" s="1"/>
  <c r="J175" i="8" a="1"/>
  <c r="J175" i="8" s="1"/>
  <c r="D175" i="8" a="1"/>
  <c r="D175" i="8" s="1"/>
  <c r="C175" i="8" a="1"/>
  <c r="C175" i="8" s="1"/>
  <c r="B175" i="8" a="1"/>
  <c r="B175" i="8" s="1"/>
  <c r="AM461" i="8"/>
  <c r="AK461" i="8"/>
  <c r="AJ461" i="8"/>
  <c r="AI461" i="8"/>
  <c r="AE461" i="8"/>
  <c r="E461" i="8" s="1"/>
  <c r="O461" i="8" a="1"/>
  <c r="O461" i="8" s="1"/>
  <c r="L461" i="8" a="1"/>
  <c r="L461" i="8" s="1"/>
  <c r="K461" i="8" a="1"/>
  <c r="K461" i="8" s="1"/>
  <c r="J461" i="8" a="1"/>
  <c r="J461" i="8" s="1"/>
  <c r="D461" i="8" a="1"/>
  <c r="D461" i="8" s="1"/>
  <c r="C461" i="8" a="1"/>
  <c r="C461" i="8" s="1"/>
  <c r="B461" i="8" a="1"/>
  <c r="B461" i="8" s="1"/>
  <c r="AM460" i="8"/>
  <c r="AK460" i="8"/>
  <c r="AJ460" i="8"/>
  <c r="AI460" i="8"/>
  <c r="AE460" i="8"/>
  <c r="E460" i="8" s="1"/>
  <c r="O460" i="8" a="1"/>
  <c r="O460" i="8" s="1"/>
  <c r="L460" i="8" a="1"/>
  <c r="L460" i="8" s="1"/>
  <c r="K460" i="8" a="1"/>
  <c r="K460" i="8" s="1"/>
  <c r="J460" i="8" a="1"/>
  <c r="J460" i="8" s="1"/>
  <c r="D460" i="8" a="1"/>
  <c r="D460" i="8" s="1"/>
  <c r="C460" i="8" a="1"/>
  <c r="C460" i="8" s="1"/>
  <c r="B460" i="8" a="1"/>
  <c r="B460" i="8" s="1"/>
  <c r="AM459" i="8"/>
  <c r="AK459" i="8"/>
  <c r="AJ459" i="8"/>
  <c r="AI459" i="8"/>
  <c r="AE459" i="8"/>
  <c r="E459" i="8" s="1"/>
  <c r="O459" i="8" a="1"/>
  <c r="O459" i="8" s="1"/>
  <c r="L459" i="8" a="1"/>
  <c r="L459" i="8" s="1"/>
  <c r="K459" i="8" a="1"/>
  <c r="K459" i="8" s="1"/>
  <c r="J459" i="8" a="1"/>
  <c r="J459" i="8" s="1"/>
  <c r="D459" i="8" a="1"/>
  <c r="D459" i="8" s="1"/>
  <c r="C459" i="8" a="1"/>
  <c r="C459" i="8" s="1"/>
  <c r="B459" i="8" a="1"/>
  <c r="B459" i="8" s="1"/>
  <c r="AM458" i="8"/>
  <c r="AK458" i="8"/>
  <c r="AJ458" i="8"/>
  <c r="AI458" i="8"/>
  <c r="AE458" i="8"/>
  <c r="E458" i="8" s="1"/>
  <c r="O458" i="8" a="1"/>
  <c r="O458" i="8" s="1"/>
  <c r="L458" i="8" a="1"/>
  <c r="L458" i="8" s="1"/>
  <c r="K458" i="8" a="1"/>
  <c r="K458" i="8" s="1"/>
  <c r="J458" i="8" a="1"/>
  <c r="J458" i="8" s="1"/>
  <c r="D458" i="8" a="1"/>
  <c r="D458" i="8" s="1"/>
  <c r="C458" i="8" a="1"/>
  <c r="C458" i="8" s="1"/>
  <c r="B458" i="8" a="1"/>
  <c r="B458" i="8" s="1"/>
  <c r="D79" i="5" a="1"/>
  <c r="D79" i="5" s="1"/>
  <c r="E79" i="5" a="1"/>
  <c r="E79" i="5" s="1"/>
  <c r="T79" i="5" s="1"/>
  <c r="F79" i="5" a="1"/>
  <c r="F79" i="5" s="1"/>
  <c r="G79" i="5" a="1"/>
  <c r="G79" i="5" s="1"/>
  <c r="M79" i="5"/>
  <c r="Q79" i="5"/>
  <c r="S79" i="5"/>
  <c r="Y79" i="5"/>
  <c r="Y18" i="5"/>
  <c r="S18" i="5"/>
  <c r="Q18" i="5"/>
  <c r="M18" i="5"/>
  <c r="G18" i="5" a="1"/>
  <c r="G18" i="5" s="1"/>
  <c r="F18" i="5" a="1"/>
  <c r="F18" i="5" s="1"/>
  <c r="E18" i="5" a="1"/>
  <c r="E18" i="5" s="1"/>
  <c r="T18" i="5" s="1"/>
  <c r="D18" i="5" a="1"/>
  <c r="D18" i="5" s="1"/>
  <c r="AM84" i="8"/>
  <c r="O84" i="8" a="1"/>
  <c r="O84" i="8" s="1"/>
  <c r="K84" i="8" a="1"/>
  <c r="K84" i="8" s="1"/>
  <c r="J84" i="8" a="1"/>
  <c r="J84" i="8" s="1"/>
  <c r="D84" i="8" a="1"/>
  <c r="D84" i="8" s="1"/>
  <c r="C84" i="8" a="1"/>
  <c r="C84" i="8" s="1"/>
  <c r="B84" i="8" a="1"/>
  <c r="B84" i="8" s="1"/>
  <c r="I26" i="8" l="1"/>
  <c r="AD26" i="8"/>
  <c r="AK116" i="8"/>
  <c r="G116" i="8" s="1"/>
  <c r="AJ116" i="8"/>
  <c r="F116" i="8" s="1"/>
  <c r="AG175" i="8"/>
  <c r="H175" i="8" s="1"/>
  <c r="AK175" i="8"/>
  <c r="G175" i="8" s="1"/>
  <c r="AJ175" i="8"/>
  <c r="F175" i="8" s="1"/>
  <c r="AG84" i="8"/>
  <c r="H84" i="8" s="1"/>
  <c r="AJ84" i="8"/>
  <c r="F84" i="8" s="1"/>
  <c r="AK84" i="8"/>
  <c r="G84" i="8" s="1"/>
  <c r="Z26" i="8"/>
  <c r="AA26" i="8" s="1"/>
  <c r="AU26" i="8" s="1"/>
  <c r="AG116" i="8"/>
  <c r="H116" i="8" s="1"/>
  <c r="AP8" i="8"/>
  <c r="AQ9" i="8" s="1"/>
  <c r="AZ10" i="8"/>
  <c r="AS8" i="8"/>
  <c r="AQ5" i="8"/>
  <c r="U204" i="5"/>
  <c r="AD204" i="5" s="1"/>
  <c r="AI204" i="5"/>
  <c r="V204" i="5"/>
  <c r="N204" i="5"/>
  <c r="Z63" i="8"/>
  <c r="AA63" i="8" s="1"/>
  <c r="AU63" i="8" s="1"/>
  <c r="AC63" i="8"/>
  <c r="AD63" i="8" s="1"/>
  <c r="AN116" i="8"/>
  <c r="AI116" i="8"/>
  <c r="N116" i="8"/>
  <c r="R116" i="8" s="1"/>
  <c r="M116" i="8"/>
  <c r="Q116" i="8" s="1"/>
  <c r="AE116" i="8"/>
  <c r="E116" i="8" s="1"/>
  <c r="U121" i="5"/>
  <c r="AD121" i="5" s="1"/>
  <c r="V121" i="5"/>
  <c r="AI121" i="5"/>
  <c r="N121" i="5"/>
  <c r="AN175" i="8"/>
  <c r="AI175" i="8"/>
  <c r="AE175" i="8"/>
  <c r="E175" i="8" s="1"/>
  <c r="M175" i="8"/>
  <c r="Q175" i="8" s="1"/>
  <c r="N175" i="8"/>
  <c r="R175" i="8" s="1"/>
  <c r="M459" i="8"/>
  <c r="Q459" i="8" s="1"/>
  <c r="N459" i="8"/>
  <c r="R459" i="8" s="1"/>
  <c r="AN461" i="8"/>
  <c r="AG461" i="8"/>
  <c r="N460" i="8"/>
  <c r="R460" i="8" s="1"/>
  <c r="M460" i="8"/>
  <c r="Q460" i="8" s="1"/>
  <c r="M461" i="8"/>
  <c r="Q461" i="8" s="1"/>
  <c r="N461" i="8"/>
  <c r="R461" i="8" s="1"/>
  <c r="AN458" i="8"/>
  <c r="AG458" i="8"/>
  <c r="AN459" i="8"/>
  <c r="AG459" i="8"/>
  <c r="N458" i="8"/>
  <c r="R458" i="8" s="1"/>
  <c r="M458" i="8"/>
  <c r="Q458" i="8" s="1"/>
  <c r="AN460" i="8"/>
  <c r="AG460" i="8"/>
  <c r="U79" i="5"/>
  <c r="AD79" i="5" s="1"/>
  <c r="N79" i="5"/>
  <c r="U18" i="5"/>
  <c r="AD18" i="5" s="1"/>
  <c r="AI18" i="5"/>
  <c r="N18" i="5"/>
  <c r="V18" i="5"/>
  <c r="AN84" i="8"/>
  <c r="AI84" i="8"/>
  <c r="AE84" i="8"/>
  <c r="E84" i="8" s="1"/>
  <c r="M84" i="8"/>
  <c r="Q84" i="8" s="1"/>
  <c r="N84" i="8"/>
  <c r="R84" i="8" s="1"/>
  <c r="I63" i="8" l="1"/>
  <c r="AB18" i="5"/>
  <c r="AB204" i="5"/>
  <c r="AB121" i="5"/>
  <c r="U403" i="5" l="1"/>
  <c r="AR296" i="8"/>
  <c r="AG296" i="8"/>
  <c r="O296" i="8" a="1"/>
  <c r="O296" i="8" s="1"/>
  <c r="L296" i="8" a="1"/>
  <c r="L296" i="8" s="1"/>
  <c r="K296" i="8" a="1"/>
  <c r="K296" i="8" s="1"/>
  <c r="J296" i="8" a="1"/>
  <c r="J296" i="8" s="1"/>
  <c r="D296" i="8" a="1"/>
  <c r="D296" i="8" s="1"/>
  <c r="B296" i="8" a="1"/>
  <c r="B296" i="8" s="1"/>
  <c r="L295" i="8" a="1"/>
  <c r="L295" i="8" s="1"/>
  <c r="O295" i="8" a="1"/>
  <c r="O295" i="8" s="1"/>
  <c r="AR295" i="8"/>
  <c r="AD295" i="8"/>
  <c r="K295" i="8" a="1"/>
  <c r="K295" i="8" s="1"/>
  <c r="J295" i="8" a="1"/>
  <c r="J295" i="8" s="1"/>
  <c r="D295" i="8" a="1"/>
  <c r="D295" i="8" s="1"/>
  <c r="B295" i="8" a="1"/>
  <c r="B295" i="8" s="1"/>
  <c r="AR294" i="8"/>
  <c r="L294" i="8" a="1"/>
  <c r="L294" i="8" s="1"/>
  <c r="O294" i="8" a="1"/>
  <c r="O294" i="8" s="1"/>
  <c r="AH294" i="8"/>
  <c r="K294" i="8" a="1"/>
  <c r="K294" i="8" s="1"/>
  <c r="J294" i="8" a="1"/>
  <c r="J294" i="8" s="1"/>
  <c r="D294" i="8" a="1"/>
  <c r="D294" i="8" s="1"/>
  <c r="B294" i="8" a="1"/>
  <c r="B294" i="8" s="1"/>
  <c r="D62" i="5" a="1"/>
  <c r="D62" i="5" s="1"/>
  <c r="E62" i="5" a="1"/>
  <c r="E62" i="5" s="1"/>
  <c r="T62" i="5" s="1"/>
  <c r="F62" i="5" a="1"/>
  <c r="F62" i="5" s="1"/>
  <c r="G62" i="5" a="1"/>
  <c r="G62" i="5" s="1"/>
  <c r="M62" i="5"/>
  <c r="Q62" i="5"/>
  <c r="S62" i="5"/>
  <c r="Y62" i="5"/>
  <c r="AM178" i="8"/>
  <c r="O178" i="8" a="1"/>
  <c r="O178" i="8" s="1"/>
  <c r="K178" i="8" a="1"/>
  <c r="K178" i="8" s="1"/>
  <c r="J178" i="8" a="1"/>
  <c r="J178" i="8" s="1"/>
  <c r="D178" i="8" a="1"/>
  <c r="D178" i="8" s="1"/>
  <c r="C178" i="8" a="1"/>
  <c r="C178" i="8" s="1"/>
  <c r="B178" i="8" a="1"/>
  <c r="B178" i="8" s="1"/>
  <c r="B30" i="8" a="1"/>
  <c r="B30" i="8" s="1"/>
  <c r="C30" i="8" a="1"/>
  <c r="C30" i="8" s="1"/>
  <c r="D30" i="8" a="1"/>
  <c r="D30" i="8" s="1"/>
  <c r="J30" i="8" a="1"/>
  <c r="J30" i="8" s="1"/>
  <c r="K30" i="8" a="1"/>
  <c r="K30" i="8" s="1"/>
  <c r="L30" i="8" a="1"/>
  <c r="L30" i="8" s="1"/>
  <c r="O30" i="8" a="1"/>
  <c r="O30" i="8" s="1"/>
  <c r="P30" i="8"/>
  <c r="AM30" i="8"/>
  <c r="AC40" i="8"/>
  <c r="AD40" i="8" s="1"/>
  <c r="AR293" i="8"/>
  <c r="AD293" i="8"/>
  <c r="O293" i="8" a="1"/>
  <c r="O293" i="8" s="1"/>
  <c r="L293" i="8" a="1"/>
  <c r="L293" i="8" s="1"/>
  <c r="K293" i="8" a="1"/>
  <c r="K293" i="8" s="1"/>
  <c r="J293" i="8" a="1"/>
  <c r="J293" i="8" s="1"/>
  <c r="D293" i="8" a="1"/>
  <c r="D293" i="8" s="1"/>
  <c r="B293" i="8" a="1"/>
  <c r="B293" i="8" s="1"/>
  <c r="P206" i="8"/>
  <c r="P157" i="8"/>
  <c r="P145" i="8"/>
  <c r="P56" i="8"/>
  <c r="P179" i="8"/>
  <c r="I40" i="8" l="1"/>
  <c r="AG178" i="8"/>
  <c r="H178" i="8" s="1"/>
  <c r="AJ178" i="8"/>
  <c r="F178" i="8" s="1"/>
  <c r="AK178" i="8"/>
  <c r="G178" i="8" s="1"/>
  <c r="AH15" i="8"/>
  <c r="AC15" i="8"/>
  <c r="AN294" i="8"/>
  <c r="AP295" i="8"/>
  <c r="AQ295" i="8" s="1"/>
  <c r="AN295" i="8"/>
  <c r="AP293" i="8"/>
  <c r="AQ293" i="8" s="1"/>
  <c r="AN293" i="8"/>
  <c r="AP296" i="8"/>
  <c r="AQ296" i="8" s="1"/>
  <c r="AN296" i="8"/>
  <c r="AS296" i="8"/>
  <c r="AU15" i="8"/>
  <c r="N296" i="8"/>
  <c r="R296" i="8" s="1"/>
  <c r="M296" i="8"/>
  <c r="Q296" i="8" s="1"/>
  <c r="AE296" i="8"/>
  <c r="E296" i="8" s="1"/>
  <c r="AI296" i="8"/>
  <c r="AS295" i="8"/>
  <c r="M295" i="8"/>
  <c r="Q295" i="8" s="1"/>
  <c r="N295" i="8"/>
  <c r="R295" i="8" s="1"/>
  <c r="AE295" i="8"/>
  <c r="E295" i="8" s="1"/>
  <c r="AI295" i="8"/>
  <c r="AG295" i="8"/>
  <c r="AP294" i="8"/>
  <c r="M294" i="8"/>
  <c r="Q294" i="8" s="1"/>
  <c r="N294" i="8"/>
  <c r="R294" i="8" s="1"/>
  <c r="N62" i="5"/>
  <c r="U62" i="5"/>
  <c r="AD62" i="5" s="1"/>
  <c r="AN178" i="8"/>
  <c r="AI178" i="8"/>
  <c r="AE178" i="8"/>
  <c r="E178" i="8" s="1"/>
  <c r="M178" i="8"/>
  <c r="Q178" i="8" s="1"/>
  <c r="N178" i="8"/>
  <c r="R178" i="8" s="1"/>
  <c r="AS293" i="8"/>
  <c r="M30" i="8"/>
  <c r="Q30" i="8" s="1"/>
  <c r="N30" i="8"/>
  <c r="R30" i="8" s="1"/>
  <c r="AK30" i="8"/>
  <c r="G30" i="8" s="1"/>
  <c r="AN30" i="8"/>
  <c r="Z40" i="8"/>
  <c r="AA40" i="8" s="1"/>
  <c r="AU40" i="8" s="1"/>
  <c r="N293" i="8"/>
  <c r="R293" i="8" s="1"/>
  <c r="M293" i="8"/>
  <c r="Q293" i="8" s="1"/>
  <c r="AE293" i="8"/>
  <c r="E293" i="8" s="1"/>
  <c r="AI293" i="8"/>
  <c r="AG293" i="8"/>
  <c r="Y199" i="5"/>
  <c r="S199" i="5"/>
  <c r="Q199" i="5"/>
  <c r="M199" i="5"/>
  <c r="G199" i="5" a="1"/>
  <c r="G199" i="5" s="1"/>
  <c r="E199" i="5" a="1"/>
  <c r="E199" i="5" s="1"/>
  <c r="T199" i="5" s="1"/>
  <c r="D199" i="5" a="1"/>
  <c r="D199" i="5" s="1"/>
  <c r="AM179" i="8"/>
  <c r="O179" i="8" a="1"/>
  <c r="O179" i="8" s="1"/>
  <c r="K179" i="8" a="1"/>
  <c r="K179" i="8" s="1"/>
  <c r="J179" i="8" a="1"/>
  <c r="J179" i="8" s="1"/>
  <c r="D179" i="8" a="1"/>
  <c r="D179" i="8" s="1"/>
  <c r="C179" i="8" a="1"/>
  <c r="C179" i="8" s="1"/>
  <c r="B179" i="8" a="1"/>
  <c r="B179" i="8" s="1"/>
  <c r="L292" i="8" a="1"/>
  <c r="L292" i="8" s="1"/>
  <c r="O292" i="8" a="1"/>
  <c r="O292" i="8" s="1"/>
  <c r="AR292" i="8"/>
  <c r="AD292" i="8"/>
  <c r="K292" i="8" a="1"/>
  <c r="K292" i="8" s="1"/>
  <c r="J292" i="8" a="1"/>
  <c r="J292" i="8" s="1"/>
  <c r="D292" i="8" a="1"/>
  <c r="D292" i="8" s="1"/>
  <c r="B292" i="8" a="1"/>
  <c r="B292" i="8" s="1"/>
  <c r="AD15" i="8" l="1"/>
  <c r="I15" i="8"/>
  <c r="AG179" i="8"/>
  <c r="H179" i="8" s="1"/>
  <c r="AK179" i="8"/>
  <c r="G179" i="8" s="1"/>
  <c r="AJ179" i="8"/>
  <c r="F179" i="8" s="1"/>
  <c r="AP292" i="8"/>
  <c r="AQ292" i="8" s="1"/>
  <c r="AN292" i="8"/>
  <c r="AT296" i="8"/>
  <c r="U199" i="5"/>
  <c r="AD199" i="5" s="1"/>
  <c r="AT295" i="8"/>
  <c r="AS292" i="8"/>
  <c r="AT293" i="8"/>
  <c r="AE30" i="8"/>
  <c r="E30" i="8" s="1"/>
  <c r="AG30" i="8"/>
  <c r="H30" i="8" s="1"/>
  <c r="AI30" i="8"/>
  <c r="AJ30" i="8"/>
  <c r="F30" i="8" s="1"/>
  <c r="AI199" i="5"/>
  <c r="N199" i="5"/>
  <c r="V199" i="5"/>
  <c r="AN179" i="8"/>
  <c r="AI179" i="8"/>
  <c r="AE179" i="8"/>
  <c r="E179" i="8" s="1"/>
  <c r="M179" i="8"/>
  <c r="Q179" i="8" s="1"/>
  <c r="N179" i="8"/>
  <c r="R179" i="8" s="1"/>
  <c r="M292" i="8"/>
  <c r="Q292" i="8" s="1"/>
  <c r="N292" i="8"/>
  <c r="R292" i="8" s="1"/>
  <c r="AE292" i="8"/>
  <c r="E292" i="8" s="1"/>
  <c r="AG292" i="8"/>
  <c r="AI292" i="8"/>
  <c r="AH39" i="8"/>
  <c r="AB199" i="5" l="1"/>
  <c r="M154" i="4"/>
  <c r="AT292" i="8"/>
  <c r="Z39" i="8"/>
  <c r="AA39" i="8" s="1"/>
  <c r="AU39" i="8" s="1"/>
  <c r="AC39" i="8"/>
  <c r="AD39" i="8" s="1"/>
  <c r="I39" i="8" l="1"/>
  <c r="D273" i="5" a="1"/>
  <c r="D273" i="5" s="1"/>
  <c r="E273" i="5" a="1"/>
  <c r="E273" i="5" s="1"/>
  <c r="G273" i="5" a="1"/>
  <c r="G273" i="5" s="1"/>
  <c r="M273" i="5"/>
  <c r="S273" i="5"/>
  <c r="AO231" i="8" s="1"/>
  <c r="P31" i="8"/>
  <c r="I111" i="4"/>
  <c r="H111" i="4"/>
  <c r="AC153" i="8"/>
  <c r="AB294" i="8"/>
  <c r="AM56" i="8"/>
  <c r="O56" i="8" a="1"/>
  <c r="O56" i="8" s="1"/>
  <c r="K56" i="8" a="1"/>
  <c r="K56" i="8" s="1"/>
  <c r="J56" i="8" a="1"/>
  <c r="J56" i="8" s="1"/>
  <c r="D56" i="8" a="1"/>
  <c r="D56" i="8" s="1"/>
  <c r="C56" i="8" a="1"/>
  <c r="C56" i="8" s="1"/>
  <c r="B56" i="8" a="1"/>
  <c r="B56" i="8" s="1"/>
  <c r="AD153" i="8" l="1"/>
  <c r="I153" i="8"/>
  <c r="AG56" i="8"/>
  <c r="H56" i="8" s="1"/>
  <c r="AJ56" i="8"/>
  <c r="F56" i="8" s="1"/>
  <c r="AK56" i="8"/>
  <c r="G56" i="8" s="1"/>
  <c r="AS231" i="8"/>
  <c r="AQ231" i="8"/>
  <c r="AH42" i="8"/>
  <c r="Z42" i="8"/>
  <c r="AA42" i="8" s="1"/>
  <c r="AU42" i="8" s="1"/>
  <c r="AC42" i="8"/>
  <c r="AD42" i="8" s="1"/>
  <c r="Z294" i="8"/>
  <c r="AM294" i="8" s="1"/>
  <c r="AC294" i="8"/>
  <c r="AD294" i="8" s="1"/>
  <c r="U273" i="5"/>
  <c r="AD273" i="5" s="1"/>
  <c r="N273" i="5"/>
  <c r="Z153" i="8"/>
  <c r="AA153" i="8" s="1"/>
  <c r="AU153" i="8" s="1"/>
  <c r="M56" i="8"/>
  <c r="Q56" i="8" s="1"/>
  <c r="N56" i="8"/>
  <c r="R56" i="8" s="1"/>
  <c r="AN56" i="8"/>
  <c r="AI56" i="8"/>
  <c r="AE56" i="8"/>
  <c r="E56" i="8" s="1"/>
  <c r="AR291" i="8"/>
  <c r="I42" i="8" l="1"/>
  <c r="AT231" i="8"/>
  <c r="AJ294" i="8"/>
  <c r="AG294" i="8"/>
  <c r="AI294" i="8"/>
  <c r="AE294" i="8"/>
  <c r="E294" i="8" s="1"/>
  <c r="AS291" i="8"/>
  <c r="D235" i="5" l="1" a="1"/>
  <c r="D235" i="5" s="1"/>
  <c r="E235" i="5" a="1"/>
  <c r="E235" i="5" s="1"/>
  <c r="T235" i="5" s="1"/>
  <c r="G235" i="5" a="1"/>
  <c r="G235" i="5" s="1"/>
  <c r="M235" i="5"/>
  <c r="Q235" i="5"/>
  <c r="S235" i="5"/>
  <c r="Y235" i="5"/>
  <c r="AM206" i="8"/>
  <c r="O206" i="8" a="1"/>
  <c r="O206" i="8" s="1"/>
  <c r="K206" i="8" a="1"/>
  <c r="K206" i="8" s="1"/>
  <c r="J206" i="8" a="1"/>
  <c r="J206" i="8" s="1"/>
  <c r="D206" i="8" a="1"/>
  <c r="D206" i="8" s="1"/>
  <c r="C206" i="8" a="1"/>
  <c r="C206" i="8" s="1"/>
  <c r="B206" i="8" a="1"/>
  <c r="B206" i="8" s="1"/>
  <c r="AD291" i="8"/>
  <c r="O291" i="8" a="1"/>
  <c r="O291" i="8" s="1"/>
  <c r="L291" i="8" a="1"/>
  <c r="L291" i="8" s="1"/>
  <c r="K291" i="8" a="1"/>
  <c r="K291" i="8" s="1"/>
  <c r="J291" i="8" a="1"/>
  <c r="J291" i="8" s="1"/>
  <c r="D291" i="8" a="1"/>
  <c r="D291" i="8" s="1"/>
  <c r="B291" i="8" a="1"/>
  <c r="B291" i="8" s="1"/>
  <c r="AR290" i="8"/>
  <c r="AD290" i="8"/>
  <c r="O290" i="8" a="1"/>
  <c r="O290" i="8" s="1"/>
  <c r="L290" i="8" a="1"/>
  <c r="L290" i="8" s="1"/>
  <c r="K290" i="8" a="1"/>
  <c r="K290" i="8" s="1"/>
  <c r="J290" i="8" a="1"/>
  <c r="J290" i="8" s="1"/>
  <c r="D290" i="8" a="1"/>
  <c r="D290" i="8" s="1"/>
  <c r="B290" i="8" a="1"/>
  <c r="B290" i="8" s="1"/>
  <c r="Z17" i="8"/>
  <c r="AH29" i="8"/>
  <c r="Z185" i="8"/>
  <c r="AA185" i="8" s="1"/>
  <c r="AU185" i="8" s="1"/>
  <c r="AC185" i="8"/>
  <c r="AD185" i="8" s="1"/>
  <c r="AH18" i="8"/>
  <c r="AC156" i="8"/>
  <c r="D265" i="5" a="1"/>
  <c r="D265" i="5" s="1"/>
  <c r="E265" i="5" a="1"/>
  <c r="E265" i="5" s="1"/>
  <c r="G265" i="5" a="1"/>
  <c r="G265" i="5" s="1"/>
  <c r="M265" i="5"/>
  <c r="S265" i="5"/>
  <c r="AO228" i="8" s="1"/>
  <c r="P17" i="8"/>
  <c r="P198" i="8"/>
  <c r="P12" i="8"/>
  <c r="P28" i="8"/>
  <c r="P71" i="8"/>
  <c r="P57" i="8"/>
  <c r="P22" i="8"/>
  <c r="P34" i="8"/>
  <c r="P23" i="8"/>
  <c r="P27" i="8"/>
  <c r="P25" i="8"/>
  <c r="P97" i="8"/>
  <c r="P55" i="8"/>
  <c r="P62" i="8"/>
  <c r="P37" i="8"/>
  <c r="P16" i="8"/>
  <c r="P21" i="8"/>
  <c r="P15" i="8"/>
  <c r="P46" i="8"/>
  <c r="P39" i="8"/>
  <c r="P185" i="8"/>
  <c r="P100" i="8"/>
  <c r="P128" i="8"/>
  <c r="P20" i="8"/>
  <c r="P89" i="8"/>
  <c r="P40" i="8"/>
  <c r="P32" i="8"/>
  <c r="P42" i="8"/>
  <c r="P74" i="8"/>
  <c r="P111" i="8"/>
  <c r="P13" i="8"/>
  <c r="P47" i="8"/>
  <c r="P93" i="8"/>
  <c r="P80" i="8"/>
  <c r="P120" i="8"/>
  <c r="P160" i="8"/>
  <c r="P18" i="8"/>
  <c r="P85" i="8"/>
  <c r="P78" i="8"/>
  <c r="P139" i="8"/>
  <c r="P153" i="8"/>
  <c r="P164" i="8"/>
  <c r="P162" i="8"/>
  <c r="P156" i="8"/>
  <c r="P180" i="8"/>
  <c r="P59" i="8"/>
  <c r="P200" i="8"/>
  <c r="P92" i="8"/>
  <c r="P43" i="8"/>
  <c r="P163" i="8"/>
  <c r="P29" i="8"/>
  <c r="P169" i="8"/>
  <c r="P134" i="8"/>
  <c r="P82" i="8"/>
  <c r="P176" i="8"/>
  <c r="P155" i="8"/>
  <c r="P186" i="8"/>
  <c r="P117" i="8"/>
  <c r="P103" i="8"/>
  <c r="P60" i="8"/>
  <c r="P48" i="8"/>
  <c r="P41" i="8"/>
  <c r="P26" i="8"/>
  <c r="P148" i="8"/>
  <c r="P158" i="8"/>
  <c r="P129" i="8"/>
  <c r="P165" i="8"/>
  <c r="P170" i="8"/>
  <c r="P49" i="8"/>
  <c r="P94" i="8"/>
  <c r="P61" i="8"/>
  <c r="P177" i="8"/>
  <c r="P189" i="8"/>
  <c r="P50" i="8"/>
  <c r="P147" i="8"/>
  <c r="P35" i="8"/>
  <c r="P24" i="8"/>
  <c r="P44" i="8"/>
  <c r="P150" i="8"/>
  <c r="P154" i="8"/>
  <c r="P168" i="8"/>
  <c r="P140" i="8"/>
  <c r="P130" i="8"/>
  <c r="P199" i="8"/>
  <c r="P203" i="8"/>
  <c r="P209" i="8"/>
  <c r="P19" i="8"/>
  <c r="P188" i="8"/>
  <c r="P204" i="8"/>
  <c r="P197" i="8"/>
  <c r="P124" i="8"/>
  <c r="P205" i="8"/>
  <c r="P194" i="8"/>
  <c r="P107" i="8"/>
  <c r="P72" i="8"/>
  <c r="P210" i="8"/>
  <c r="P91" i="8"/>
  <c r="P167" i="8"/>
  <c r="P190" i="8"/>
  <c r="P67" i="8"/>
  <c r="P208" i="8"/>
  <c r="P207" i="8"/>
  <c r="P181" i="8"/>
  <c r="P201" i="8"/>
  <c r="P14" i="8"/>
  <c r="I156" i="8" l="1"/>
  <c r="AD156" i="8"/>
  <c r="I185" i="8"/>
  <c r="AG206" i="8"/>
  <c r="H206" i="8" s="1"/>
  <c r="AK206" i="8"/>
  <c r="G206" i="8" s="1"/>
  <c r="AJ206" i="8"/>
  <c r="F206" i="8" s="1"/>
  <c r="AS228" i="8"/>
  <c r="AQ228" i="8"/>
  <c r="AP291" i="8"/>
  <c r="AQ291" i="8" s="1"/>
  <c r="AT291" i="8" s="1"/>
  <c r="AN291" i="8"/>
  <c r="AP290" i="8"/>
  <c r="AQ290" i="8" s="1"/>
  <c r="AN290" i="8"/>
  <c r="U235" i="5"/>
  <c r="AD235" i="5" s="1"/>
  <c r="AI235" i="5"/>
  <c r="V235" i="5"/>
  <c r="N235" i="5"/>
  <c r="M206" i="8"/>
  <c r="Q206" i="8" s="1"/>
  <c r="N206" i="8"/>
  <c r="R206" i="8" s="1"/>
  <c r="AN206" i="8"/>
  <c r="AI206" i="8"/>
  <c r="AE206" i="8"/>
  <c r="E206" i="8" s="1"/>
  <c r="AS290" i="8"/>
  <c r="N291" i="8"/>
  <c r="R291" i="8" s="1"/>
  <c r="M291" i="8"/>
  <c r="Q291" i="8" s="1"/>
  <c r="AE291" i="8"/>
  <c r="E291" i="8" s="1"/>
  <c r="AI291" i="8"/>
  <c r="AG291" i="8"/>
  <c r="N290" i="8"/>
  <c r="R290" i="8" s="1"/>
  <c r="M290" i="8"/>
  <c r="Q290" i="8" s="1"/>
  <c r="AE290" i="8"/>
  <c r="E290" i="8" s="1"/>
  <c r="AI290" i="8"/>
  <c r="AG290" i="8"/>
  <c r="AC29" i="8"/>
  <c r="AD29" i="8" s="1"/>
  <c r="Z29" i="8"/>
  <c r="AA29" i="8" s="1"/>
  <c r="AU29" i="8" s="1"/>
  <c r="AH128" i="8"/>
  <c r="AH203" i="8"/>
  <c r="AH160" i="8"/>
  <c r="Z160" i="8"/>
  <c r="AA160" i="8" s="1"/>
  <c r="AU160" i="8" s="1"/>
  <c r="AC160" i="8"/>
  <c r="AH156" i="8"/>
  <c r="Z156" i="8"/>
  <c r="AA156" i="8" s="1"/>
  <c r="AU156" i="8" s="1"/>
  <c r="AC18" i="8"/>
  <c r="Z18" i="8"/>
  <c r="AA18" i="8" s="1"/>
  <c r="U265" i="5"/>
  <c r="AD265" i="5" s="1"/>
  <c r="N265" i="5"/>
  <c r="I160" i="8" l="1"/>
  <c r="AD160" i="8"/>
  <c r="I18" i="8"/>
  <c r="AD18" i="8"/>
  <c r="I29" i="8"/>
  <c r="AT228" i="8"/>
  <c r="AB235" i="5"/>
  <c r="AT290" i="8"/>
  <c r="Z128" i="8"/>
  <c r="AA128" i="8" s="1"/>
  <c r="AU128" i="8" s="1"/>
  <c r="AC128" i="8"/>
  <c r="Z203" i="8"/>
  <c r="AA203" i="8" s="1"/>
  <c r="AU203" i="8" s="1"/>
  <c r="AC203" i="8"/>
  <c r="I203" i="8" s="1"/>
  <c r="L288" i="8" a="1"/>
  <c r="L288" i="8" s="1"/>
  <c r="O288" i="8" a="1"/>
  <c r="O288" i="8" s="1"/>
  <c r="L289" i="8" a="1"/>
  <c r="L289" i="8" s="1"/>
  <c r="O289" i="8" a="1"/>
  <c r="O289" i="8" s="1"/>
  <c r="AH85" i="8"/>
  <c r="AR289" i="8"/>
  <c r="K289" i="8" a="1"/>
  <c r="K289" i="8" s="1"/>
  <c r="J289" i="8" a="1"/>
  <c r="J289" i="8" s="1"/>
  <c r="D289" i="8" a="1"/>
  <c r="D289" i="8" s="1"/>
  <c r="B289" i="8" a="1"/>
  <c r="B289" i="8" s="1"/>
  <c r="D172" i="5" a="1"/>
  <c r="D172" i="5" s="1"/>
  <c r="E172" i="5" a="1"/>
  <c r="E172" i="5" s="1"/>
  <c r="T172" i="5" s="1"/>
  <c r="G172" i="5" a="1"/>
  <c r="G172" i="5" s="1"/>
  <c r="M172" i="5"/>
  <c r="Q172" i="5"/>
  <c r="S172" i="5"/>
  <c r="Y172" i="5"/>
  <c r="AM43" i="8"/>
  <c r="O43" i="8" a="1"/>
  <c r="O43" i="8" s="1"/>
  <c r="K43" i="8" a="1"/>
  <c r="K43" i="8" s="1"/>
  <c r="J43" i="8" a="1"/>
  <c r="J43" i="8" s="1"/>
  <c r="D43" i="8" a="1"/>
  <c r="D43" i="8" s="1"/>
  <c r="C43" i="8" a="1"/>
  <c r="C43" i="8" s="1"/>
  <c r="B43" i="8" a="1"/>
  <c r="B43" i="8" s="1"/>
  <c r="D280" i="5" a="1"/>
  <c r="D280" i="5" s="1"/>
  <c r="E280" i="5" a="1"/>
  <c r="E280" i="5" s="1"/>
  <c r="F280" i="5" a="1"/>
  <c r="F280" i="5" s="1"/>
  <c r="G280" i="5" a="1"/>
  <c r="G280" i="5" s="1"/>
  <c r="M280" i="5"/>
  <c r="S280" i="5"/>
  <c r="AO237" i="8" s="1"/>
  <c r="AR288" i="8"/>
  <c r="K288" i="8" a="1"/>
  <c r="K288" i="8" s="1"/>
  <c r="J288" i="8" a="1"/>
  <c r="J288" i="8" s="1"/>
  <c r="D288" i="8" a="1"/>
  <c r="D288" i="8" s="1"/>
  <c r="B288" i="8" a="1"/>
  <c r="B288" i="8" s="1"/>
  <c r="Y120" i="5"/>
  <c r="S120" i="5"/>
  <c r="Q120" i="5"/>
  <c r="M120" i="5"/>
  <c r="G120" i="5" a="1"/>
  <c r="G120" i="5" s="1"/>
  <c r="F120" i="5" a="1"/>
  <c r="F120" i="5" s="1"/>
  <c r="E120" i="5" a="1"/>
  <c r="E120" i="5" s="1"/>
  <c r="T120" i="5" s="1"/>
  <c r="D120" i="5" a="1"/>
  <c r="D120" i="5" s="1"/>
  <c r="AM15" i="8"/>
  <c r="O15" i="8" a="1"/>
  <c r="O15" i="8" s="1"/>
  <c r="L15" i="8" a="1"/>
  <c r="L15" i="8" s="1"/>
  <c r="K15" i="8" a="1"/>
  <c r="K15" i="8" s="1"/>
  <c r="J15" i="8" a="1"/>
  <c r="J15" i="8" s="1"/>
  <c r="D15" i="8" a="1"/>
  <c r="D15" i="8" s="1"/>
  <c r="AG15" i="8" s="1"/>
  <c r="H15" i="8" s="1"/>
  <c r="C15" i="8" a="1"/>
  <c r="C15" i="8" s="1"/>
  <c r="B15" i="8" a="1"/>
  <c r="B15" i="8" s="1"/>
  <c r="J518" i="5"/>
  <c r="J515" i="5"/>
  <c r="J512" i="5"/>
  <c r="L287" i="8" a="1"/>
  <c r="L287" i="8" s="1"/>
  <c r="O287" i="8" a="1"/>
  <c r="O287" i="8" s="1"/>
  <c r="AR287" i="8"/>
  <c r="AD287" i="8"/>
  <c r="K287" i="8" a="1"/>
  <c r="K287" i="8" s="1"/>
  <c r="J287" i="8" a="1"/>
  <c r="J287" i="8" s="1"/>
  <c r="D287" i="8" a="1"/>
  <c r="D287" i="8" s="1"/>
  <c r="B287" i="8" a="1"/>
  <c r="B287" i="8" s="1"/>
  <c r="AC49" i="8"/>
  <c r="AD49" i="8" s="1"/>
  <c r="O252" i="5"/>
  <c r="AA272" i="8"/>
  <c r="AK272" i="8" s="1"/>
  <c r="AR286" i="8"/>
  <c r="AG286" i="8"/>
  <c r="AD286" i="8"/>
  <c r="O286" i="8" a="1"/>
  <c r="O286" i="8" s="1"/>
  <c r="L286" i="8" a="1"/>
  <c r="L286" i="8" s="1"/>
  <c r="K286" i="8" a="1"/>
  <c r="K286" i="8" s="1"/>
  <c r="J286" i="8" a="1"/>
  <c r="J286" i="8" s="1"/>
  <c r="D286" i="8" a="1"/>
  <c r="D286" i="8" s="1"/>
  <c r="B286" i="8" a="1"/>
  <c r="B286" i="8" s="1"/>
  <c r="AR285" i="8"/>
  <c r="AD285" i="8"/>
  <c r="O285" i="8" a="1"/>
  <c r="O285" i="8" s="1"/>
  <c r="L285" i="8" a="1"/>
  <c r="L285" i="8" s="1"/>
  <c r="K285" i="8" a="1"/>
  <c r="K285" i="8" s="1"/>
  <c r="J285" i="8" a="1"/>
  <c r="J285" i="8" s="1"/>
  <c r="D285" i="8" a="1"/>
  <c r="D285" i="8" s="1"/>
  <c r="B285" i="8" a="1"/>
  <c r="B285" i="8" s="1"/>
  <c r="AR284" i="8"/>
  <c r="O284" i="8" a="1"/>
  <c r="O284" i="8" s="1"/>
  <c r="L284" i="8" a="1"/>
  <c r="L284" i="8" s="1"/>
  <c r="K284" i="8" a="1"/>
  <c r="K284" i="8" s="1"/>
  <c r="J284" i="8" a="1"/>
  <c r="J284" i="8" s="1"/>
  <c r="D284" i="8" a="1"/>
  <c r="D284" i="8" s="1"/>
  <c r="B284" i="8" a="1"/>
  <c r="B284" i="8" s="1"/>
  <c r="B455" i="8" a="1"/>
  <c r="B455" i="8" s="1"/>
  <c r="C455" i="8" a="1"/>
  <c r="C455" i="8" s="1"/>
  <c r="D455" i="8" a="1"/>
  <c r="D455" i="8" s="1"/>
  <c r="J455" i="8" a="1"/>
  <c r="J455" i="8" s="1"/>
  <c r="K455" i="8" a="1"/>
  <c r="K455" i="8" s="1"/>
  <c r="L455" i="8" a="1"/>
  <c r="L455" i="8" s="1"/>
  <c r="O455" i="8" a="1"/>
  <c r="O455" i="8" s="1"/>
  <c r="AE455" i="8"/>
  <c r="AI455" i="8"/>
  <c r="AJ455" i="8"/>
  <c r="AK455" i="8"/>
  <c r="AM455" i="8"/>
  <c r="AM457" i="8"/>
  <c r="AK457" i="8"/>
  <c r="AJ457" i="8"/>
  <c r="AI457" i="8"/>
  <c r="AE457" i="8"/>
  <c r="O457" i="8" a="1"/>
  <c r="O457" i="8" s="1"/>
  <c r="L457" i="8" a="1"/>
  <c r="L457" i="8" s="1"/>
  <c r="K457" i="8" a="1"/>
  <c r="K457" i="8" s="1"/>
  <c r="J457" i="8" a="1"/>
  <c r="J457" i="8" s="1"/>
  <c r="D457" i="8" a="1"/>
  <c r="D457" i="8" s="1"/>
  <c r="C457" i="8" a="1"/>
  <c r="C457" i="8" s="1"/>
  <c r="B457" i="8" a="1"/>
  <c r="B457" i="8" s="1"/>
  <c r="AM456" i="8"/>
  <c r="AK456" i="8"/>
  <c r="AJ456" i="8"/>
  <c r="AI456" i="8"/>
  <c r="AE456" i="8"/>
  <c r="O456" i="8" a="1"/>
  <c r="O456" i="8" s="1"/>
  <c r="L456" i="8" a="1"/>
  <c r="L456" i="8" s="1"/>
  <c r="K456" i="8" a="1"/>
  <c r="K456" i="8" s="1"/>
  <c r="J456" i="8" a="1"/>
  <c r="J456" i="8" s="1"/>
  <c r="D456" i="8" a="1"/>
  <c r="D456" i="8" s="1"/>
  <c r="C456" i="8" a="1"/>
  <c r="C456" i="8" s="1"/>
  <c r="B456" i="8" a="1"/>
  <c r="B456" i="8" s="1"/>
  <c r="AD255" i="8"/>
  <c r="AD256" i="8"/>
  <c r="AD257" i="8"/>
  <c r="AD258" i="8"/>
  <c r="AD260" i="8"/>
  <c r="AD261" i="8"/>
  <c r="AD262" i="8"/>
  <c r="AD263" i="8"/>
  <c r="AD264" i="8"/>
  <c r="AD265" i="8"/>
  <c r="AD266" i="8"/>
  <c r="AD267" i="8"/>
  <c r="AD268" i="8"/>
  <c r="AD269" i="8"/>
  <c r="AD270" i="8"/>
  <c r="AD271" i="8"/>
  <c r="AD272" i="8"/>
  <c r="AD274" i="8"/>
  <c r="AD276" i="8"/>
  <c r="AD277" i="8"/>
  <c r="AD279" i="8"/>
  <c r="AD278" i="8"/>
  <c r="AR283" i="8"/>
  <c r="AH283" i="8"/>
  <c r="AC283" i="8"/>
  <c r="AD283" i="8" s="1"/>
  <c r="Z283" i="8"/>
  <c r="L283" i="8" a="1"/>
  <c r="L283" i="8" s="1"/>
  <c r="O283" i="8" a="1"/>
  <c r="O283" i="8" s="1"/>
  <c r="K283" i="8" a="1"/>
  <c r="K283" i="8" s="1"/>
  <c r="J283" i="8" a="1"/>
  <c r="J283" i="8" s="1"/>
  <c r="D283" i="8" a="1"/>
  <c r="D283" i="8" s="1"/>
  <c r="B283" i="8" a="1"/>
  <c r="B283" i="8" s="1"/>
  <c r="D155" i="5" a="1"/>
  <c r="D155" i="5" s="1"/>
  <c r="E155" i="5" a="1"/>
  <c r="E155" i="5" s="1"/>
  <c r="T155" i="5" s="1"/>
  <c r="F155" i="5" a="1"/>
  <c r="F155" i="5" s="1"/>
  <c r="G155" i="5" a="1"/>
  <c r="G155" i="5" s="1"/>
  <c r="M155" i="5"/>
  <c r="Q155" i="5"/>
  <c r="S155" i="5"/>
  <c r="Y155" i="5"/>
  <c r="AM169" i="8"/>
  <c r="O169" i="8" a="1"/>
  <c r="O169" i="8" s="1"/>
  <c r="K169" i="8" a="1"/>
  <c r="K169" i="8" s="1"/>
  <c r="J169" i="8" a="1"/>
  <c r="J169" i="8" s="1"/>
  <c r="D169" i="8" a="1"/>
  <c r="D169" i="8" s="1"/>
  <c r="C169" i="8" a="1"/>
  <c r="C169" i="8" s="1"/>
  <c r="B169" i="8" a="1"/>
  <c r="B169" i="8" s="1"/>
  <c r="AR282" i="8"/>
  <c r="L281" i="8" a="1"/>
  <c r="L281" i="8" s="1"/>
  <c r="O281" i="8" a="1"/>
  <c r="O281" i="8" s="1"/>
  <c r="L282" i="8" a="1"/>
  <c r="L282" i="8" s="1"/>
  <c r="O282" i="8" a="1"/>
  <c r="O282" i="8" s="1"/>
  <c r="AB282" i="8"/>
  <c r="Z282" i="8" s="1"/>
  <c r="K282" i="8" a="1"/>
  <c r="K282" i="8" s="1"/>
  <c r="J282" i="8" a="1"/>
  <c r="J282" i="8" s="1"/>
  <c r="D282" i="8" a="1"/>
  <c r="D282" i="8" s="1"/>
  <c r="B282" i="8" a="1"/>
  <c r="B282" i="8" s="1"/>
  <c r="AR281" i="8"/>
  <c r="AH281" i="8"/>
  <c r="AC281" i="8"/>
  <c r="AD281" i="8" s="1"/>
  <c r="Z281" i="8"/>
  <c r="K281" i="8" a="1"/>
  <c r="K281" i="8" s="1"/>
  <c r="J281" i="8" a="1"/>
  <c r="J281" i="8" s="1"/>
  <c r="D281" i="8" a="1"/>
  <c r="D281" i="8" s="1"/>
  <c r="B281" i="8" a="1"/>
  <c r="B281" i="8" s="1"/>
  <c r="AD128" i="8" l="1"/>
  <c r="I128" i="8"/>
  <c r="I49" i="8"/>
  <c r="AS237" i="8"/>
  <c r="AQ237" i="8"/>
  <c r="AG43" i="8"/>
  <c r="H43" i="8" s="1"/>
  <c r="AK43" i="8"/>
  <c r="G43" i="8" s="1"/>
  <c r="AJ43" i="8"/>
  <c r="F43" i="8" s="1"/>
  <c r="AG169" i="8"/>
  <c r="H169" i="8" s="1"/>
  <c r="AJ169" i="8"/>
  <c r="F169" i="8" s="1"/>
  <c r="AK169" i="8"/>
  <c r="G169" i="8" s="1"/>
  <c r="AJ282" i="8"/>
  <c r="AM282" i="8"/>
  <c r="AJ283" i="8"/>
  <c r="AM283" i="8"/>
  <c r="AJ281" i="8"/>
  <c r="AM281" i="8"/>
  <c r="AN282" i="8"/>
  <c r="AP284" i="8"/>
  <c r="AQ284" i="8" s="1"/>
  <c r="AN284" i="8"/>
  <c r="AP286" i="8"/>
  <c r="AQ286" i="8" s="1"/>
  <c r="AN286" i="8"/>
  <c r="AP283" i="8"/>
  <c r="AQ283" i="8" s="1"/>
  <c r="AN283" i="8"/>
  <c r="AP287" i="8"/>
  <c r="AQ287" i="8" s="1"/>
  <c r="AN287" i="8"/>
  <c r="AP281" i="8"/>
  <c r="AQ281" i="8" s="1"/>
  <c r="AN281" i="8"/>
  <c r="AP288" i="8"/>
  <c r="AQ288" i="8" s="1"/>
  <c r="AN288" i="8"/>
  <c r="AP285" i="8"/>
  <c r="AQ285" i="8" s="1"/>
  <c r="AN285" i="8"/>
  <c r="AP289" i="8"/>
  <c r="AQ289" i="8" s="1"/>
  <c r="AN289" i="8"/>
  <c r="AS294" i="8"/>
  <c r="AQ294" i="8"/>
  <c r="AS289" i="8"/>
  <c r="N289" i="8"/>
  <c r="R289" i="8" s="1"/>
  <c r="M289" i="8"/>
  <c r="Q289" i="8" s="1"/>
  <c r="M288" i="8"/>
  <c r="Q288" i="8" s="1"/>
  <c r="N288" i="8"/>
  <c r="R288" i="8" s="1"/>
  <c r="AC85" i="8"/>
  <c r="AD85" i="8" s="1"/>
  <c r="Z85" i="8"/>
  <c r="AA85" i="8" s="1"/>
  <c r="AE289" i="8"/>
  <c r="AI289" i="8"/>
  <c r="AG289" i="8"/>
  <c r="U172" i="5"/>
  <c r="AD172" i="5" s="1"/>
  <c r="V172" i="5"/>
  <c r="N172" i="5"/>
  <c r="AN43" i="8"/>
  <c r="AI43" i="8"/>
  <c r="AE43" i="8"/>
  <c r="E43" i="8" s="1"/>
  <c r="M43" i="8"/>
  <c r="N43" i="8"/>
  <c r="U280" i="5"/>
  <c r="AD280" i="5" s="1"/>
  <c r="V280" i="5"/>
  <c r="AI280" i="5"/>
  <c r="N280" i="5"/>
  <c r="C6" i="12"/>
  <c r="U120" i="5"/>
  <c r="AD120" i="5" s="1"/>
  <c r="AS288" i="8"/>
  <c r="AE288" i="8"/>
  <c r="AI288" i="8"/>
  <c r="AG288" i="8"/>
  <c r="AI120" i="5"/>
  <c r="N120" i="5"/>
  <c r="V120" i="5"/>
  <c r="AN15" i="8"/>
  <c r="AK15" i="8"/>
  <c r="G15" i="8" s="1"/>
  <c r="AJ15" i="8"/>
  <c r="F15" i="8" s="1"/>
  <c r="AI15" i="8"/>
  <c r="AE15" i="8"/>
  <c r="E15" i="8" s="1"/>
  <c r="M15" i="8"/>
  <c r="N15" i="8"/>
  <c r="AS287" i="8"/>
  <c r="M287" i="8"/>
  <c r="Q287" i="8" s="1"/>
  <c r="N287" i="8"/>
  <c r="R287" i="8" s="1"/>
  <c r="AE287" i="8"/>
  <c r="AI287" i="8"/>
  <c r="AG287" i="8"/>
  <c r="Z49" i="8"/>
  <c r="AA49" i="8" s="1"/>
  <c r="AU49" i="8" s="1"/>
  <c r="AH49" i="8"/>
  <c r="AS286" i="8"/>
  <c r="N286" i="8"/>
  <c r="R286" i="8" s="1"/>
  <c r="M286" i="8"/>
  <c r="Q286" i="8" s="1"/>
  <c r="AE286" i="8"/>
  <c r="AI286" i="8"/>
  <c r="AS285" i="8"/>
  <c r="N285" i="8"/>
  <c r="R285" i="8" s="1"/>
  <c r="M285" i="8"/>
  <c r="Q285" i="8" s="1"/>
  <c r="AE285" i="8"/>
  <c r="AI285" i="8"/>
  <c r="AG285" i="8"/>
  <c r="AS284" i="8"/>
  <c r="AE284" i="8"/>
  <c r="AI284" i="8"/>
  <c r="AG284" i="8"/>
  <c r="N284" i="8"/>
  <c r="R284" i="8" s="1"/>
  <c r="M284" i="8"/>
  <c r="Q284" i="8" s="1"/>
  <c r="M455" i="8"/>
  <c r="Q455" i="8" s="1"/>
  <c r="N455" i="8"/>
  <c r="R455" i="8" s="1"/>
  <c r="AN455" i="8"/>
  <c r="AG455" i="8"/>
  <c r="AS283" i="8"/>
  <c r="AN456" i="8"/>
  <c r="AG456" i="8"/>
  <c r="AN457" i="8"/>
  <c r="AG457" i="8"/>
  <c r="M456" i="8"/>
  <c r="Q456" i="8" s="1"/>
  <c r="N456" i="8"/>
  <c r="R456" i="8" s="1"/>
  <c r="M457" i="8"/>
  <c r="Q457" i="8" s="1"/>
  <c r="N457" i="8"/>
  <c r="R457" i="8" s="1"/>
  <c r="AE283" i="8"/>
  <c r="AI283" i="8"/>
  <c r="AG283" i="8"/>
  <c r="N283" i="8"/>
  <c r="R283" i="8" s="1"/>
  <c r="M283" i="8"/>
  <c r="Q283" i="8" s="1"/>
  <c r="AS282" i="8"/>
  <c r="AH282" i="8"/>
  <c r="AI282" i="8" s="1"/>
  <c r="AC282" i="8"/>
  <c r="AE282" i="8" s="1"/>
  <c r="U155" i="5"/>
  <c r="AD155" i="5" s="1"/>
  <c r="N155" i="5"/>
  <c r="AN169" i="8"/>
  <c r="AI169" i="8"/>
  <c r="AE169" i="8"/>
  <c r="E169" i="8" s="1"/>
  <c r="M169" i="8"/>
  <c r="N169" i="8"/>
  <c r="AG282" i="8"/>
  <c r="AP282" i="8"/>
  <c r="AQ282" i="8" s="1"/>
  <c r="M282" i="8"/>
  <c r="Q282" i="8" s="1"/>
  <c r="N282" i="8"/>
  <c r="R282" i="8" s="1"/>
  <c r="N281" i="8"/>
  <c r="R281" i="8" s="1"/>
  <c r="M281" i="8"/>
  <c r="Q281" i="8" s="1"/>
  <c r="AI281" i="8"/>
  <c r="AG281" i="8"/>
  <c r="AS281" i="8"/>
  <c r="AE281" i="8"/>
  <c r="AT237" i="8" l="1"/>
  <c r="I85" i="8"/>
  <c r="Y280" i="5"/>
  <c r="AB120" i="5"/>
  <c r="AB172" i="5"/>
  <c r="AT294" i="8"/>
  <c r="AT289" i="8"/>
  <c r="R43" i="8"/>
  <c r="Q43" i="8"/>
  <c r="Q169" i="8"/>
  <c r="R15" i="8"/>
  <c r="Q15" i="8"/>
  <c r="R169" i="8"/>
  <c r="AB280" i="5"/>
  <c r="AT288" i="8"/>
  <c r="AT287" i="8"/>
  <c r="AT286" i="8"/>
  <c r="AT284" i="8"/>
  <c r="AT285" i="8"/>
  <c r="AT283" i="8"/>
  <c r="AT282" i="8"/>
  <c r="AT281" i="8"/>
  <c r="D17" i="8" l="1" a="1"/>
  <c r="D17" i="8" s="1"/>
  <c r="D12" i="8" a="1"/>
  <c r="D12" i="8" s="1"/>
  <c r="D28" i="8" a="1"/>
  <c r="D28" i="8" s="1"/>
  <c r="D34" i="8" a="1"/>
  <c r="D34" i="8" s="1"/>
  <c r="D22" i="8" a="1"/>
  <c r="D22" i="8" s="1"/>
  <c r="D27" i="8" a="1"/>
  <c r="D27" i="8" s="1"/>
  <c r="D23" i="8" a="1"/>
  <c r="D23" i="8" s="1"/>
  <c r="D198" i="8" a="1"/>
  <c r="D198" i="8" s="1"/>
  <c r="D25" i="8" a="1"/>
  <c r="D25" i="8" s="1"/>
  <c r="D57" i="8" a="1"/>
  <c r="D57" i="8" s="1"/>
  <c r="D97" i="8" a="1"/>
  <c r="D97" i="8" s="1"/>
  <c r="D55" i="8" a="1"/>
  <c r="D55" i="8" s="1"/>
  <c r="D71" i="8" a="1"/>
  <c r="D71" i="8" s="1"/>
  <c r="D62" i="8" a="1"/>
  <c r="D62" i="8" s="1"/>
  <c r="D21" i="8" a="1"/>
  <c r="D21" i="8" s="1"/>
  <c r="AE21" i="8" s="1"/>
  <c r="E21" i="8" s="1"/>
  <c r="D37" i="8" a="1"/>
  <c r="D37" i="8" s="1"/>
  <c r="D128" i="8" a="1"/>
  <c r="D128" i="8" s="1"/>
  <c r="D111" i="8" a="1"/>
  <c r="D111" i="8" s="1"/>
  <c r="D89" i="8" a="1"/>
  <c r="D89" i="8" s="1"/>
  <c r="D16" i="8" a="1"/>
  <c r="D16" i="8" s="1"/>
  <c r="D47" i="8" a="1"/>
  <c r="D47" i="8" s="1"/>
  <c r="D74" i="8" a="1"/>
  <c r="D74" i="8" s="1"/>
  <c r="D100" i="8" a="1"/>
  <c r="D100" i="8" s="1"/>
  <c r="D32" i="8" a="1"/>
  <c r="D32" i="8" s="1"/>
  <c r="D185" i="8" a="1"/>
  <c r="D185" i="8" s="1"/>
  <c r="D40" i="8" a="1"/>
  <c r="D40" i="8" s="1"/>
  <c r="D78" i="8" a="1"/>
  <c r="D78" i="8" s="1"/>
  <c r="D80" i="8" a="1"/>
  <c r="D80" i="8" s="1"/>
  <c r="D145" i="8" a="1"/>
  <c r="D145" i="8" s="1"/>
  <c r="D39" i="8" a="1"/>
  <c r="D39" i="8" s="1"/>
  <c r="D20" i="8" a="1"/>
  <c r="D20" i="8" s="1"/>
  <c r="D42" i="8" a="1"/>
  <c r="D42" i="8" s="1"/>
  <c r="AG42" i="8" s="1"/>
  <c r="H42" i="8" s="1"/>
  <c r="D157" i="8" a="1"/>
  <c r="D157" i="8" s="1"/>
  <c r="D166" i="8" a="1"/>
  <c r="D166" i="8" s="1"/>
  <c r="D160" i="8" a="1"/>
  <c r="D160" i="8" s="1"/>
  <c r="D120" i="8" a="1"/>
  <c r="D120" i="8" s="1"/>
  <c r="D13" i="8" a="1"/>
  <c r="D13" i="8" s="1"/>
  <c r="D18" i="8" a="1"/>
  <c r="D18" i="8" s="1"/>
  <c r="D101" i="8" a="1"/>
  <c r="D101" i="8" s="1"/>
  <c r="D156" i="8" a="1"/>
  <c r="D156" i="8" s="1"/>
  <c r="D93" i="8" a="1"/>
  <c r="D93" i="8" s="1"/>
  <c r="D186" i="8" a="1"/>
  <c r="D186" i="8" s="1"/>
  <c r="D31" i="8" a="1"/>
  <c r="D31" i="8" s="1"/>
  <c r="D148" i="8" a="1"/>
  <c r="D148" i="8" s="1"/>
  <c r="AG148" i="8" s="1"/>
  <c r="H148" i="8" s="1"/>
  <c r="D63" i="8" a="1"/>
  <c r="D63" i="8" s="1"/>
  <c r="D46" i="8" a="1"/>
  <c r="D46" i="8" s="1"/>
  <c r="D164" i="8" a="1"/>
  <c r="D164" i="8" s="1"/>
  <c r="D92" i="8" a="1"/>
  <c r="D92" i="8" s="1"/>
  <c r="D59" i="8" a="1"/>
  <c r="D59" i="8" s="1"/>
  <c r="D85" i="8" a="1"/>
  <c r="D85" i="8" s="1"/>
  <c r="D180" i="8" a="1"/>
  <c r="D180" i="8" s="1"/>
  <c r="D162" i="8" a="1"/>
  <c r="D162" i="8" s="1"/>
  <c r="D155" i="8" a="1"/>
  <c r="D155" i="8" s="1"/>
  <c r="D163" i="8" a="1"/>
  <c r="D163" i="8" s="1"/>
  <c r="D153" i="8" a="1"/>
  <c r="D153" i="8" s="1"/>
  <c r="D134" i="8" a="1"/>
  <c r="D134" i="8" s="1"/>
  <c r="D117" i="8" a="1"/>
  <c r="D117" i="8" s="1"/>
  <c r="D60" i="8" a="1"/>
  <c r="D60" i="8" s="1"/>
  <c r="D176" i="8" a="1"/>
  <c r="D176" i="8" s="1"/>
  <c r="D200" i="8" a="1"/>
  <c r="D200" i="8" s="1"/>
  <c r="D170" i="8" a="1"/>
  <c r="D170" i="8" s="1"/>
  <c r="D129" i="8" a="1"/>
  <c r="D129" i="8" s="1"/>
  <c r="D26" i="8" a="1"/>
  <c r="D26" i="8" s="1"/>
  <c r="AG26" i="8" s="1"/>
  <c r="H26" i="8" s="1"/>
  <c r="D61" i="8" a="1"/>
  <c r="D61" i="8" s="1"/>
  <c r="D103" i="8" a="1"/>
  <c r="D103" i="8" s="1"/>
  <c r="D82" i="8" a="1"/>
  <c r="D82" i="8" s="1"/>
  <c r="D49" i="8" a="1"/>
  <c r="D49" i="8" s="1"/>
  <c r="D158" i="8" a="1"/>
  <c r="D158" i="8" s="1"/>
  <c r="D48" i="8" a="1"/>
  <c r="D48" i="8" s="1"/>
  <c r="D41" i="8" a="1"/>
  <c r="D41" i="8" s="1"/>
  <c r="D139" i="8" a="1"/>
  <c r="D139" i="8" s="1"/>
  <c r="D29" i="8" a="1"/>
  <c r="D29" i="8" s="1"/>
  <c r="AG29" i="8" s="1"/>
  <c r="H29" i="8" s="1"/>
  <c r="D189" i="8" a="1"/>
  <c r="D189" i="8" s="1"/>
  <c r="AJ189" i="8" s="1"/>
  <c r="D24" i="8" a="1"/>
  <c r="D24" i="8" s="1"/>
  <c r="D94" i="8" a="1"/>
  <c r="D94" i="8" s="1"/>
  <c r="D147" i="8" a="1"/>
  <c r="D147" i="8" s="1"/>
  <c r="D165" i="8" a="1"/>
  <c r="D165" i="8" s="1"/>
  <c r="D35" i="8" a="1"/>
  <c r="D35" i="8" s="1"/>
  <c r="D44" i="8" a="1"/>
  <c r="D44" i="8" s="1"/>
  <c r="D50" i="8" a="1"/>
  <c r="D50" i="8" s="1"/>
  <c r="D168" i="8" a="1"/>
  <c r="D168" i="8" s="1"/>
  <c r="D177" i="8" a="1"/>
  <c r="D177" i="8" s="1"/>
  <c r="D150" i="8" a="1"/>
  <c r="D150" i="8" s="1"/>
  <c r="D140" i="8" a="1"/>
  <c r="D140" i="8" s="1"/>
  <c r="D130" i="8" a="1"/>
  <c r="D130" i="8" s="1"/>
  <c r="D204" i="8" a="1"/>
  <c r="D204" i="8" s="1"/>
  <c r="D209" i="8" a="1"/>
  <c r="D209" i="8" s="1"/>
  <c r="D188" i="8" a="1"/>
  <c r="D188" i="8" s="1"/>
  <c r="D124" i="8" a="1"/>
  <c r="D124" i="8" s="1"/>
  <c r="D107" i="8" a="1"/>
  <c r="D107" i="8" s="1"/>
  <c r="D19" i="8" a="1"/>
  <c r="D19" i="8" s="1"/>
  <c r="AG19" i="8" s="1"/>
  <c r="H19" i="8" s="1"/>
  <c r="D203" i="8" a="1"/>
  <c r="D203" i="8" s="1"/>
  <c r="D205" i="8" a="1"/>
  <c r="D205" i="8" s="1"/>
  <c r="D197" i="8" a="1"/>
  <c r="D197" i="8" s="1"/>
  <c r="D199" i="8" a="1"/>
  <c r="D199" i="8" s="1"/>
  <c r="D154" i="8" a="1"/>
  <c r="D154" i="8" s="1"/>
  <c r="D194" i="8" a="1"/>
  <c r="D194" i="8" s="1"/>
  <c r="D190" i="8" a="1"/>
  <c r="D190" i="8" s="1"/>
  <c r="D91" i="8" a="1"/>
  <c r="D91" i="8" s="1"/>
  <c r="D72" i="8" a="1"/>
  <c r="D72" i="8" s="1"/>
  <c r="D167" i="8" a="1"/>
  <c r="D167" i="8" s="1"/>
  <c r="D207" i="8" a="1"/>
  <c r="D207" i="8" s="1"/>
  <c r="D210" i="8" a="1"/>
  <c r="D210" i="8" s="1"/>
  <c r="D67" i="8" a="1"/>
  <c r="D67" i="8" s="1"/>
  <c r="D201" i="8" a="1"/>
  <c r="D201" i="8" s="1"/>
  <c r="D181" i="8" a="1"/>
  <c r="D181" i="8" s="1"/>
  <c r="D208" i="8" a="1"/>
  <c r="D208" i="8" s="1"/>
  <c r="O136" i="5"/>
  <c r="M136" i="5" s="1"/>
  <c r="D33" i="5" a="1"/>
  <c r="D33" i="5" s="1"/>
  <c r="E33" i="5" a="1"/>
  <c r="E33" i="5" s="1"/>
  <c r="T33" i="5" s="1"/>
  <c r="F33" i="5" a="1"/>
  <c r="F33" i="5" s="1"/>
  <c r="G33" i="5" a="1"/>
  <c r="G33" i="5" s="1"/>
  <c r="M33" i="5"/>
  <c r="Q33" i="5"/>
  <c r="S33" i="5"/>
  <c r="Y33" i="5"/>
  <c r="AM47" i="8"/>
  <c r="O47" i="8" a="1"/>
  <c r="O47" i="8" s="1"/>
  <c r="K47" i="8" a="1"/>
  <c r="K47" i="8" s="1"/>
  <c r="J47" i="8" a="1"/>
  <c r="J47" i="8" s="1"/>
  <c r="C47" i="8" a="1"/>
  <c r="C47" i="8" s="1"/>
  <c r="B47" i="8" a="1"/>
  <c r="B47" i="8" s="1"/>
  <c r="D136" i="5" a="1"/>
  <c r="D136" i="5" s="1"/>
  <c r="E136" i="5" a="1"/>
  <c r="E136" i="5" s="1"/>
  <c r="T136" i="5" s="1"/>
  <c r="F136" i="5" a="1"/>
  <c r="F136" i="5" s="1"/>
  <c r="G136" i="5" a="1"/>
  <c r="G136" i="5" s="1"/>
  <c r="Q136" i="5"/>
  <c r="S136" i="5"/>
  <c r="Y136" i="5"/>
  <c r="AD101" i="8"/>
  <c r="AM120" i="8"/>
  <c r="O120" i="8" a="1"/>
  <c r="O120" i="8" s="1"/>
  <c r="K120" i="8" a="1"/>
  <c r="K120" i="8" s="1"/>
  <c r="J120" i="8" a="1"/>
  <c r="J120" i="8" s="1"/>
  <c r="C120" i="8" a="1"/>
  <c r="C120" i="8" s="1"/>
  <c r="B120" i="8" a="1"/>
  <c r="B120" i="8" s="1"/>
  <c r="D43" i="5" a="1"/>
  <c r="D43" i="5" s="1"/>
  <c r="E43" i="5" a="1"/>
  <c r="E43" i="5" s="1"/>
  <c r="T43" i="5" s="1"/>
  <c r="F43" i="5" a="1"/>
  <c r="F43" i="5" s="1"/>
  <c r="G43" i="5" a="1"/>
  <c r="G43" i="5" s="1"/>
  <c r="M43" i="5"/>
  <c r="Q43" i="5"/>
  <c r="S43" i="5"/>
  <c r="Y43" i="5"/>
  <c r="AM101" i="8"/>
  <c r="O101" i="8" a="1"/>
  <c r="O101" i="8" s="1"/>
  <c r="K101" i="8" a="1"/>
  <c r="K101" i="8" s="1"/>
  <c r="J101" i="8" a="1"/>
  <c r="J101" i="8" s="1"/>
  <c r="C101" i="8" a="1"/>
  <c r="C101" i="8" s="1"/>
  <c r="B101" i="8" a="1"/>
  <c r="B101" i="8" s="1"/>
  <c r="AR280" i="8"/>
  <c r="L280" i="8" a="1"/>
  <c r="L280" i="8" s="1"/>
  <c r="O280" i="8" a="1"/>
  <c r="O280" i="8" s="1"/>
  <c r="AH280" i="8"/>
  <c r="AB280" i="8"/>
  <c r="AC280" i="8" s="1"/>
  <c r="AD280" i="8" s="1"/>
  <c r="K280" i="8" a="1"/>
  <c r="K280" i="8" s="1"/>
  <c r="J280" i="8" a="1"/>
  <c r="J280" i="8" s="1"/>
  <c r="D280" i="8" a="1"/>
  <c r="D280" i="8" s="1"/>
  <c r="B280" i="8" a="1"/>
  <c r="B280" i="8" s="1"/>
  <c r="L278" i="8" a="1"/>
  <c r="L278" i="8" s="1"/>
  <c r="O278" i="8" a="1"/>
  <c r="O278" i="8" s="1"/>
  <c r="L279" i="8" a="1"/>
  <c r="L279" i="8" s="1"/>
  <c r="O279" i="8" a="1"/>
  <c r="O279" i="8" s="1"/>
  <c r="AR279" i="8"/>
  <c r="K279" i="8" a="1"/>
  <c r="K279" i="8" s="1"/>
  <c r="J279" i="8" a="1"/>
  <c r="J279" i="8" s="1"/>
  <c r="D279" i="8" a="1"/>
  <c r="D279" i="8" s="1"/>
  <c r="B279" i="8" a="1"/>
  <c r="B279" i="8" s="1"/>
  <c r="J21" i="8" a="1"/>
  <c r="J21" i="8" s="1"/>
  <c r="B21" i="8" a="1"/>
  <c r="B21" i="8" s="1"/>
  <c r="C21" i="8" a="1"/>
  <c r="C21" i="8" s="1"/>
  <c r="K21" i="8" a="1"/>
  <c r="K21" i="8" s="1"/>
  <c r="L21" i="8" a="1"/>
  <c r="L21" i="8" s="1"/>
  <c r="O21" i="8" a="1"/>
  <c r="O21" i="8" s="1"/>
  <c r="AM21" i="8"/>
  <c r="AU18" i="8"/>
  <c r="AU85" i="8"/>
  <c r="AH130" i="8"/>
  <c r="Z130" i="8"/>
  <c r="AA130" i="8" s="1"/>
  <c r="AU130" i="8" s="1"/>
  <c r="D218" i="5" a="1"/>
  <c r="D218" i="5" s="1"/>
  <c r="E218" i="5" a="1"/>
  <c r="E218" i="5" s="1"/>
  <c r="T218" i="5" s="1"/>
  <c r="G218" i="5" a="1"/>
  <c r="G218" i="5" s="1"/>
  <c r="M218" i="5"/>
  <c r="Q218" i="5"/>
  <c r="S218" i="5"/>
  <c r="Y218" i="5"/>
  <c r="AH41" i="8"/>
  <c r="AH57" i="8"/>
  <c r="AM160" i="8"/>
  <c r="O160" i="8" a="1"/>
  <c r="O160" i="8" s="1"/>
  <c r="K160" i="8" a="1"/>
  <c r="K160" i="8" s="1"/>
  <c r="J160" i="8" a="1"/>
  <c r="J160" i="8" s="1"/>
  <c r="C160" i="8" a="1"/>
  <c r="C160" i="8" s="1"/>
  <c r="B160" i="8" a="1"/>
  <c r="B160" i="8" s="1"/>
  <c r="AJ210" i="8" l="1"/>
  <c r="AG203" i="8"/>
  <c r="H203" i="8" s="1"/>
  <c r="AJ203" i="8"/>
  <c r="AK203" i="8"/>
  <c r="AG50" i="8"/>
  <c r="H50" i="8" s="1"/>
  <c r="AJ50" i="8"/>
  <c r="AK50" i="8"/>
  <c r="AG164" i="8"/>
  <c r="H164" i="8" s="1"/>
  <c r="AJ164" i="8"/>
  <c r="AK164" i="8"/>
  <c r="AG120" i="8"/>
  <c r="H120" i="8" s="1"/>
  <c r="AJ120" i="8"/>
  <c r="F120" i="8" s="1"/>
  <c r="AK120" i="8"/>
  <c r="G120" i="8" s="1"/>
  <c r="AG60" i="8"/>
  <c r="H60" i="8" s="1"/>
  <c r="AK60" i="8"/>
  <c r="AJ60" i="8"/>
  <c r="AG46" i="8"/>
  <c r="H46" i="8" s="1"/>
  <c r="AK46" i="8"/>
  <c r="AJ46" i="8"/>
  <c r="AG160" i="8"/>
  <c r="H160" i="8" s="1"/>
  <c r="AK160" i="8"/>
  <c r="G160" i="8" s="1"/>
  <c r="AJ160" i="8"/>
  <c r="F160" i="8" s="1"/>
  <c r="AG100" i="8"/>
  <c r="H100" i="8" s="1"/>
  <c r="AJ100" i="8"/>
  <c r="AK100" i="8"/>
  <c r="AJ97" i="8"/>
  <c r="AK97" i="8"/>
  <c r="AG107" i="8"/>
  <c r="H107" i="8" s="1"/>
  <c r="AK107" i="8"/>
  <c r="AJ107" i="8"/>
  <c r="AG44" i="8"/>
  <c r="H44" i="8" s="1"/>
  <c r="AJ44" i="8"/>
  <c r="AG117" i="8"/>
  <c r="H117" i="8" s="1"/>
  <c r="AK117" i="8"/>
  <c r="AJ117" i="8"/>
  <c r="AG63" i="8"/>
  <c r="H63" i="8" s="1"/>
  <c r="AJ63" i="8"/>
  <c r="AK63" i="8"/>
  <c r="AG74" i="8"/>
  <c r="H74" i="8" s="1"/>
  <c r="AJ74" i="8"/>
  <c r="AK74" i="8"/>
  <c r="AG72" i="8"/>
  <c r="H72" i="8" s="1"/>
  <c r="AJ72" i="8"/>
  <c r="AK72" i="8"/>
  <c r="AG124" i="8"/>
  <c r="H124" i="8" s="1"/>
  <c r="AJ124" i="8"/>
  <c r="AK124" i="8"/>
  <c r="AG35" i="8"/>
  <c r="H35" i="8" s="1"/>
  <c r="AJ35" i="8"/>
  <c r="AK35" i="8"/>
  <c r="AG47" i="8"/>
  <c r="H47" i="8" s="1"/>
  <c r="AJ47" i="8"/>
  <c r="F47" i="8" s="1"/>
  <c r="AK47" i="8"/>
  <c r="G47" i="8" s="1"/>
  <c r="AG91" i="8"/>
  <c r="H91" i="8" s="1"/>
  <c r="AK91" i="8"/>
  <c r="AJ91" i="8"/>
  <c r="AG188" i="8"/>
  <c r="H188" i="8" s="1"/>
  <c r="AJ188" i="8"/>
  <c r="AK188" i="8"/>
  <c r="AG49" i="8"/>
  <c r="H49" i="8" s="1"/>
  <c r="AJ49" i="8"/>
  <c r="AK49" i="8"/>
  <c r="AG153" i="8"/>
  <c r="H153" i="8" s="1"/>
  <c r="AK153" i="8"/>
  <c r="AJ153" i="8"/>
  <c r="AJ198" i="8"/>
  <c r="AK198" i="8"/>
  <c r="AG190" i="8"/>
  <c r="H190" i="8" s="1"/>
  <c r="AJ190" i="8"/>
  <c r="AK190" i="8"/>
  <c r="AG209" i="8"/>
  <c r="H209" i="8" s="1"/>
  <c r="AJ209" i="8"/>
  <c r="AK209" i="8"/>
  <c r="AJ165" i="8"/>
  <c r="AG82" i="8"/>
  <c r="H82" i="8" s="1"/>
  <c r="AJ82" i="8"/>
  <c r="AK82" i="8"/>
  <c r="AG186" i="8"/>
  <c r="H186" i="8" s="1"/>
  <c r="AJ186" i="8"/>
  <c r="AK186" i="8"/>
  <c r="AG194" i="8"/>
  <c r="H194" i="8" s="1"/>
  <c r="AJ194" i="8"/>
  <c r="AK194" i="8"/>
  <c r="AG204" i="8"/>
  <c r="H204" i="8" s="1"/>
  <c r="AJ204" i="8"/>
  <c r="AK204" i="8"/>
  <c r="AJ130" i="8"/>
  <c r="AK130" i="8"/>
  <c r="AG128" i="8"/>
  <c r="H128" i="8" s="1"/>
  <c r="AK128" i="8"/>
  <c r="AJ128" i="8"/>
  <c r="AJ208" i="8"/>
  <c r="AK208" i="8"/>
  <c r="AJ154" i="8"/>
  <c r="AG140" i="8"/>
  <c r="H140" i="8" s="1"/>
  <c r="AJ140" i="8"/>
  <c r="AK140" i="8"/>
  <c r="AG156" i="8"/>
  <c r="H156" i="8" s="1"/>
  <c r="AJ156" i="8"/>
  <c r="AK156" i="8"/>
  <c r="AG181" i="8"/>
  <c r="H181" i="8" s="1"/>
  <c r="AJ181" i="8"/>
  <c r="AK181" i="8"/>
  <c r="AG199" i="8"/>
  <c r="H199" i="8" s="1"/>
  <c r="AK199" i="8"/>
  <c r="AJ199" i="8"/>
  <c r="AJ150" i="8"/>
  <c r="AG85" i="8"/>
  <c r="H85" i="8" s="1"/>
  <c r="AJ85" i="8"/>
  <c r="AK85" i="8"/>
  <c r="AG101" i="8"/>
  <c r="H101" i="8" s="1"/>
  <c r="AJ101" i="8"/>
  <c r="F101" i="8" s="1"/>
  <c r="AK101" i="8"/>
  <c r="G101" i="8" s="1"/>
  <c r="AG78" i="8"/>
  <c r="H78" i="8" s="1"/>
  <c r="AJ78" i="8"/>
  <c r="AK78" i="8"/>
  <c r="AG197" i="8"/>
  <c r="H197" i="8" s="1"/>
  <c r="AJ197" i="8"/>
  <c r="AK197" i="8"/>
  <c r="AG170" i="8"/>
  <c r="H170" i="8" s="1"/>
  <c r="AJ170" i="8"/>
  <c r="AK170" i="8"/>
  <c r="AG62" i="8"/>
  <c r="H62" i="8" s="1"/>
  <c r="AJ62" i="8"/>
  <c r="AK62" i="8"/>
  <c r="AK201" i="8"/>
  <c r="AJ201" i="8"/>
  <c r="AG205" i="8"/>
  <c r="H205" i="8" s="1"/>
  <c r="AK205" i="8"/>
  <c r="AJ205" i="8"/>
  <c r="AG139" i="8"/>
  <c r="H139" i="8" s="1"/>
  <c r="AJ139" i="8"/>
  <c r="AK139" i="8"/>
  <c r="AG200" i="8"/>
  <c r="H200" i="8" s="1"/>
  <c r="AK200" i="8"/>
  <c r="AJ200" i="8"/>
  <c r="AG92" i="8"/>
  <c r="H92" i="8" s="1"/>
  <c r="AJ92" i="8"/>
  <c r="AK92" i="8"/>
  <c r="AG185" i="8"/>
  <c r="H185" i="8" s="1"/>
  <c r="AJ185" i="8"/>
  <c r="AK185" i="8"/>
  <c r="AP279" i="8"/>
  <c r="AQ279" i="8" s="1"/>
  <c r="AN279" i="8"/>
  <c r="AP280" i="8"/>
  <c r="AQ280" i="8" s="1"/>
  <c r="AN280" i="8"/>
  <c r="AA154" i="8"/>
  <c r="AU154" i="8" s="1"/>
  <c r="AG130" i="8"/>
  <c r="H130" i="8" s="1"/>
  <c r="AN208" i="8"/>
  <c r="AG208" i="8"/>
  <c r="H208" i="8" s="1"/>
  <c r="AN201" i="8"/>
  <c r="AG201" i="8"/>
  <c r="H201" i="8" s="1"/>
  <c r="N136" i="5"/>
  <c r="U33" i="5"/>
  <c r="AD33" i="5" s="1"/>
  <c r="V33" i="5"/>
  <c r="AI33" i="5"/>
  <c r="N33" i="5"/>
  <c r="M47" i="8"/>
  <c r="Q47" i="8" s="1"/>
  <c r="N47" i="8"/>
  <c r="R47" i="8" s="1"/>
  <c r="AN47" i="8"/>
  <c r="AI47" i="8"/>
  <c r="AE47" i="8"/>
  <c r="E47" i="8" s="1"/>
  <c r="U136" i="5"/>
  <c r="AD136" i="5" s="1"/>
  <c r="AN120" i="8"/>
  <c r="AI120" i="8"/>
  <c r="AE120" i="8"/>
  <c r="E120" i="8" s="1"/>
  <c r="M120" i="8"/>
  <c r="Q120" i="8" s="1"/>
  <c r="N120" i="8"/>
  <c r="R120" i="8" s="1"/>
  <c r="AS280" i="8"/>
  <c r="U43" i="5"/>
  <c r="AD43" i="5" s="1"/>
  <c r="V43" i="5"/>
  <c r="N43" i="5"/>
  <c r="AI43" i="5"/>
  <c r="AN101" i="8"/>
  <c r="AI101" i="8"/>
  <c r="AE101" i="8"/>
  <c r="E101" i="8" s="1"/>
  <c r="M101" i="8"/>
  <c r="N101" i="8"/>
  <c r="AI280" i="8"/>
  <c r="AG280" i="8"/>
  <c r="M280" i="8"/>
  <c r="Q280" i="8" s="1"/>
  <c r="N280" i="8"/>
  <c r="R280" i="8" s="1"/>
  <c r="AE280" i="8"/>
  <c r="M279" i="8"/>
  <c r="Q279" i="8" s="1"/>
  <c r="N279" i="8"/>
  <c r="R279" i="8" s="1"/>
  <c r="M278" i="8"/>
  <c r="N278" i="8"/>
  <c r="AS279" i="8"/>
  <c r="AE279" i="8"/>
  <c r="AI279" i="8"/>
  <c r="AG279" i="8"/>
  <c r="AG21" i="8"/>
  <c r="H21" i="8" s="1"/>
  <c r="M21" i="8"/>
  <c r="Q21" i="8" s="1"/>
  <c r="N21" i="8"/>
  <c r="R21" i="8" s="1"/>
  <c r="AN21" i="8"/>
  <c r="AK21" i="8"/>
  <c r="G21" i="8" s="1"/>
  <c r="AJ21" i="8"/>
  <c r="F21" i="8" s="1"/>
  <c r="AI21" i="8"/>
  <c r="U218" i="5"/>
  <c r="AD218" i="5" s="1"/>
  <c r="V218" i="5"/>
  <c r="N218" i="5"/>
  <c r="AI218" i="5"/>
  <c r="Z57" i="8"/>
  <c r="AC57" i="8"/>
  <c r="Z41" i="8"/>
  <c r="AC41" i="8"/>
  <c r="AD41" i="8" s="1"/>
  <c r="AN160" i="8"/>
  <c r="AI160" i="8"/>
  <c r="AE160" i="8"/>
  <c r="E160" i="8" s="1"/>
  <c r="M160" i="8"/>
  <c r="Q160" i="8" s="1"/>
  <c r="N160" i="8"/>
  <c r="R160" i="8" s="1"/>
  <c r="AR278" i="8"/>
  <c r="K278" i="8" a="1"/>
  <c r="K278" i="8" s="1"/>
  <c r="J278" i="8" a="1"/>
  <c r="J278" i="8" s="1"/>
  <c r="D278" i="8" a="1"/>
  <c r="D278" i="8" s="1"/>
  <c r="B278" i="8" a="1"/>
  <c r="B278" i="8" s="1"/>
  <c r="AI164" i="5"/>
  <c r="AI176" i="5"/>
  <c r="Z3" i="8"/>
  <c r="AB3" i="8" s="1"/>
  <c r="AQ18" i="8" a="1"/>
  <c r="AQ18" i="8" s="1"/>
  <c r="AQ41" i="8" a="1"/>
  <c r="AQ41" i="8" s="1"/>
  <c r="D59" i="5" a="1"/>
  <c r="D59" i="5" s="1"/>
  <c r="E59" i="5" a="1"/>
  <c r="E59" i="5" s="1"/>
  <c r="T59" i="5" s="1"/>
  <c r="F59" i="5" a="1"/>
  <c r="F59" i="5" s="1"/>
  <c r="G59" i="5" a="1"/>
  <c r="G59" i="5" s="1"/>
  <c r="AI59" i="5" s="1"/>
  <c r="S59" i="5"/>
  <c r="M59" i="5"/>
  <c r="Q59" i="5"/>
  <c r="Y59" i="5"/>
  <c r="B42" i="8" a="1"/>
  <c r="B42" i="8" s="1"/>
  <c r="C42" i="8" a="1"/>
  <c r="C42" i="8" s="1"/>
  <c r="AE42" i="8"/>
  <c r="E42" i="8" s="1"/>
  <c r="J42" i="8" a="1"/>
  <c r="J42" i="8" s="1"/>
  <c r="K42" i="8" a="1"/>
  <c r="K42" i="8" s="1"/>
  <c r="O42" i="8" a="1"/>
  <c r="O42" i="8" s="1"/>
  <c r="AM42" i="8"/>
  <c r="W176" i="5"/>
  <c r="O176" i="5"/>
  <c r="K176" i="5"/>
  <c r="AM92" i="8"/>
  <c r="O92" i="8" a="1"/>
  <c r="O92" i="8" s="1"/>
  <c r="K92" i="8" a="1"/>
  <c r="K92" i="8" s="1"/>
  <c r="J92" i="8" a="1"/>
  <c r="J92" i="8" s="1"/>
  <c r="C92" i="8" a="1"/>
  <c r="C92" i="8" s="1"/>
  <c r="B92" i="8" a="1"/>
  <c r="B92" i="8" s="1"/>
  <c r="AD13" i="8"/>
  <c r="AM454" i="8"/>
  <c r="AK454" i="8"/>
  <c r="AJ454" i="8"/>
  <c r="AI454" i="8"/>
  <c r="AE454" i="8"/>
  <c r="O454" i="8" a="1"/>
  <c r="O454" i="8" s="1"/>
  <c r="L454" i="8" a="1"/>
  <c r="L454" i="8" s="1"/>
  <c r="K454" i="8" a="1"/>
  <c r="K454" i="8" s="1"/>
  <c r="J454" i="8" a="1"/>
  <c r="J454" i="8" s="1"/>
  <c r="D454" i="8" a="1"/>
  <c r="D454" i="8" s="1"/>
  <c r="C454" i="8" a="1"/>
  <c r="C454" i="8" s="1"/>
  <c r="B454" i="8" a="1"/>
  <c r="B454" i="8" s="1"/>
  <c r="AM453" i="8"/>
  <c r="AK453" i="8"/>
  <c r="AJ453" i="8"/>
  <c r="AI453" i="8"/>
  <c r="AE453" i="8"/>
  <c r="O453" i="8" a="1"/>
  <c r="O453" i="8" s="1"/>
  <c r="L453" i="8" a="1"/>
  <c r="L453" i="8" s="1"/>
  <c r="K453" i="8" a="1"/>
  <c r="K453" i="8" s="1"/>
  <c r="J453" i="8" a="1"/>
  <c r="J453" i="8" s="1"/>
  <c r="D453" i="8" a="1"/>
  <c r="D453" i="8" s="1"/>
  <c r="C453" i="8" a="1"/>
  <c r="C453" i="8" s="1"/>
  <c r="B453" i="8" a="1"/>
  <c r="B453" i="8" s="1"/>
  <c r="AM452" i="8"/>
  <c r="AK452" i="8"/>
  <c r="AJ452" i="8"/>
  <c r="AI452" i="8"/>
  <c r="AE452" i="8"/>
  <c r="O452" i="8" a="1"/>
  <c r="O452" i="8" s="1"/>
  <c r="L452" i="8" a="1"/>
  <c r="L452" i="8" s="1"/>
  <c r="K452" i="8" a="1"/>
  <c r="K452" i="8" s="1"/>
  <c r="J452" i="8" a="1"/>
  <c r="J452" i="8" s="1"/>
  <c r="D452" i="8" a="1"/>
  <c r="D452" i="8" s="1"/>
  <c r="C452" i="8" a="1"/>
  <c r="C452" i="8" s="1"/>
  <c r="B452" i="8" a="1"/>
  <c r="B452" i="8" s="1"/>
  <c r="AM451" i="8"/>
  <c r="AK451" i="8"/>
  <c r="AJ451" i="8"/>
  <c r="AI451" i="8"/>
  <c r="AE451" i="8"/>
  <c r="O451" i="8" a="1"/>
  <c r="O451" i="8" s="1"/>
  <c r="L451" i="8" a="1"/>
  <c r="L451" i="8" s="1"/>
  <c r="K451" i="8" a="1"/>
  <c r="K451" i="8" s="1"/>
  <c r="J451" i="8" a="1"/>
  <c r="J451" i="8" s="1"/>
  <c r="D451" i="8" a="1"/>
  <c r="D451" i="8" s="1"/>
  <c r="AN451" i="8" s="1"/>
  <c r="C451" i="8" a="1"/>
  <c r="C451" i="8" s="1"/>
  <c r="B451" i="8" a="1"/>
  <c r="B451" i="8" s="1"/>
  <c r="AM450" i="8"/>
  <c r="AK450" i="8"/>
  <c r="AJ450" i="8"/>
  <c r="AI450" i="8"/>
  <c r="AE450" i="8"/>
  <c r="O450" i="8" a="1"/>
  <c r="O450" i="8" s="1"/>
  <c r="L450" i="8" a="1"/>
  <c r="L450" i="8" s="1"/>
  <c r="K450" i="8" a="1"/>
  <c r="K450" i="8" s="1"/>
  <c r="J450" i="8" a="1"/>
  <c r="J450" i="8" s="1"/>
  <c r="D450" i="8" a="1"/>
  <c r="D450" i="8" s="1"/>
  <c r="C450" i="8" a="1"/>
  <c r="C450" i="8" s="1"/>
  <c r="B450" i="8" a="1"/>
  <c r="B450" i="8" s="1"/>
  <c r="AM449" i="8"/>
  <c r="AK449" i="8"/>
  <c r="AJ449" i="8"/>
  <c r="AI449" i="8"/>
  <c r="AE449" i="8"/>
  <c r="O449" i="8" a="1"/>
  <c r="O449" i="8" s="1"/>
  <c r="L449" i="8" a="1"/>
  <c r="L449" i="8" s="1"/>
  <c r="N449" i="8" s="1"/>
  <c r="K449" i="8" a="1"/>
  <c r="K449" i="8" s="1"/>
  <c r="J449" i="8" a="1"/>
  <c r="J449" i="8" s="1"/>
  <c r="D449" i="8" a="1"/>
  <c r="D449" i="8" s="1"/>
  <c r="AN449" i="8" s="1"/>
  <c r="C449" i="8" a="1"/>
  <c r="C449" i="8" s="1"/>
  <c r="B449" i="8" a="1"/>
  <c r="B449" i="8" s="1"/>
  <c r="AM448" i="8"/>
  <c r="AK448" i="8"/>
  <c r="AJ448" i="8"/>
  <c r="AI448" i="8"/>
  <c r="AE448" i="8"/>
  <c r="O448" i="8" a="1"/>
  <c r="O448" i="8" s="1"/>
  <c r="L448" i="8" a="1"/>
  <c r="L448" i="8" s="1"/>
  <c r="K448" i="8" a="1"/>
  <c r="K448" i="8" s="1"/>
  <c r="J448" i="8" a="1"/>
  <c r="J448" i="8" s="1"/>
  <c r="D448" i="8" a="1"/>
  <c r="D448" i="8" s="1"/>
  <c r="C448" i="8" a="1"/>
  <c r="C448" i="8" s="1"/>
  <c r="B448" i="8" a="1"/>
  <c r="B448" i="8" s="1"/>
  <c r="AM447" i="8"/>
  <c r="AK447" i="8"/>
  <c r="AJ447" i="8"/>
  <c r="AI447" i="8"/>
  <c r="AE447" i="8"/>
  <c r="O447" i="8" a="1"/>
  <c r="O447" i="8" s="1"/>
  <c r="L447" i="8" a="1"/>
  <c r="L447" i="8" s="1"/>
  <c r="K447" i="8" a="1"/>
  <c r="K447" i="8" s="1"/>
  <c r="J447" i="8" a="1"/>
  <c r="J447" i="8" s="1"/>
  <c r="D447" i="8" a="1"/>
  <c r="D447" i="8" s="1"/>
  <c r="C447" i="8" a="1"/>
  <c r="C447" i="8" s="1"/>
  <c r="B447" i="8" a="1"/>
  <c r="B447" i="8" s="1"/>
  <c r="AM446" i="8"/>
  <c r="AK446" i="8"/>
  <c r="AJ446" i="8"/>
  <c r="AI446" i="8"/>
  <c r="AE446" i="8"/>
  <c r="O446" i="8" a="1"/>
  <c r="O446" i="8" s="1"/>
  <c r="L446" i="8" a="1"/>
  <c r="L446" i="8" s="1"/>
  <c r="K446" i="8" a="1"/>
  <c r="K446" i="8" s="1"/>
  <c r="J446" i="8" a="1"/>
  <c r="J446" i="8" s="1"/>
  <c r="D446" i="8" a="1"/>
  <c r="D446" i="8" s="1"/>
  <c r="C446" i="8" a="1"/>
  <c r="C446" i="8" s="1"/>
  <c r="B446" i="8" a="1"/>
  <c r="B446" i="8" s="1"/>
  <c r="AM445" i="8"/>
  <c r="AK445" i="8"/>
  <c r="AJ445" i="8"/>
  <c r="AI445" i="8"/>
  <c r="AE445" i="8"/>
  <c r="O445" i="8" a="1"/>
  <c r="O445" i="8" s="1"/>
  <c r="L445" i="8" a="1"/>
  <c r="L445" i="8" s="1"/>
  <c r="K445" i="8" a="1"/>
  <c r="K445" i="8" s="1"/>
  <c r="J445" i="8" a="1"/>
  <c r="J445" i="8" s="1"/>
  <c r="D445" i="8" a="1"/>
  <c r="D445" i="8" s="1"/>
  <c r="C445" i="8" a="1"/>
  <c r="C445" i="8" s="1"/>
  <c r="B445" i="8" a="1"/>
  <c r="B445" i="8" s="1"/>
  <c r="AM444" i="8"/>
  <c r="AK444" i="8"/>
  <c r="AJ444" i="8"/>
  <c r="AI444" i="8"/>
  <c r="AE444" i="8"/>
  <c r="O444" i="8" a="1"/>
  <c r="O444" i="8" s="1"/>
  <c r="L444" i="8" a="1"/>
  <c r="L444" i="8" s="1"/>
  <c r="K444" i="8" a="1"/>
  <c r="K444" i="8" s="1"/>
  <c r="J444" i="8" a="1"/>
  <c r="J444" i="8" s="1"/>
  <c r="D444" i="8" a="1"/>
  <c r="D444" i="8" s="1"/>
  <c r="C444" i="8" a="1"/>
  <c r="C444" i="8" s="1"/>
  <c r="B444" i="8" a="1"/>
  <c r="B444" i="8" s="1"/>
  <c r="AM443" i="8"/>
  <c r="AK443" i="8"/>
  <c r="AJ443" i="8"/>
  <c r="AI443" i="8"/>
  <c r="AE443" i="8"/>
  <c r="O443" i="8" a="1"/>
  <c r="O443" i="8" s="1"/>
  <c r="L443" i="8" a="1"/>
  <c r="L443" i="8" s="1"/>
  <c r="K443" i="8" a="1"/>
  <c r="K443" i="8" s="1"/>
  <c r="J443" i="8" a="1"/>
  <c r="J443" i="8" s="1"/>
  <c r="D443" i="8" a="1"/>
  <c r="D443" i="8" s="1"/>
  <c r="AN443" i="8" s="1"/>
  <c r="C443" i="8" a="1"/>
  <c r="C443" i="8" s="1"/>
  <c r="B443" i="8" a="1"/>
  <c r="B443" i="8" s="1"/>
  <c r="O215" i="5"/>
  <c r="K215" i="5"/>
  <c r="D60" i="5" a="1"/>
  <c r="D60" i="5" s="1"/>
  <c r="E60" i="5" a="1"/>
  <c r="E60" i="5" s="1"/>
  <c r="T60" i="5" s="1"/>
  <c r="F60" i="5" a="1"/>
  <c r="F60" i="5" s="1"/>
  <c r="G60" i="5" a="1"/>
  <c r="G60" i="5" s="1"/>
  <c r="AI60" i="5" s="1"/>
  <c r="M60" i="5"/>
  <c r="Q60" i="5"/>
  <c r="S60" i="5"/>
  <c r="Y60" i="5"/>
  <c r="O126" i="5"/>
  <c r="K126" i="5"/>
  <c r="D148" i="5" a="1"/>
  <c r="D148" i="5" s="1"/>
  <c r="E148" i="5" a="1"/>
  <c r="E148" i="5" s="1"/>
  <c r="T148" i="5" s="1"/>
  <c r="F148" i="5" a="1"/>
  <c r="F148" i="5" s="1"/>
  <c r="G148" i="5" a="1"/>
  <c r="G148" i="5" s="1"/>
  <c r="AI148" i="5" s="1"/>
  <c r="M148" i="5"/>
  <c r="Q148" i="5"/>
  <c r="S148" i="5"/>
  <c r="Y148" i="5"/>
  <c r="O56" i="5"/>
  <c r="K56" i="5"/>
  <c r="AM111" i="8"/>
  <c r="O111" i="8" a="1"/>
  <c r="O111" i="8" s="1"/>
  <c r="K111" i="8" a="1"/>
  <c r="K111" i="8" s="1"/>
  <c r="J111" i="8" a="1"/>
  <c r="J111" i="8" s="1"/>
  <c r="C111" i="8" a="1"/>
  <c r="C111" i="8" s="1"/>
  <c r="B111" i="8" a="1"/>
  <c r="B111" i="8" s="1"/>
  <c r="Y84" i="5"/>
  <c r="S84" i="5"/>
  <c r="Q84" i="5"/>
  <c r="M84" i="5"/>
  <c r="G84" i="5" a="1"/>
  <c r="G84" i="5" s="1"/>
  <c r="AI84" i="5" s="1"/>
  <c r="F84" i="5" a="1"/>
  <c r="F84" i="5" s="1"/>
  <c r="E84" i="5" a="1"/>
  <c r="E84" i="5" s="1"/>
  <c r="T84" i="5" s="1"/>
  <c r="D84" i="5" a="1"/>
  <c r="D84" i="5" s="1"/>
  <c r="AM31" i="8"/>
  <c r="O31" i="8" a="1"/>
  <c r="O31" i="8" s="1"/>
  <c r="L31" i="8" a="1"/>
  <c r="L31" i="8" s="1"/>
  <c r="K31" i="8" a="1"/>
  <c r="K31" i="8" s="1"/>
  <c r="J31" i="8" a="1"/>
  <c r="J31" i="8" s="1"/>
  <c r="C31" i="8" a="1"/>
  <c r="C31" i="8" s="1"/>
  <c r="B31" i="8" a="1"/>
  <c r="B31" i="8" s="1"/>
  <c r="D275" i="5" a="1"/>
  <c r="D275" i="5" s="1"/>
  <c r="E275" i="5" a="1"/>
  <c r="E275" i="5" s="1"/>
  <c r="F275" i="5" a="1"/>
  <c r="F275" i="5" s="1"/>
  <c r="G275" i="5" a="1"/>
  <c r="G275" i="5" s="1"/>
  <c r="AI275" i="5" s="1"/>
  <c r="M275" i="5"/>
  <c r="S275" i="5"/>
  <c r="AM25" i="8"/>
  <c r="O25" i="8" a="1"/>
  <c r="O25" i="8" s="1"/>
  <c r="L25" i="8" a="1"/>
  <c r="L25" i="8" s="1"/>
  <c r="K25" i="8" a="1"/>
  <c r="K25" i="8" s="1"/>
  <c r="J25" i="8" a="1"/>
  <c r="J25" i="8" s="1"/>
  <c r="AG25" i="8"/>
  <c r="H25" i="8" s="1"/>
  <c r="C25" i="8" a="1"/>
  <c r="C25" i="8" s="1"/>
  <c r="B25" i="8" a="1"/>
  <c r="B25" i="8" s="1"/>
  <c r="I57" i="4"/>
  <c r="D104" i="5" a="1"/>
  <c r="D104" i="5" s="1"/>
  <c r="E104" i="5" a="1"/>
  <c r="E104" i="5" s="1"/>
  <c r="T104" i="5" s="1"/>
  <c r="F104" i="5" a="1"/>
  <c r="F104" i="5" s="1"/>
  <c r="G104" i="5" a="1"/>
  <c r="G104" i="5" s="1"/>
  <c r="AI104" i="5" s="1"/>
  <c r="M104" i="5"/>
  <c r="Q104" i="5"/>
  <c r="S104" i="5"/>
  <c r="Y104" i="5"/>
  <c r="AR277" i="8"/>
  <c r="Z277" i="8"/>
  <c r="AH277" i="8"/>
  <c r="AF277" i="8"/>
  <c r="L277" i="8" a="1"/>
  <c r="L277" i="8" s="1"/>
  <c r="O277" i="8" a="1"/>
  <c r="O277" i="8" s="1"/>
  <c r="K277" i="8" a="1"/>
  <c r="K277" i="8" s="1"/>
  <c r="J277" i="8" a="1"/>
  <c r="J277" i="8" s="1"/>
  <c r="D277" i="8" a="1"/>
  <c r="D277" i="8" s="1"/>
  <c r="B277" i="8" a="1"/>
  <c r="B277" i="8" s="1"/>
  <c r="AR276" i="8"/>
  <c r="L276" i="8" a="1"/>
  <c r="L276" i="8" s="1"/>
  <c r="O276" i="8" a="1"/>
  <c r="O276" i="8" s="1"/>
  <c r="AG276" i="8"/>
  <c r="K276" i="8" a="1"/>
  <c r="K276" i="8" s="1"/>
  <c r="J276" i="8" a="1"/>
  <c r="J276" i="8" s="1"/>
  <c r="D276" i="8" a="1"/>
  <c r="D276" i="8" s="1"/>
  <c r="B276" i="8" a="1"/>
  <c r="B276" i="8" s="1"/>
  <c r="I57" i="8" l="1"/>
  <c r="AD57" i="8"/>
  <c r="I41" i="8"/>
  <c r="AK154" i="8"/>
  <c r="AH177" i="8"/>
  <c r="AC177" i="8"/>
  <c r="AD177" i="8" s="1"/>
  <c r="AJ277" i="8"/>
  <c r="AM277" i="8"/>
  <c r="AA150" i="8"/>
  <c r="AB218" i="5"/>
  <c r="AB33" i="5"/>
  <c r="AB43" i="5"/>
  <c r="AN277" i="8"/>
  <c r="AP278" i="8"/>
  <c r="AQ278" i="8" s="1"/>
  <c r="AN278" i="8"/>
  <c r="AP276" i="8"/>
  <c r="AQ276" i="8" s="1"/>
  <c r="AN276" i="8"/>
  <c r="AG41" i="8"/>
  <c r="H41" i="8" s="1"/>
  <c r="AA41" i="8"/>
  <c r="AU41" i="8" s="1"/>
  <c r="AH61" i="8"/>
  <c r="Z177" i="8"/>
  <c r="AJ177" i="8" s="1"/>
  <c r="AH145" i="8"/>
  <c r="R101" i="8"/>
  <c r="Q101" i="8"/>
  <c r="O6" i="12"/>
  <c r="AT280" i="8"/>
  <c r="R278" i="8"/>
  <c r="Q278" i="8"/>
  <c r="AT279" i="8"/>
  <c r="U84" i="5"/>
  <c r="AD84" i="5" s="1"/>
  <c r="AS278" i="8"/>
  <c r="AI278" i="8"/>
  <c r="AG278" i="8"/>
  <c r="AE278" i="8"/>
  <c r="AC3" i="8"/>
  <c r="U59" i="5"/>
  <c r="AD59" i="5" s="1"/>
  <c r="V59" i="5"/>
  <c r="N59" i="5"/>
  <c r="AK42" i="8"/>
  <c r="G42" i="8" s="1"/>
  <c r="AJ42" i="8"/>
  <c r="F42" i="8" s="1"/>
  <c r="AI42" i="8"/>
  <c r="N42" i="8"/>
  <c r="M42" i="8"/>
  <c r="AN42" i="8"/>
  <c r="AN92" i="8"/>
  <c r="G92" i="8"/>
  <c r="F92" i="8"/>
  <c r="AI92" i="8"/>
  <c r="AE92" i="8"/>
  <c r="E92" i="8" s="1"/>
  <c r="M92" i="8"/>
  <c r="Q92" i="8" s="1"/>
  <c r="N92" i="8"/>
  <c r="R92" i="8" s="1"/>
  <c r="R449" i="8"/>
  <c r="AN453" i="8"/>
  <c r="AG453" i="8"/>
  <c r="AN454" i="8"/>
  <c r="AG454" i="8"/>
  <c r="N453" i="8"/>
  <c r="R453" i="8" s="1"/>
  <c r="M453" i="8"/>
  <c r="Q453" i="8" s="1"/>
  <c r="M454" i="8"/>
  <c r="Q454" i="8" s="1"/>
  <c r="N454" i="8"/>
  <c r="R454" i="8" s="1"/>
  <c r="AG448" i="8"/>
  <c r="AN448" i="8"/>
  <c r="N448" i="8"/>
  <c r="R448" i="8" s="1"/>
  <c r="M448" i="8"/>
  <c r="Q448" i="8" s="1"/>
  <c r="N451" i="8"/>
  <c r="R451" i="8" s="1"/>
  <c r="M451" i="8"/>
  <c r="Q451" i="8" s="1"/>
  <c r="N447" i="8"/>
  <c r="R447" i="8" s="1"/>
  <c r="M447" i="8"/>
  <c r="Q447" i="8" s="1"/>
  <c r="AN452" i="8"/>
  <c r="AG452" i="8"/>
  <c r="M452" i="8"/>
  <c r="Q452" i="8" s="1"/>
  <c r="N452" i="8"/>
  <c r="R452" i="8" s="1"/>
  <c r="AN450" i="8"/>
  <c r="AG450" i="8"/>
  <c r="AG447" i="8"/>
  <c r="AN447" i="8"/>
  <c r="N450" i="8"/>
  <c r="R450" i="8" s="1"/>
  <c r="M450" i="8"/>
  <c r="Q450" i="8" s="1"/>
  <c r="AG449" i="8"/>
  <c r="AG451" i="8"/>
  <c r="M449" i="8"/>
  <c r="Q449" i="8" s="1"/>
  <c r="M445" i="8"/>
  <c r="Q445" i="8" s="1"/>
  <c r="N445" i="8"/>
  <c r="R445" i="8" s="1"/>
  <c r="AN446" i="8"/>
  <c r="AG446" i="8"/>
  <c r="M446" i="8"/>
  <c r="Q446" i="8" s="1"/>
  <c r="N446" i="8"/>
  <c r="R446" i="8" s="1"/>
  <c r="AN444" i="8"/>
  <c r="AG444" i="8"/>
  <c r="N443" i="8"/>
  <c r="R443" i="8" s="1"/>
  <c r="M443" i="8"/>
  <c r="Q443" i="8" s="1"/>
  <c r="AN445" i="8"/>
  <c r="AG445" i="8"/>
  <c r="N444" i="8"/>
  <c r="R444" i="8" s="1"/>
  <c r="M444" i="8"/>
  <c r="Q444" i="8" s="1"/>
  <c r="AG443" i="8"/>
  <c r="U60" i="5"/>
  <c r="AD60" i="5" s="1"/>
  <c r="N60" i="5"/>
  <c r="V60" i="5"/>
  <c r="U148" i="5"/>
  <c r="AD148" i="5" s="1"/>
  <c r="V148" i="5"/>
  <c r="N148" i="5"/>
  <c r="AN111" i="8"/>
  <c r="M111" i="8"/>
  <c r="Q111" i="8" s="1"/>
  <c r="N111" i="8"/>
  <c r="R111" i="8" s="1"/>
  <c r="N84" i="5"/>
  <c r="V84" i="5"/>
  <c r="AN31" i="8"/>
  <c r="M31" i="8"/>
  <c r="N31" i="8"/>
  <c r="V275" i="5"/>
  <c r="U275" i="5"/>
  <c r="AD275" i="5" s="1"/>
  <c r="N275" i="5"/>
  <c r="AN25" i="8"/>
  <c r="AI25" i="8"/>
  <c r="AK25" i="8"/>
  <c r="G25" i="8" s="1"/>
  <c r="AE25" i="8"/>
  <c r="E25" i="8" s="1"/>
  <c r="AJ25" i="8"/>
  <c r="F25" i="8" s="1"/>
  <c r="N25" i="8"/>
  <c r="R25" i="8" s="1"/>
  <c r="M25" i="8"/>
  <c r="Q25" i="8" s="1"/>
  <c r="AS277" i="8"/>
  <c r="U104" i="5"/>
  <c r="AD104" i="5" s="1"/>
  <c r="V104" i="5"/>
  <c r="N104" i="5"/>
  <c r="AG277" i="8"/>
  <c r="AP277" i="8"/>
  <c r="AQ277" i="8" s="1"/>
  <c r="AE277" i="8"/>
  <c r="AI277" i="8"/>
  <c r="M277" i="8"/>
  <c r="Q277" i="8" s="1"/>
  <c r="N277" i="8"/>
  <c r="R277" i="8" s="1"/>
  <c r="AS276" i="8"/>
  <c r="M276" i="8"/>
  <c r="Q276" i="8" s="1"/>
  <c r="N276" i="8"/>
  <c r="R276" i="8" s="1"/>
  <c r="AI276" i="8"/>
  <c r="AE276" i="8"/>
  <c r="AM442" i="8"/>
  <c r="AK442" i="8"/>
  <c r="AJ442" i="8"/>
  <c r="AI442" i="8"/>
  <c r="AE442" i="8"/>
  <c r="O442" i="8" a="1"/>
  <c r="O442" i="8" s="1"/>
  <c r="L442" i="8" a="1"/>
  <c r="L442" i="8" s="1"/>
  <c r="K442" i="8" a="1"/>
  <c r="K442" i="8" s="1"/>
  <c r="J442" i="8" a="1"/>
  <c r="J442" i="8" s="1"/>
  <c r="D442" i="8" a="1"/>
  <c r="D442" i="8" s="1"/>
  <c r="C442" i="8" a="1"/>
  <c r="C442" i="8" s="1"/>
  <c r="B442" i="8" a="1"/>
  <c r="B442" i="8" s="1"/>
  <c r="AM441" i="8"/>
  <c r="AK441" i="8"/>
  <c r="AJ441" i="8"/>
  <c r="AI441" i="8"/>
  <c r="AE441" i="8"/>
  <c r="O441" i="8" a="1"/>
  <c r="O441" i="8" s="1"/>
  <c r="L441" i="8" a="1"/>
  <c r="L441" i="8" s="1"/>
  <c r="N441" i="8" s="1"/>
  <c r="K441" i="8" a="1"/>
  <c r="K441" i="8" s="1"/>
  <c r="J441" i="8" a="1"/>
  <c r="J441" i="8" s="1"/>
  <c r="D441" i="8" a="1"/>
  <c r="D441" i="8" s="1"/>
  <c r="C441" i="8" a="1"/>
  <c r="C441" i="8" s="1"/>
  <c r="B441" i="8" a="1"/>
  <c r="B441" i="8" s="1"/>
  <c r="AM440" i="8"/>
  <c r="AK440" i="8"/>
  <c r="AJ440" i="8"/>
  <c r="AI440" i="8"/>
  <c r="AE440" i="8"/>
  <c r="O440" i="8" a="1"/>
  <c r="O440" i="8" s="1"/>
  <c r="L440" i="8" a="1"/>
  <c r="L440" i="8" s="1"/>
  <c r="N440" i="8" s="1"/>
  <c r="K440" i="8" a="1"/>
  <c r="K440" i="8" s="1"/>
  <c r="J440" i="8" a="1"/>
  <c r="J440" i="8" s="1"/>
  <c r="D440" i="8" a="1"/>
  <c r="D440" i="8" s="1"/>
  <c r="C440" i="8" a="1"/>
  <c r="C440" i="8" s="1"/>
  <c r="B440" i="8" a="1"/>
  <c r="B440" i="8" s="1"/>
  <c r="AM439" i="8"/>
  <c r="AK439" i="8"/>
  <c r="AJ439" i="8"/>
  <c r="AI439" i="8"/>
  <c r="AE439" i="8"/>
  <c r="O439" i="8" a="1"/>
  <c r="O439" i="8" s="1"/>
  <c r="L439" i="8" a="1"/>
  <c r="L439" i="8" s="1"/>
  <c r="K439" i="8" a="1"/>
  <c r="K439" i="8" s="1"/>
  <c r="J439" i="8" a="1"/>
  <c r="J439" i="8" s="1"/>
  <c r="D439" i="8" a="1"/>
  <c r="D439" i="8" s="1"/>
  <c r="AN439" i="8" s="1"/>
  <c r="C439" i="8" a="1"/>
  <c r="C439" i="8" s="1"/>
  <c r="B439" i="8" a="1"/>
  <c r="B439" i="8" s="1"/>
  <c r="AM438" i="8"/>
  <c r="AK438" i="8"/>
  <c r="AJ438" i="8"/>
  <c r="AI438" i="8"/>
  <c r="AE438" i="8"/>
  <c r="O438" i="8" a="1"/>
  <c r="O438" i="8" s="1"/>
  <c r="L438" i="8" a="1"/>
  <c r="L438" i="8" s="1"/>
  <c r="K438" i="8" a="1"/>
  <c r="K438" i="8" s="1"/>
  <c r="J438" i="8" a="1"/>
  <c r="J438" i="8" s="1"/>
  <c r="D438" i="8" a="1"/>
  <c r="D438" i="8" s="1"/>
  <c r="AN438" i="8" s="1"/>
  <c r="C438" i="8" a="1"/>
  <c r="C438" i="8" s="1"/>
  <c r="B438" i="8" a="1"/>
  <c r="B438" i="8" s="1"/>
  <c r="AM437" i="8"/>
  <c r="AK437" i="8"/>
  <c r="AJ437" i="8"/>
  <c r="AI437" i="8"/>
  <c r="AE437" i="8"/>
  <c r="O437" i="8" a="1"/>
  <c r="O437" i="8" s="1"/>
  <c r="L437" i="8" a="1"/>
  <c r="L437" i="8" s="1"/>
  <c r="K437" i="8" a="1"/>
  <c r="K437" i="8" s="1"/>
  <c r="J437" i="8" a="1"/>
  <c r="J437" i="8" s="1"/>
  <c r="D437" i="8" a="1"/>
  <c r="D437" i="8" s="1"/>
  <c r="C437" i="8" a="1"/>
  <c r="C437" i="8" s="1"/>
  <c r="B437" i="8" a="1"/>
  <c r="B437" i="8" s="1"/>
  <c r="AM436" i="8"/>
  <c r="AK436" i="8"/>
  <c r="AJ436" i="8"/>
  <c r="AI436" i="8"/>
  <c r="AE436" i="8"/>
  <c r="O436" i="8" a="1"/>
  <c r="O436" i="8" s="1"/>
  <c r="L436" i="8" a="1"/>
  <c r="L436" i="8" s="1"/>
  <c r="N436" i="8" s="1"/>
  <c r="K436" i="8" a="1"/>
  <c r="K436" i="8" s="1"/>
  <c r="J436" i="8" a="1"/>
  <c r="J436" i="8" s="1"/>
  <c r="D436" i="8" a="1"/>
  <c r="D436" i="8" s="1"/>
  <c r="C436" i="8" a="1"/>
  <c r="C436" i="8" s="1"/>
  <c r="B436" i="8" a="1"/>
  <c r="B436" i="8" s="1"/>
  <c r="AM435" i="8"/>
  <c r="AK435" i="8"/>
  <c r="AJ435" i="8"/>
  <c r="AI435" i="8"/>
  <c r="AE435" i="8"/>
  <c r="O435" i="8" a="1"/>
  <c r="O435" i="8" s="1"/>
  <c r="L435" i="8" a="1"/>
  <c r="L435" i="8" s="1"/>
  <c r="K435" i="8" a="1"/>
  <c r="K435" i="8" s="1"/>
  <c r="J435" i="8" a="1"/>
  <c r="J435" i="8" s="1"/>
  <c r="D435" i="8" a="1"/>
  <c r="D435" i="8" s="1"/>
  <c r="AG435" i="8" s="1"/>
  <c r="C435" i="8" a="1"/>
  <c r="C435" i="8" s="1"/>
  <c r="B435" i="8" a="1"/>
  <c r="B435" i="8" s="1"/>
  <c r="D249" i="5" a="1"/>
  <c r="D249" i="5" s="1"/>
  <c r="E249" i="5" a="1"/>
  <c r="E249" i="5" s="1"/>
  <c r="T249" i="5" s="1"/>
  <c r="G249" i="5" a="1"/>
  <c r="G249" i="5" s="1"/>
  <c r="AI249" i="5" s="1"/>
  <c r="M249" i="5"/>
  <c r="Q249" i="5"/>
  <c r="S249" i="5"/>
  <c r="Y249" i="5"/>
  <c r="AM49" i="8"/>
  <c r="O49" i="8" a="1"/>
  <c r="O49" i="8" s="1"/>
  <c r="K49" i="8" a="1"/>
  <c r="K49" i="8" s="1"/>
  <c r="J49" i="8" a="1"/>
  <c r="J49" i="8" s="1"/>
  <c r="C49" i="8" a="1"/>
  <c r="C49" i="8" s="1"/>
  <c r="B49" i="8" a="1"/>
  <c r="B49" i="8" s="1"/>
  <c r="D142" i="5" a="1"/>
  <c r="D142" i="5" s="1"/>
  <c r="E142" i="5" a="1"/>
  <c r="E142" i="5" s="1"/>
  <c r="T142" i="5" s="1"/>
  <c r="F142" i="5" a="1"/>
  <c r="F142" i="5" s="1"/>
  <c r="G142" i="5" a="1"/>
  <c r="G142" i="5" s="1"/>
  <c r="AI142" i="5" s="1"/>
  <c r="M142" i="5"/>
  <c r="Q142" i="5"/>
  <c r="S142" i="5"/>
  <c r="W142" i="5"/>
  <c r="Y142" i="5"/>
  <c r="B35" i="8" a="1"/>
  <c r="B35" i="8" s="1"/>
  <c r="C35" i="8" a="1"/>
  <c r="C35" i="8" s="1"/>
  <c r="J35" i="8" a="1"/>
  <c r="J35" i="8" s="1"/>
  <c r="K35" i="8" a="1"/>
  <c r="K35" i="8" s="1"/>
  <c r="O35" i="8" a="1"/>
  <c r="O35" i="8" s="1"/>
  <c r="AM35" i="8"/>
  <c r="AR275" i="8"/>
  <c r="AC275" i="8"/>
  <c r="AD275" i="8" s="1"/>
  <c r="Z275" i="8"/>
  <c r="L275" i="8" a="1"/>
  <c r="L275" i="8" s="1"/>
  <c r="O275" i="8" a="1"/>
  <c r="O275" i="8" s="1"/>
  <c r="K275" i="8" a="1"/>
  <c r="K275" i="8" s="1"/>
  <c r="J275" i="8" a="1"/>
  <c r="J275" i="8" s="1"/>
  <c r="D275" i="8" a="1"/>
  <c r="D275" i="8" s="1"/>
  <c r="B275" i="8" a="1"/>
  <c r="B275" i="8" s="1"/>
  <c r="AR274" i="8"/>
  <c r="L274" i="8" a="1"/>
  <c r="L274" i="8" s="1"/>
  <c r="O274" i="8" a="1"/>
  <c r="O274" i="8" s="1"/>
  <c r="AG274" i="8"/>
  <c r="K274" i="8" a="1"/>
  <c r="K274" i="8" s="1"/>
  <c r="J274" i="8" a="1"/>
  <c r="J274" i="8" s="1"/>
  <c r="D274" i="8" a="1"/>
  <c r="D274" i="8" s="1"/>
  <c r="B274" i="8" a="1"/>
  <c r="B274" i="8" s="1"/>
  <c r="D25" i="5" a="1"/>
  <c r="D25" i="5" s="1"/>
  <c r="E25" i="5" a="1"/>
  <c r="E25" i="5" s="1"/>
  <c r="T25" i="5" s="1"/>
  <c r="F25" i="5" a="1"/>
  <c r="F25" i="5" s="1"/>
  <c r="G25" i="5" a="1"/>
  <c r="G25" i="5" s="1"/>
  <c r="AI25" i="5" s="1"/>
  <c r="S25" i="5"/>
  <c r="M25" i="5"/>
  <c r="Q25" i="5"/>
  <c r="Y25" i="5"/>
  <c r="B16" i="8" a="1"/>
  <c r="B16" i="8" s="1"/>
  <c r="C16" i="8" a="1"/>
  <c r="C16" i="8" s="1"/>
  <c r="J16" i="8" a="1"/>
  <c r="J16" i="8" s="1"/>
  <c r="K16" i="8" a="1"/>
  <c r="K16" i="8" s="1"/>
  <c r="L16" i="8" a="1"/>
  <c r="L16" i="8" s="1"/>
  <c r="O16" i="8" a="1"/>
  <c r="O16" i="8" s="1"/>
  <c r="AM16" i="8"/>
  <c r="B22" i="8" a="1"/>
  <c r="B22" i="8" s="1"/>
  <c r="C22" i="8" a="1"/>
  <c r="C22" i="8" s="1"/>
  <c r="AG22" i="8"/>
  <c r="H22" i="8" s="1"/>
  <c r="J22" i="8" a="1"/>
  <c r="J22" i="8" s="1"/>
  <c r="K22" i="8" a="1"/>
  <c r="K22" i="8" s="1"/>
  <c r="L22" i="8" a="1"/>
  <c r="L22" i="8" s="1"/>
  <c r="O22" i="8" a="1"/>
  <c r="O22" i="8" s="1"/>
  <c r="AM22" i="8"/>
  <c r="B117" i="8" a="1"/>
  <c r="B117" i="8" s="1"/>
  <c r="C117" i="8" a="1"/>
  <c r="C117" i="8" s="1"/>
  <c r="J117" i="8" a="1"/>
  <c r="J117" i="8" s="1"/>
  <c r="K117" i="8" a="1"/>
  <c r="K117" i="8" s="1"/>
  <c r="O117" i="8" a="1"/>
  <c r="O117" i="8" s="1"/>
  <c r="AM117" i="8"/>
  <c r="B153" i="8" a="1"/>
  <c r="B153" i="8" s="1"/>
  <c r="C153" i="8" a="1"/>
  <c r="C153" i="8" s="1"/>
  <c r="J153" i="8" a="1"/>
  <c r="J153" i="8" s="1"/>
  <c r="K153" i="8" a="1"/>
  <c r="K153" i="8" s="1"/>
  <c r="O153" i="8" a="1"/>
  <c r="O153" i="8" s="1"/>
  <c r="AH153" i="8"/>
  <c r="AM153" i="8"/>
  <c r="L26" i="8" a="1"/>
  <c r="L26" i="8" s="1"/>
  <c r="O26" i="8" a="1"/>
  <c r="O26" i="8" s="1"/>
  <c r="AM26" i="8"/>
  <c r="K26" i="8" a="1"/>
  <c r="K26" i="8" s="1"/>
  <c r="J26" i="8" a="1"/>
  <c r="J26" i="8" s="1"/>
  <c r="C26" i="8" a="1"/>
  <c r="C26" i="8" s="1"/>
  <c r="B26" i="8" a="1"/>
  <c r="B26" i="8" s="1"/>
  <c r="D262" i="5" a="1"/>
  <c r="D262" i="5" s="1"/>
  <c r="E262" i="5" a="1"/>
  <c r="E262" i="5" s="1"/>
  <c r="F262" i="5" a="1"/>
  <c r="F262" i="5" s="1"/>
  <c r="G262" i="5" a="1"/>
  <c r="G262" i="5" s="1"/>
  <c r="AI262" i="5" s="1"/>
  <c r="M262" i="5"/>
  <c r="S262" i="5"/>
  <c r="AO225" i="8" s="1"/>
  <c r="AD82" i="8"/>
  <c r="AR273" i="8"/>
  <c r="L273" i="8" a="1"/>
  <c r="L273" i="8" s="1"/>
  <c r="O273" i="8" a="1"/>
  <c r="O273" i="8" s="1"/>
  <c r="AH273" i="8"/>
  <c r="AC273" i="8"/>
  <c r="AD273" i="8" s="1"/>
  <c r="Z273" i="8"/>
  <c r="Y273" i="8"/>
  <c r="K273" i="8" a="1"/>
  <c r="K273" i="8" s="1"/>
  <c r="J273" i="8" a="1"/>
  <c r="J273" i="8" s="1"/>
  <c r="D273" i="8" a="1"/>
  <c r="D273" i="8" s="1"/>
  <c r="B273" i="8" a="1"/>
  <c r="B273" i="8" s="1"/>
  <c r="AM85" i="8"/>
  <c r="O85" i="8" a="1"/>
  <c r="O85" i="8" s="1"/>
  <c r="K85" i="8" a="1"/>
  <c r="K85" i="8" s="1"/>
  <c r="J85" i="8" a="1"/>
  <c r="J85" i="8" s="1"/>
  <c r="C85" i="8" a="1"/>
  <c r="C85" i="8" s="1"/>
  <c r="B85" i="8" a="1"/>
  <c r="B85" i="8" s="1"/>
  <c r="D48" i="5" a="1"/>
  <c r="D48" i="5" s="1"/>
  <c r="E48" i="5" a="1"/>
  <c r="E48" i="5" s="1"/>
  <c r="T48" i="5" s="1"/>
  <c r="F48" i="5" a="1"/>
  <c r="F48" i="5" s="1"/>
  <c r="G48" i="5" a="1"/>
  <c r="G48" i="5" s="1"/>
  <c r="AI48" i="5" s="1"/>
  <c r="M48" i="5"/>
  <c r="Q48" i="5"/>
  <c r="S48" i="5"/>
  <c r="Y48" i="5"/>
  <c r="AM13" i="8"/>
  <c r="O13" i="8" a="1"/>
  <c r="O13" i="8" s="1"/>
  <c r="L13" i="8" a="1"/>
  <c r="L13" i="8" s="1"/>
  <c r="K13" i="8" a="1"/>
  <c r="K13" i="8" s="1"/>
  <c r="J13" i="8" a="1"/>
  <c r="J13" i="8" s="1"/>
  <c r="AG13" i="8"/>
  <c r="H13" i="8" s="1"/>
  <c r="C13" i="8" a="1"/>
  <c r="C13" i="8" s="1"/>
  <c r="B13" i="8" a="1"/>
  <c r="B13" i="8" s="1"/>
  <c r="AM434" i="8"/>
  <c r="AK434" i="8"/>
  <c r="AJ434" i="8"/>
  <c r="AI434" i="8"/>
  <c r="AE434" i="8"/>
  <c r="O434" i="8" a="1"/>
  <c r="O434" i="8" s="1"/>
  <c r="L434" i="8" a="1"/>
  <c r="L434" i="8" s="1"/>
  <c r="K434" i="8" a="1"/>
  <c r="K434" i="8" s="1"/>
  <c r="J434" i="8" a="1"/>
  <c r="J434" i="8" s="1"/>
  <c r="D434" i="8" a="1"/>
  <c r="D434" i="8" s="1"/>
  <c r="C434" i="8" a="1"/>
  <c r="C434" i="8" s="1"/>
  <c r="B434" i="8" a="1"/>
  <c r="B434" i="8" s="1"/>
  <c r="AM433" i="8"/>
  <c r="AK433" i="8"/>
  <c r="AJ433" i="8"/>
  <c r="AI433" i="8"/>
  <c r="AE433" i="8"/>
  <c r="O433" i="8" a="1"/>
  <c r="O433" i="8" s="1"/>
  <c r="L433" i="8" a="1"/>
  <c r="L433" i="8" s="1"/>
  <c r="K433" i="8" a="1"/>
  <c r="K433" i="8" s="1"/>
  <c r="J433" i="8" a="1"/>
  <c r="J433" i="8" s="1"/>
  <c r="D433" i="8" a="1"/>
  <c r="D433" i="8" s="1"/>
  <c r="AN433" i="8" s="1"/>
  <c r="C433" i="8" a="1"/>
  <c r="C433" i="8" s="1"/>
  <c r="B433" i="8" a="1"/>
  <c r="B433" i="8" s="1"/>
  <c r="AM432" i="8"/>
  <c r="AK432" i="8"/>
  <c r="AJ432" i="8"/>
  <c r="AI432" i="8"/>
  <c r="AE432" i="8"/>
  <c r="O432" i="8" a="1"/>
  <c r="O432" i="8" s="1"/>
  <c r="L432" i="8" a="1"/>
  <c r="L432" i="8" s="1"/>
  <c r="K432" i="8" a="1"/>
  <c r="K432" i="8" s="1"/>
  <c r="J432" i="8" a="1"/>
  <c r="J432" i="8" s="1"/>
  <c r="D432" i="8" a="1"/>
  <c r="D432" i="8" s="1"/>
  <c r="C432" i="8" a="1"/>
  <c r="C432" i="8" s="1"/>
  <c r="B432" i="8" a="1"/>
  <c r="B432" i="8" s="1"/>
  <c r="AM431" i="8"/>
  <c r="AK431" i="8"/>
  <c r="AJ431" i="8"/>
  <c r="AI431" i="8"/>
  <c r="AE431" i="8"/>
  <c r="O431" i="8" a="1"/>
  <c r="O431" i="8" s="1"/>
  <c r="L431" i="8" a="1"/>
  <c r="L431" i="8" s="1"/>
  <c r="N431" i="8" s="1"/>
  <c r="K431" i="8" a="1"/>
  <c r="K431" i="8" s="1"/>
  <c r="J431" i="8" a="1"/>
  <c r="J431" i="8" s="1"/>
  <c r="D431" i="8" a="1"/>
  <c r="D431" i="8" s="1"/>
  <c r="AN431" i="8" s="1"/>
  <c r="C431" i="8" a="1"/>
  <c r="C431" i="8" s="1"/>
  <c r="B431" i="8" a="1"/>
  <c r="B431" i="8" s="1"/>
  <c r="AM430" i="8"/>
  <c r="AK430" i="8"/>
  <c r="AJ430" i="8"/>
  <c r="AI430" i="8"/>
  <c r="AE430" i="8"/>
  <c r="O430" i="8" a="1"/>
  <c r="O430" i="8" s="1"/>
  <c r="L430" i="8" a="1"/>
  <c r="L430" i="8" s="1"/>
  <c r="K430" i="8" a="1"/>
  <c r="K430" i="8" s="1"/>
  <c r="J430" i="8" a="1"/>
  <c r="J430" i="8" s="1"/>
  <c r="D430" i="8" a="1"/>
  <c r="D430" i="8" s="1"/>
  <c r="AN430" i="8" s="1"/>
  <c r="C430" i="8" a="1"/>
  <c r="C430" i="8" s="1"/>
  <c r="B430" i="8" a="1"/>
  <c r="B430" i="8" s="1"/>
  <c r="G201" i="5" a="1"/>
  <c r="G201" i="5" s="1"/>
  <c r="D201" i="5" a="1"/>
  <c r="D201" i="5" s="1"/>
  <c r="E201" i="5" a="1"/>
  <c r="E201" i="5" s="1"/>
  <c r="T201" i="5" s="1"/>
  <c r="M201" i="5"/>
  <c r="Q201" i="5"/>
  <c r="S201" i="5"/>
  <c r="Y201" i="5"/>
  <c r="AM29" i="8"/>
  <c r="O29" i="8" a="1"/>
  <c r="O29" i="8" s="1"/>
  <c r="K29" i="8" a="1"/>
  <c r="K29" i="8" s="1"/>
  <c r="J29" i="8" a="1"/>
  <c r="J29" i="8" s="1"/>
  <c r="C29" i="8" a="1"/>
  <c r="C29" i="8" s="1"/>
  <c r="B29" i="8" a="1"/>
  <c r="B29" i="8" s="1"/>
  <c r="I177" i="8" l="1"/>
  <c r="AU150" i="8"/>
  <c r="AK150" i="8"/>
  <c r="Y275" i="5"/>
  <c r="AS225" i="8"/>
  <c r="AQ225" i="8"/>
  <c r="AJ273" i="8"/>
  <c r="AM273" i="8"/>
  <c r="AJ275" i="8"/>
  <c r="AM275" i="8"/>
  <c r="AB84" i="5"/>
  <c r="AB60" i="5"/>
  <c r="AB148" i="5"/>
  <c r="AB59" i="5"/>
  <c r="AB275" i="5"/>
  <c r="AB104" i="5"/>
  <c r="AN275" i="8"/>
  <c r="AP273" i="8"/>
  <c r="AQ273" i="8" s="1"/>
  <c r="AN273" i="8"/>
  <c r="AP274" i="8"/>
  <c r="AQ274" i="8" s="1"/>
  <c r="AN274" i="8"/>
  <c r="AC61" i="8"/>
  <c r="AG177" i="8"/>
  <c r="H177" i="8" s="1"/>
  <c r="AA177" i="8"/>
  <c r="Z61" i="8"/>
  <c r="AJ61" i="8" s="1"/>
  <c r="Z145" i="8"/>
  <c r="AJ145" i="8" s="1"/>
  <c r="AC145" i="8"/>
  <c r="AD145" i="8" s="1"/>
  <c r="Q42" i="8"/>
  <c r="R42" i="8"/>
  <c r="R31" i="8"/>
  <c r="Q31" i="8"/>
  <c r="AT278" i="8"/>
  <c r="M57" i="4"/>
  <c r="AE35" i="8"/>
  <c r="E35" i="8" s="1"/>
  <c r="AE117" i="8"/>
  <c r="E117" i="8" s="1"/>
  <c r="AT277" i="8"/>
  <c r="AT276" i="8"/>
  <c r="R436" i="8"/>
  <c r="AN441" i="8"/>
  <c r="AG441" i="8"/>
  <c r="AN437" i="8"/>
  <c r="AG437" i="8"/>
  <c r="R441" i="8"/>
  <c r="N435" i="8"/>
  <c r="R435" i="8" s="1"/>
  <c r="M435" i="8"/>
  <c r="Q435" i="8" s="1"/>
  <c r="M440" i="8"/>
  <c r="Q440" i="8" s="1"/>
  <c r="AN440" i="8"/>
  <c r="AG440" i="8"/>
  <c r="AN442" i="8"/>
  <c r="AG442" i="8"/>
  <c r="N439" i="8"/>
  <c r="R439" i="8" s="1"/>
  <c r="M439" i="8"/>
  <c r="Q439" i="8" s="1"/>
  <c r="M442" i="8"/>
  <c r="Q442" i="8" s="1"/>
  <c r="N442" i="8"/>
  <c r="R442" i="8" s="1"/>
  <c r="N437" i="8"/>
  <c r="R437" i="8" s="1"/>
  <c r="M437" i="8"/>
  <c r="Q437" i="8" s="1"/>
  <c r="AN436" i="8"/>
  <c r="AG436" i="8"/>
  <c r="R440" i="8"/>
  <c r="N438" i="8"/>
  <c r="R438" i="8" s="1"/>
  <c r="M438" i="8"/>
  <c r="Q438" i="8" s="1"/>
  <c r="AG438" i="8"/>
  <c r="AG439" i="8"/>
  <c r="AN435" i="8"/>
  <c r="M436" i="8"/>
  <c r="Q436" i="8" s="1"/>
  <c r="M441" i="8"/>
  <c r="Q441" i="8" s="1"/>
  <c r="U249" i="5"/>
  <c r="AD249" i="5" s="1"/>
  <c r="V249" i="5"/>
  <c r="N249" i="5"/>
  <c r="AN49" i="8"/>
  <c r="G49" i="8"/>
  <c r="F49" i="8"/>
  <c r="AI49" i="8"/>
  <c r="AE49" i="8"/>
  <c r="E49" i="8" s="1"/>
  <c r="M49" i="8"/>
  <c r="N49" i="8"/>
  <c r="U142" i="5"/>
  <c r="AD142" i="5" s="1"/>
  <c r="V142" i="5"/>
  <c r="N142" i="5"/>
  <c r="AS275" i="8"/>
  <c r="G35" i="8"/>
  <c r="F35" i="8"/>
  <c r="AI35" i="8"/>
  <c r="N35" i="8"/>
  <c r="M35" i="8"/>
  <c r="AN35" i="8"/>
  <c r="AP275" i="8"/>
  <c r="AQ275" i="8" s="1"/>
  <c r="AE275" i="8"/>
  <c r="AI275" i="8"/>
  <c r="M275" i="8"/>
  <c r="Q275" i="8" s="1"/>
  <c r="N275" i="8"/>
  <c r="R275" i="8" s="1"/>
  <c r="AS274" i="8"/>
  <c r="M274" i="8"/>
  <c r="Q274" i="8" s="1"/>
  <c r="N274" i="8"/>
  <c r="R274" i="8" s="1"/>
  <c r="AI274" i="8"/>
  <c r="AE274" i="8"/>
  <c r="U25" i="5"/>
  <c r="AD25" i="5" s="1"/>
  <c r="V25" i="5"/>
  <c r="N25" i="5"/>
  <c r="M16" i="8"/>
  <c r="Q16" i="8" s="1"/>
  <c r="N16" i="8"/>
  <c r="R16" i="8" s="1"/>
  <c r="AK16" i="8"/>
  <c r="G16" i="8" s="1"/>
  <c r="AN16" i="8"/>
  <c r="AI22" i="8"/>
  <c r="M22" i="8"/>
  <c r="Q22" i="8" s="1"/>
  <c r="N22" i="8"/>
  <c r="R22" i="8" s="1"/>
  <c r="AK22" i="8"/>
  <c r="G22" i="8" s="1"/>
  <c r="AN22" i="8"/>
  <c r="AE22" i="8"/>
  <c r="E22" i="8" s="1"/>
  <c r="AJ22" i="8"/>
  <c r="F22" i="8" s="1"/>
  <c r="M117" i="8"/>
  <c r="Q117" i="8" s="1"/>
  <c r="N117" i="8"/>
  <c r="R117" i="8" s="1"/>
  <c r="AN117" i="8"/>
  <c r="AI117" i="8"/>
  <c r="F117" i="8"/>
  <c r="G117" i="8"/>
  <c r="M153" i="8"/>
  <c r="Q153" i="8" s="1"/>
  <c r="N153" i="8"/>
  <c r="R153" i="8" s="1"/>
  <c r="G153" i="8"/>
  <c r="AN153" i="8"/>
  <c r="AE153" i="8"/>
  <c r="E153" i="8" s="1"/>
  <c r="F153" i="8"/>
  <c r="AI153" i="8"/>
  <c r="M26" i="8"/>
  <c r="Q26" i="8" s="1"/>
  <c r="N26" i="8"/>
  <c r="R26" i="8" s="1"/>
  <c r="AJ26" i="8"/>
  <c r="F26" i="8" s="1"/>
  <c r="AN26" i="8"/>
  <c r="AK26" i="8"/>
  <c r="G26" i="8" s="1"/>
  <c r="AI26" i="8"/>
  <c r="AE26" i="8"/>
  <c r="E26" i="8" s="1"/>
  <c r="U262" i="5"/>
  <c r="AD262" i="5" s="1"/>
  <c r="V262" i="5"/>
  <c r="N262" i="5"/>
  <c r="AS273" i="8"/>
  <c r="M273" i="8"/>
  <c r="Q273" i="8" s="1"/>
  <c r="N273" i="8"/>
  <c r="R273" i="8" s="1"/>
  <c r="AE273" i="8"/>
  <c r="AI273" i="8"/>
  <c r="AN85" i="8"/>
  <c r="G85" i="8"/>
  <c r="F85" i="8"/>
  <c r="AI85" i="8"/>
  <c r="AE85" i="8"/>
  <c r="E85" i="8" s="1"/>
  <c r="M85" i="8"/>
  <c r="Q85" i="8" s="1"/>
  <c r="N85" i="8"/>
  <c r="R85" i="8" s="1"/>
  <c r="U48" i="5"/>
  <c r="AD48" i="5" s="1"/>
  <c r="V48" i="5"/>
  <c r="N48" i="5"/>
  <c r="AJ13" i="8"/>
  <c r="F13" i="8" s="1"/>
  <c r="AN13" i="8"/>
  <c r="AK13" i="8"/>
  <c r="G13" i="8" s="1"/>
  <c r="AI13" i="8"/>
  <c r="N13" i="8"/>
  <c r="R13" i="8" s="1"/>
  <c r="M13" i="8"/>
  <c r="Q13" i="8" s="1"/>
  <c r="AE13" i="8"/>
  <c r="E13" i="8" s="1"/>
  <c r="R431" i="8"/>
  <c r="N430" i="8"/>
  <c r="R430" i="8" s="1"/>
  <c r="M430" i="8"/>
  <c r="Q430" i="8" s="1"/>
  <c r="AN434" i="8"/>
  <c r="AG434" i="8"/>
  <c r="N433" i="8"/>
  <c r="R433" i="8" s="1"/>
  <c r="M433" i="8"/>
  <c r="Q433" i="8" s="1"/>
  <c r="M434" i="8"/>
  <c r="Q434" i="8" s="1"/>
  <c r="N434" i="8"/>
  <c r="R434" i="8" s="1"/>
  <c r="AN432" i="8"/>
  <c r="AG432" i="8"/>
  <c r="N432" i="8"/>
  <c r="R432" i="8" s="1"/>
  <c r="M432" i="8"/>
  <c r="Q432" i="8" s="1"/>
  <c r="AG430" i="8"/>
  <c r="AG431" i="8"/>
  <c r="AG433" i="8"/>
  <c r="M431" i="8"/>
  <c r="Q431" i="8" s="1"/>
  <c r="U201" i="5"/>
  <c r="AD201" i="5" s="1"/>
  <c r="N201" i="5"/>
  <c r="AN29" i="8"/>
  <c r="AK29" i="8"/>
  <c r="G29" i="8" s="1"/>
  <c r="AJ29" i="8"/>
  <c r="F29" i="8" s="1"/>
  <c r="AI29" i="8"/>
  <c r="AE29" i="8"/>
  <c r="E29" i="8" s="1"/>
  <c r="M29" i="8"/>
  <c r="Q29" i="8" s="1"/>
  <c r="N29" i="8"/>
  <c r="R29" i="8" s="1"/>
  <c r="AG198" i="8"/>
  <c r="H198" i="8" s="1"/>
  <c r="D14" i="8" a="1"/>
  <c r="D14" i="8" s="1"/>
  <c r="AG97" i="8"/>
  <c r="H97" i="8" s="1"/>
  <c r="AG71" i="8"/>
  <c r="H71" i="8" s="1"/>
  <c r="AG39" i="8"/>
  <c r="H39" i="8" s="1"/>
  <c r="AG57" i="8"/>
  <c r="H57" i="8" s="1"/>
  <c r="AG18" i="8"/>
  <c r="H18" i="8" s="1"/>
  <c r="AG40" i="8"/>
  <c r="H40" i="8" s="1"/>
  <c r="AG20" i="8"/>
  <c r="H20" i="8" s="1"/>
  <c r="D263" i="5" a="1"/>
  <c r="D263" i="5" s="1"/>
  <c r="E263" i="5" a="1"/>
  <c r="E263" i="5" s="1"/>
  <c r="F263" i="5" a="1"/>
  <c r="F263" i="5" s="1"/>
  <c r="G263" i="5" a="1"/>
  <c r="G263" i="5" s="1"/>
  <c r="AI263" i="5" s="1"/>
  <c r="M263" i="5"/>
  <c r="S263" i="5"/>
  <c r="AO226" i="8" s="1"/>
  <c r="I145" i="8" l="1"/>
  <c r="AD61" i="8"/>
  <c r="I61" i="8"/>
  <c r="AU177" i="8"/>
  <c r="AK177" i="8"/>
  <c r="AS226" i="8"/>
  <c r="AQ226" i="8"/>
  <c r="AT225" i="8"/>
  <c r="Y262" i="5"/>
  <c r="AS338" i="8"/>
  <c r="AQ338" i="8"/>
  <c r="AB48" i="5"/>
  <c r="AB142" i="5"/>
  <c r="AB249" i="5"/>
  <c r="AB262" i="5"/>
  <c r="AB25" i="5"/>
  <c r="AG145" i="8"/>
  <c r="H145" i="8" s="1"/>
  <c r="AA145" i="8"/>
  <c r="AG61" i="8"/>
  <c r="H61" i="8" s="1"/>
  <c r="AA61" i="8"/>
  <c r="R49" i="8"/>
  <c r="Q49" i="8"/>
  <c r="Q35" i="8"/>
  <c r="R35" i="8"/>
  <c r="AT275" i="8"/>
  <c r="AT273" i="8"/>
  <c r="AT274" i="8"/>
  <c r="U263" i="5"/>
  <c r="AD263" i="5" s="1"/>
  <c r="V263" i="5"/>
  <c r="N263" i="5"/>
  <c r="AR272" i="8"/>
  <c r="L272" i="8" a="1"/>
  <c r="L272" i="8" s="1"/>
  <c r="O272" i="8" a="1"/>
  <c r="O272" i="8" s="1"/>
  <c r="AG272" i="8"/>
  <c r="K272" i="8" a="1"/>
  <c r="K272" i="8" s="1"/>
  <c r="J272" i="8" a="1"/>
  <c r="J272" i="8" s="1"/>
  <c r="D272" i="8" a="1"/>
  <c r="D272" i="8" s="1"/>
  <c r="B272" i="8" a="1"/>
  <c r="B272" i="8" s="1"/>
  <c r="D122" i="5" a="1"/>
  <c r="D122" i="5" s="1"/>
  <c r="E122" i="5" a="1"/>
  <c r="E122" i="5" s="1"/>
  <c r="T122" i="5" s="1"/>
  <c r="F122" i="5" a="1"/>
  <c r="F122" i="5" s="1"/>
  <c r="G122" i="5" a="1"/>
  <c r="G122" i="5" s="1"/>
  <c r="AI122" i="5" s="1"/>
  <c r="M122" i="5"/>
  <c r="Q122" i="5"/>
  <c r="S122" i="5"/>
  <c r="Y122" i="5"/>
  <c r="AM200" i="8"/>
  <c r="O200" i="8" a="1"/>
  <c r="O200" i="8" s="1"/>
  <c r="K200" i="8" a="1"/>
  <c r="K200" i="8" s="1"/>
  <c r="J200" i="8" a="1"/>
  <c r="J200" i="8" s="1"/>
  <c r="C200" i="8" a="1"/>
  <c r="C200" i="8" s="1"/>
  <c r="B200" i="8" a="1"/>
  <c r="B200" i="8" s="1"/>
  <c r="D304" i="5" a="1"/>
  <c r="D304" i="5" s="1"/>
  <c r="E304" i="5" a="1"/>
  <c r="E304" i="5" s="1"/>
  <c r="F304" i="5" a="1"/>
  <c r="F304" i="5" s="1"/>
  <c r="G304" i="5" a="1"/>
  <c r="G304" i="5" s="1"/>
  <c r="M304" i="5"/>
  <c r="S304" i="5"/>
  <c r="AO249" i="8" s="1"/>
  <c r="L271" i="8" a="1"/>
  <c r="L271" i="8" s="1"/>
  <c r="O271" i="8" a="1"/>
  <c r="O271" i="8" s="1"/>
  <c r="AR271" i="8"/>
  <c r="AG271" i="8"/>
  <c r="K271" i="8" a="1"/>
  <c r="K271" i="8" s="1"/>
  <c r="J271" i="8" a="1"/>
  <c r="J271" i="8" s="1"/>
  <c r="D271" i="8" a="1"/>
  <c r="D271" i="8" s="1"/>
  <c r="B271" i="8" a="1"/>
  <c r="B271" i="8" s="1"/>
  <c r="AR270" i="8"/>
  <c r="AG270" i="8"/>
  <c r="O270" i="8" a="1"/>
  <c r="O270" i="8" s="1"/>
  <c r="L270" i="8" a="1"/>
  <c r="L270" i="8" s="1"/>
  <c r="K270" i="8" a="1"/>
  <c r="K270" i="8" s="1"/>
  <c r="J270" i="8" a="1"/>
  <c r="J270" i="8" s="1"/>
  <c r="D270" i="8" a="1"/>
  <c r="D270" i="8" s="1"/>
  <c r="B270" i="8" a="1"/>
  <c r="B270" i="8" s="1"/>
  <c r="AR269" i="8"/>
  <c r="L269" i="8" a="1"/>
  <c r="L269" i="8" s="1"/>
  <c r="O269" i="8" a="1"/>
  <c r="O269" i="8" s="1"/>
  <c r="AG269" i="8"/>
  <c r="K269" i="8" a="1"/>
  <c r="K269" i="8" s="1"/>
  <c r="J269" i="8" a="1"/>
  <c r="J269" i="8" s="1"/>
  <c r="D269" i="8" a="1"/>
  <c r="D269" i="8" s="1"/>
  <c r="B269" i="8" a="1"/>
  <c r="B269" i="8" s="1"/>
  <c r="D129" i="5" a="1"/>
  <c r="D129" i="5" s="1"/>
  <c r="E129" i="5" a="1"/>
  <c r="E129" i="5" s="1"/>
  <c r="T129" i="5" s="1"/>
  <c r="F129" i="5" a="1"/>
  <c r="F129" i="5" s="1"/>
  <c r="G129" i="5" a="1"/>
  <c r="G129" i="5" s="1"/>
  <c r="AI129" i="5" s="1"/>
  <c r="M129" i="5"/>
  <c r="Q129" i="5"/>
  <c r="S129" i="5"/>
  <c r="Y129" i="5"/>
  <c r="AM78" i="8"/>
  <c r="O78" i="8" a="1"/>
  <c r="O78" i="8" s="1"/>
  <c r="K78" i="8" a="1"/>
  <c r="K78" i="8" s="1"/>
  <c r="J78" i="8" a="1"/>
  <c r="J78" i="8" s="1"/>
  <c r="C78" i="8" a="1"/>
  <c r="C78" i="8" s="1"/>
  <c r="B78" i="8" a="1"/>
  <c r="B78" i="8" s="1"/>
  <c r="D171" i="5" a="1"/>
  <c r="D171" i="5" s="1"/>
  <c r="E171" i="5" a="1"/>
  <c r="E171" i="5" s="1"/>
  <c r="T171" i="5" s="1"/>
  <c r="G171" i="5" a="1"/>
  <c r="G171" i="5" s="1"/>
  <c r="M171" i="5"/>
  <c r="Q171" i="5"/>
  <c r="S171" i="5"/>
  <c r="Y171" i="5"/>
  <c r="D207" i="5" a="1"/>
  <c r="D207" i="5" s="1"/>
  <c r="E207" i="5" a="1"/>
  <c r="E207" i="5" s="1"/>
  <c r="T207" i="5" s="1"/>
  <c r="G207" i="5" a="1"/>
  <c r="G207" i="5" s="1"/>
  <c r="M207" i="5"/>
  <c r="Q207" i="5"/>
  <c r="S207" i="5"/>
  <c r="W207" i="5"/>
  <c r="Y207" i="5"/>
  <c r="AM140" i="8"/>
  <c r="O140" i="8" a="1"/>
  <c r="O140" i="8" s="1"/>
  <c r="K140" i="8" a="1"/>
  <c r="K140" i="8" s="1"/>
  <c r="J140" i="8" a="1"/>
  <c r="J140" i="8" s="1"/>
  <c r="C140" i="8" a="1"/>
  <c r="C140" i="8" s="1"/>
  <c r="B140" i="8" a="1"/>
  <c r="B140" i="8" s="1"/>
  <c r="AM44" i="8"/>
  <c r="O44" i="8" a="1"/>
  <c r="O44" i="8" s="1"/>
  <c r="K44" i="8" a="1"/>
  <c r="K44" i="8" s="1"/>
  <c r="J44" i="8" a="1"/>
  <c r="J44" i="8" s="1"/>
  <c r="C44" i="8" a="1"/>
  <c r="C44" i="8" s="1"/>
  <c r="B44" i="8" a="1"/>
  <c r="B44" i="8" s="1"/>
  <c r="O162" i="8" a="1"/>
  <c r="O162" i="8" s="1"/>
  <c r="B199" i="8" a="1"/>
  <c r="B199" i="8" s="1"/>
  <c r="C199" i="8" a="1"/>
  <c r="C199" i="8" s="1"/>
  <c r="J199" i="8" a="1"/>
  <c r="J199" i="8" s="1"/>
  <c r="K199" i="8" a="1"/>
  <c r="K199" i="8" s="1"/>
  <c r="O199" i="8" a="1"/>
  <c r="O199" i="8" s="1"/>
  <c r="AM199" i="8"/>
  <c r="D112" i="5" a="1"/>
  <c r="D112" i="5" s="1"/>
  <c r="E112" i="5" a="1"/>
  <c r="E112" i="5" s="1"/>
  <c r="T112" i="5" s="1"/>
  <c r="F112" i="5" a="1"/>
  <c r="F112" i="5" s="1"/>
  <c r="G112" i="5" a="1"/>
  <c r="G112" i="5" s="1"/>
  <c r="M112" i="5"/>
  <c r="Q112" i="5"/>
  <c r="S112" i="5"/>
  <c r="Y112" i="5"/>
  <c r="D55" i="5" a="1"/>
  <c r="D55" i="5" s="1"/>
  <c r="E55" i="5" a="1"/>
  <c r="E55" i="5" s="1"/>
  <c r="T55" i="5" s="1"/>
  <c r="F55" i="5" a="1"/>
  <c r="F55" i="5" s="1"/>
  <c r="G55" i="5" a="1"/>
  <c r="G55" i="5" s="1"/>
  <c r="M55" i="5"/>
  <c r="Q55" i="5"/>
  <c r="S55" i="5"/>
  <c r="Y55" i="5"/>
  <c r="AD204" i="8"/>
  <c r="AM204" i="8"/>
  <c r="O204" i="8" a="1"/>
  <c r="O204" i="8" s="1"/>
  <c r="K204" i="8" a="1"/>
  <c r="K204" i="8" s="1"/>
  <c r="J204" i="8" a="1"/>
  <c r="J204" i="8" s="1"/>
  <c r="AN204" i="8"/>
  <c r="C204" i="8" a="1"/>
  <c r="C204" i="8" s="1"/>
  <c r="B204" i="8" a="1"/>
  <c r="B204" i="8" s="1"/>
  <c r="D209" i="5" a="1"/>
  <c r="D209" i="5" s="1"/>
  <c r="E209" i="5" a="1"/>
  <c r="E209" i="5" s="1"/>
  <c r="T209" i="5" s="1"/>
  <c r="G209" i="5" a="1"/>
  <c r="G209" i="5" s="1"/>
  <c r="M209" i="5"/>
  <c r="Q209" i="5"/>
  <c r="S209" i="5"/>
  <c r="W209" i="5"/>
  <c r="Y209" i="5"/>
  <c r="AR268" i="8"/>
  <c r="AG268" i="8"/>
  <c r="O268" i="8" a="1"/>
  <c r="O268" i="8" s="1"/>
  <c r="L268" i="8" a="1"/>
  <c r="L268" i="8" s="1"/>
  <c r="K268" i="8" a="1"/>
  <c r="K268" i="8" s="1"/>
  <c r="J268" i="8" a="1"/>
  <c r="J268" i="8" s="1"/>
  <c r="D268" i="8" a="1"/>
  <c r="D268" i="8" s="1"/>
  <c r="B268" i="8" a="1"/>
  <c r="B268" i="8" s="1"/>
  <c r="AS249" i="8" l="1"/>
  <c r="AQ249" i="8"/>
  <c r="AU145" i="8"/>
  <c r="AK145" i="8"/>
  <c r="AU61" i="8"/>
  <c r="AK61" i="8"/>
  <c r="AT226" i="8"/>
  <c r="Y263" i="5"/>
  <c r="AT338" i="8"/>
  <c r="AB263" i="5"/>
  <c r="AN272" i="8"/>
  <c r="AP270" i="8"/>
  <c r="AQ270" i="8" s="1"/>
  <c r="AN270" i="8"/>
  <c r="AP269" i="8"/>
  <c r="AQ269" i="8" s="1"/>
  <c r="AN269" i="8"/>
  <c r="AP268" i="8"/>
  <c r="AQ268" i="8" s="1"/>
  <c r="AN268" i="8"/>
  <c r="AP271" i="8"/>
  <c r="AQ271" i="8" s="1"/>
  <c r="AN271" i="8"/>
  <c r="AP272" i="8"/>
  <c r="AQ272" i="8" s="1"/>
  <c r="AS272" i="8"/>
  <c r="M272" i="8"/>
  <c r="Q272" i="8" s="1"/>
  <c r="N272" i="8"/>
  <c r="R272" i="8" s="1"/>
  <c r="AI272" i="8"/>
  <c r="AE272" i="8"/>
  <c r="U122" i="5"/>
  <c r="AD122" i="5" s="1"/>
  <c r="V122" i="5"/>
  <c r="N122" i="5"/>
  <c r="AN200" i="8"/>
  <c r="G200" i="8"/>
  <c r="F200" i="8"/>
  <c r="AI200" i="8"/>
  <c r="AE200" i="8"/>
  <c r="E200" i="8" s="1"/>
  <c r="M200" i="8"/>
  <c r="N200" i="8"/>
  <c r="U304" i="5"/>
  <c r="AD304" i="5" s="1"/>
  <c r="N304" i="5"/>
  <c r="AS270" i="8"/>
  <c r="M271" i="8"/>
  <c r="Q271" i="8" s="1"/>
  <c r="N271" i="8"/>
  <c r="R271" i="8" s="1"/>
  <c r="AS271" i="8"/>
  <c r="AI271" i="8"/>
  <c r="AE271" i="8"/>
  <c r="N270" i="8"/>
  <c r="R270" i="8" s="1"/>
  <c r="M270" i="8"/>
  <c r="Q270" i="8" s="1"/>
  <c r="AI270" i="8"/>
  <c r="AE270" i="8"/>
  <c r="AS269" i="8"/>
  <c r="M269" i="8"/>
  <c r="Q269" i="8" s="1"/>
  <c r="N269" i="8"/>
  <c r="R269" i="8" s="1"/>
  <c r="AI269" i="8"/>
  <c r="AE269" i="8"/>
  <c r="U129" i="5"/>
  <c r="AD129" i="5" s="1"/>
  <c r="V129" i="5"/>
  <c r="N129" i="5"/>
  <c r="M78" i="8"/>
  <c r="N78" i="8"/>
  <c r="AN78" i="8"/>
  <c r="G78" i="8"/>
  <c r="F78" i="8"/>
  <c r="AI78" i="8"/>
  <c r="AE78" i="8"/>
  <c r="E78" i="8" s="1"/>
  <c r="U171" i="5"/>
  <c r="AD171" i="5" s="1"/>
  <c r="N171" i="5"/>
  <c r="U207" i="5"/>
  <c r="AD207" i="5" s="1"/>
  <c r="N207" i="5"/>
  <c r="M44" i="8"/>
  <c r="N44" i="8"/>
  <c r="AN140" i="8"/>
  <c r="G140" i="8"/>
  <c r="F140" i="8"/>
  <c r="AI140" i="8"/>
  <c r="AE140" i="8"/>
  <c r="E140" i="8" s="1"/>
  <c r="M140" i="8"/>
  <c r="N140" i="8"/>
  <c r="F44" i="8"/>
  <c r="M162" i="8"/>
  <c r="N162" i="8"/>
  <c r="U112" i="5"/>
  <c r="AD112" i="5" s="1"/>
  <c r="M199" i="8"/>
  <c r="N199" i="8"/>
  <c r="AN199" i="8"/>
  <c r="AE199" i="8"/>
  <c r="E199" i="8" s="1"/>
  <c r="AI199" i="8"/>
  <c r="F199" i="8"/>
  <c r="G199" i="8"/>
  <c r="AS268" i="8"/>
  <c r="N112" i="5"/>
  <c r="U55" i="5"/>
  <c r="AD55" i="5" s="1"/>
  <c r="N55" i="5"/>
  <c r="M204" i="8"/>
  <c r="N204" i="8"/>
  <c r="AE204" i="8"/>
  <c r="E204" i="8" s="1"/>
  <c r="AI204" i="8"/>
  <c r="F204" i="8"/>
  <c r="G204" i="8"/>
  <c r="U209" i="5"/>
  <c r="AD209" i="5" s="1"/>
  <c r="N209" i="5"/>
  <c r="AI268" i="8"/>
  <c r="AE268" i="8"/>
  <c r="N268" i="8"/>
  <c r="R268" i="8" s="1"/>
  <c r="M268" i="8"/>
  <c r="Q268" i="8" s="1"/>
  <c r="AR267" i="8"/>
  <c r="L267" i="8" a="1"/>
  <c r="L267" i="8" s="1"/>
  <c r="O267" i="8" a="1"/>
  <c r="O267" i="8" s="1"/>
  <c r="AG267" i="8"/>
  <c r="K267" i="8" a="1"/>
  <c r="K267" i="8" s="1"/>
  <c r="J267" i="8" a="1"/>
  <c r="J267" i="8" s="1"/>
  <c r="D267" i="8" a="1"/>
  <c r="D267" i="8" s="1"/>
  <c r="B267" i="8" a="1"/>
  <c r="B267" i="8" s="1"/>
  <c r="D80" i="5" a="1"/>
  <c r="D80" i="5" s="1"/>
  <c r="E80" i="5" a="1"/>
  <c r="E80" i="5" s="1"/>
  <c r="T80" i="5" s="1"/>
  <c r="F80" i="5" a="1"/>
  <c r="F80" i="5" s="1"/>
  <c r="G80" i="5" a="1"/>
  <c r="G80" i="5" s="1"/>
  <c r="M80" i="5"/>
  <c r="Q80" i="5"/>
  <c r="S80" i="5"/>
  <c r="Y80" i="5"/>
  <c r="AM82" i="8"/>
  <c r="O82" i="8" a="1"/>
  <c r="O82" i="8" s="1"/>
  <c r="K82" i="8" a="1"/>
  <c r="K82" i="8" s="1"/>
  <c r="J82" i="8" a="1"/>
  <c r="J82" i="8" s="1"/>
  <c r="C82" i="8" a="1"/>
  <c r="C82" i="8" s="1"/>
  <c r="B82" i="8" a="1"/>
  <c r="B82" i="8" s="1"/>
  <c r="D200" i="5" a="1"/>
  <c r="D200" i="5" s="1"/>
  <c r="E200" i="5" a="1"/>
  <c r="E200" i="5" s="1"/>
  <c r="T200" i="5" s="1"/>
  <c r="G200" i="5" a="1"/>
  <c r="G200" i="5" s="1"/>
  <c r="M200" i="5"/>
  <c r="Q200" i="5"/>
  <c r="S200" i="5"/>
  <c r="W200" i="5"/>
  <c r="Y200" i="5"/>
  <c r="AM186" i="8"/>
  <c r="O186" i="8" a="1"/>
  <c r="O186" i="8" s="1"/>
  <c r="K186" i="8" a="1"/>
  <c r="K186" i="8" s="1"/>
  <c r="J186" i="8" a="1"/>
  <c r="J186" i="8" s="1"/>
  <c r="C186" i="8" a="1"/>
  <c r="C186" i="8" s="1"/>
  <c r="B186" i="8" a="1"/>
  <c r="B186" i="8" s="1"/>
  <c r="D139" i="5" a="1"/>
  <c r="D139" i="5" s="1"/>
  <c r="E139" i="5" a="1"/>
  <c r="E139" i="5" s="1"/>
  <c r="T139" i="5" s="1"/>
  <c r="F139" i="5" a="1"/>
  <c r="F139" i="5" s="1"/>
  <c r="G139" i="5" a="1"/>
  <c r="G139" i="5" s="1"/>
  <c r="M139" i="5"/>
  <c r="Q139" i="5"/>
  <c r="S139" i="5"/>
  <c r="Y139" i="5"/>
  <c r="D138" i="5" a="1"/>
  <c r="D138" i="5" s="1"/>
  <c r="E138" i="5" a="1"/>
  <c r="E138" i="5" s="1"/>
  <c r="T138" i="5" s="1"/>
  <c r="F138" i="5" a="1"/>
  <c r="F138" i="5" s="1"/>
  <c r="G138" i="5" a="1"/>
  <c r="G138" i="5" s="1"/>
  <c r="M138" i="5"/>
  <c r="Q138" i="5"/>
  <c r="S138" i="5"/>
  <c r="Y138" i="5"/>
  <c r="AM61" i="8"/>
  <c r="O61" i="8" a="1"/>
  <c r="O61" i="8" s="1"/>
  <c r="K61" i="8" a="1"/>
  <c r="K61" i="8" s="1"/>
  <c r="J61" i="8" a="1"/>
  <c r="J61" i="8" s="1"/>
  <c r="C61" i="8" a="1"/>
  <c r="C61" i="8" s="1"/>
  <c r="B61" i="8" a="1"/>
  <c r="B61" i="8" s="1"/>
  <c r="AR266" i="8"/>
  <c r="L266" i="8" a="1"/>
  <c r="L266" i="8" s="1"/>
  <c r="O266" i="8" a="1"/>
  <c r="O266" i="8" s="1"/>
  <c r="AG266" i="8"/>
  <c r="K266" i="8" a="1"/>
  <c r="K266" i="8" s="1"/>
  <c r="J266" i="8" a="1"/>
  <c r="J266" i="8" s="1"/>
  <c r="D266" i="8" a="1"/>
  <c r="D266" i="8" s="1"/>
  <c r="B266" i="8" a="1"/>
  <c r="B266" i="8" s="1"/>
  <c r="AR265" i="8"/>
  <c r="L265" i="8" a="1"/>
  <c r="L265" i="8" s="1"/>
  <c r="O265" i="8" a="1"/>
  <c r="O265" i="8" s="1"/>
  <c r="AG265" i="8"/>
  <c r="K265" i="8" a="1"/>
  <c r="K265" i="8" s="1"/>
  <c r="J265" i="8" a="1"/>
  <c r="J265" i="8" s="1"/>
  <c r="D265" i="8" a="1"/>
  <c r="D265" i="8" s="1"/>
  <c r="B265" i="8" a="1"/>
  <c r="B265" i="8" s="1"/>
  <c r="D240" i="5" a="1"/>
  <c r="D240" i="5" s="1"/>
  <c r="E240" i="5" a="1"/>
  <c r="E240" i="5" s="1"/>
  <c r="T240" i="5" s="1"/>
  <c r="G240" i="5" a="1"/>
  <c r="G240" i="5" s="1"/>
  <c r="M240" i="5"/>
  <c r="Q240" i="5"/>
  <c r="S240" i="5"/>
  <c r="Y240" i="5"/>
  <c r="AM107" i="8"/>
  <c r="O107" i="8" a="1"/>
  <c r="O107" i="8" s="1"/>
  <c r="K107" i="8" a="1"/>
  <c r="K107" i="8" s="1"/>
  <c r="J107" i="8" a="1"/>
  <c r="J107" i="8" s="1"/>
  <c r="C107" i="8" a="1"/>
  <c r="C107" i="8" s="1"/>
  <c r="B107" i="8" a="1"/>
  <c r="B107" i="8" s="1"/>
  <c r="AR264" i="8"/>
  <c r="L264" i="8" a="1"/>
  <c r="L264" i="8" s="1"/>
  <c r="O264" i="8" a="1"/>
  <c r="O264" i="8" s="1"/>
  <c r="AG264" i="8"/>
  <c r="K264" i="8" a="1"/>
  <c r="K264" i="8" s="1"/>
  <c r="J264" i="8" a="1"/>
  <c r="J264" i="8" s="1"/>
  <c r="D264" i="8" a="1"/>
  <c r="D264" i="8" s="1"/>
  <c r="B264" i="8" a="1"/>
  <c r="B264" i="8" s="1"/>
  <c r="AR263" i="8"/>
  <c r="AJ343" i="8"/>
  <c r="AM343" i="8"/>
  <c r="AJ344" i="8"/>
  <c r="AM344" i="8"/>
  <c r="AJ345" i="8"/>
  <c r="AM345" i="8"/>
  <c r="AJ346" i="8"/>
  <c r="AM346" i="8"/>
  <c r="AJ347" i="8"/>
  <c r="AM347" i="8"/>
  <c r="AJ348" i="8"/>
  <c r="AM348" i="8"/>
  <c r="AJ349" i="8"/>
  <c r="AM349" i="8"/>
  <c r="AJ350" i="8"/>
  <c r="AM350" i="8"/>
  <c r="AJ351" i="8"/>
  <c r="AM351" i="8"/>
  <c r="AJ352" i="8"/>
  <c r="AM352" i="8"/>
  <c r="AJ353" i="8"/>
  <c r="AM353" i="8"/>
  <c r="AJ354" i="8"/>
  <c r="AM354" i="8"/>
  <c r="AJ355" i="8"/>
  <c r="AM355" i="8"/>
  <c r="AJ356" i="8"/>
  <c r="AM356" i="8"/>
  <c r="AJ357" i="8"/>
  <c r="AM357" i="8"/>
  <c r="AJ358" i="8"/>
  <c r="AM358" i="8"/>
  <c r="AJ359" i="8"/>
  <c r="AM359" i="8"/>
  <c r="AK360" i="8"/>
  <c r="AM360" i="8"/>
  <c r="AJ361" i="8"/>
  <c r="AK361" i="8"/>
  <c r="AM361" i="8"/>
  <c r="AJ362" i="8"/>
  <c r="AK362" i="8"/>
  <c r="AM362" i="8"/>
  <c r="AJ363" i="8"/>
  <c r="AK363" i="8"/>
  <c r="AM363" i="8"/>
  <c r="AJ364" i="8"/>
  <c r="AK364" i="8"/>
  <c r="AM364" i="8"/>
  <c r="AJ365" i="8"/>
  <c r="AK365" i="8"/>
  <c r="AM365" i="8"/>
  <c r="AJ366" i="8"/>
  <c r="AK366" i="8"/>
  <c r="AM366" i="8"/>
  <c r="AJ367" i="8"/>
  <c r="AK367" i="8"/>
  <c r="AM367" i="8"/>
  <c r="AK368" i="8"/>
  <c r="AM368" i="8"/>
  <c r="AJ369" i="8"/>
  <c r="AK369" i="8"/>
  <c r="AM369" i="8"/>
  <c r="AJ370" i="8"/>
  <c r="AK370" i="8"/>
  <c r="AM370" i="8"/>
  <c r="AJ371" i="8"/>
  <c r="AK371" i="8"/>
  <c r="AM371" i="8"/>
  <c r="AJ372" i="8"/>
  <c r="AK372" i="8"/>
  <c r="AM372" i="8"/>
  <c r="AK373" i="8"/>
  <c r="AM373" i="8"/>
  <c r="AJ374" i="8"/>
  <c r="AK374" i="8"/>
  <c r="AM374" i="8"/>
  <c r="AJ375" i="8"/>
  <c r="AK375" i="8"/>
  <c r="AM375" i="8"/>
  <c r="AJ376" i="8"/>
  <c r="AK376" i="8"/>
  <c r="AM376" i="8"/>
  <c r="AJ377" i="8"/>
  <c r="AK377" i="8"/>
  <c r="AM377" i="8"/>
  <c r="AJ378" i="8"/>
  <c r="AK378" i="8"/>
  <c r="AM378" i="8"/>
  <c r="AJ379" i="8"/>
  <c r="AK379" i="8"/>
  <c r="AM379" i="8"/>
  <c r="AJ380" i="8"/>
  <c r="AK380" i="8"/>
  <c r="AM380" i="8"/>
  <c r="AJ381" i="8"/>
  <c r="AK381" i="8"/>
  <c r="AM381" i="8"/>
  <c r="AJ382" i="8"/>
  <c r="AK382" i="8"/>
  <c r="AM382" i="8"/>
  <c r="AJ383" i="8"/>
  <c r="AK383" i="8"/>
  <c r="AM383" i="8"/>
  <c r="AK384" i="8"/>
  <c r="AM384" i="8"/>
  <c r="AJ385" i="8"/>
  <c r="AK385" i="8"/>
  <c r="AM385" i="8"/>
  <c r="AJ386" i="8"/>
  <c r="AK386" i="8"/>
  <c r="AM386" i="8"/>
  <c r="AJ387" i="8"/>
  <c r="AK387" i="8"/>
  <c r="AM387" i="8"/>
  <c r="AJ388" i="8"/>
  <c r="AK388" i="8"/>
  <c r="AM388" i="8"/>
  <c r="AJ389" i="8"/>
  <c r="AK389" i="8"/>
  <c r="AM389" i="8"/>
  <c r="AJ390" i="8"/>
  <c r="AK390" i="8"/>
  <c r="AM390" i="8"/>
  <c r="AJ391" i="8"/>
  <c r="AK391" i="8"/>
  <c r="AM391" i="8"/>
  <c r="AJ392" i="8"/>
  <c r="AK392" i="8"/>
  <c r="AM392" i="8"/>
  <c r="AK393" i="8"/>
  <c r="AM393" i="8"/>
  <c r="AK394" i="8"/>
  <c r="AM394" i="8"/>
  <c r="AJ395" i="8"/>
  <c r="AK395" i="8"/>
  <c r="AM395" i="8"/>
  <c r="AJ396" i="8"/>
  <c r="AK396" i="8"/>
  <c r="AM396" i="8"/>
  <c r="AJ397" i="8"/>
  <c r="AK397" i="8"/>
  <c r="AM397" i="8"/>
  <c r="AJ398" i="8"/>
  <c r="AK398" i="8"/>
  <c r="AM398" i="8"/>
  <c r="AJ399" i="8"/>
  <c r="AK399" i="8"/>
  <c r="AM399" i="8"/>
  <c r="AJ400" i="8"/>
  <c r="AK400" i="8"/>
  <c r="AM400" i="8"/>
  <c r="AJ401" i="8"/>
  <c r="AK401" i="8"/>
  <c r="AM401" i="8"/>
  <c r="AK402" i="8"/>
  <c r="AM402" i="8"/>
  <c r="AK403" i="8"/>
  <c r="AM403" i="8"/>
  <c r="AK404" i="8"/>
  <c r="AM404" i="8"/>
  <c r="AJ405" i="8"/>
  <c r="AK405" i="8"/>
  <c r="AM405" i="8"/>
  <c r="AJ406" i="8"/>
  <c r="AK406" i="8"/>
  <c r="AM406" i="8"/>
  <c r="AJ407" i="8"/>
  <c r="AK407" i="8"/>
  <c r="AM407" i="8"/>
  <c r="AJ408" i="8"/>
  <c r="AK408" i="8"/>
  <c r="AM408" i="8"/>
  <c r="AJ409" i="8"/>
  <c r="AK409" i="8"/>
  <c r="AM409" i="8"/>
  <c r="AJ410" i="8"/>
  <c r="AK410" i="8"/>
  <c r="AM410" i="8"/>
  <c r="AJ411" i="8"/>
  <c r="AK411" i="8"/>
  <c r="AM411" i="8"/>
  <c r="AJ412" i="8"/>
  <c r="AK412" i="8"/>
  <c r="AM412" i="8"/>
  <c r="AJ413" i="8"/>
  <c r="AK413" i="8"/>
  <c r="AM413" i="8"/>
  <c r="AJ414" i="8"/>
  <c r="AK414" i="8"/>
  <c r="AM414" i="8"/>
  <c r="AJ415" i="8"/>
  <c r="AK415" i="8"/>
  <c r="AM415" i="8"/>
  <c r="AJ416" i="8"/>
  <c r="AK416" i="8"/>
  <c r="AM416" i="8"/>
  <c r="AJ417" i="8"/>
  <c r="AK417" i="8"/>
  <c r="AM417" i="8"/>
  <c r="AJ418" i="8"/>
  <c r="AK418" i="8"/>
  <c r="AM418" i="8"/>
  <c r="AJ419" i="8"/>
  <c r="AK419" i="8"/>
  <c r="AM419" i="8"/>
  <c r="AJ420" i="8"/>
  <c r="AK420" i="8"/>
  <c r="AM420" i="8"/>
  <c r="AM421" i="8"/>
  <c r="AJ422" i="8"/>
  <c r="AK422" i="8"/>
  <c r="AM422" i="8"/>
  <c r="AJ423" i="8"/>
  <c r="AK423" i="8"/>
  <c r="AM423" i="8"/>
  <c r="AJ425" i="8"/>
  <c r="AK425" i="8"/>
  <c r="AM425" i="8"/>
  <c r="AJ426" i="8"/>
  <c r="AK426" i="8"/>
  <c r="AM426" i="8"/>
  <c r="AJ427" i="8"/>
  <c r="AK427" i="8"/>
  <c r="AM427" i="8"/>
  <c r="AJ428" i="8"/>
  <c r="AK428" i="8"/>
  <c r="AM428" i="8"/>
  <c r="AJ429" i="8"/>
  <c r="AK429" i="8"/>
  <c r="AM429" i="8"/>
  <c r="L263" i="8" a="1"/>
  <c r="L263" i="8" s="1"/>
  <c r="O263" i="8" a="1"/>
  <c r="O263" i="8" s="1"/>
  <c r="K263" i="8" a="1"/>
  <c r="K263" i="8" s="1"/>
  <c r="J263" i="8" a="1"/>
  <c r="J263" i="8" s="1"/>
  <c r="D263" i="8" a="1"/>
  <c r="D263" i="8" s="1"/>
  <c r="B263" i="8" a="1"/>
  <c r="B263" i="8" s="1"/>
  <c r="AT249" i="8" l="1"/>
  <c r="AB122" i="5"/>
  <c r="AB129" i="5"/>
  <c r="AP266" i="8"/>
  <c r="AQ266" i="8" s="1"/>
  <c r="AN266" i="8"/>
  <c r="AP264" i="8"/>
  <c r="AQ264" i="8" s="1"/>
  <c r="AN264" i="8"/>
  <c r="AP265" i="8"/>
  <c r="AQ265" i="8" s="1"/>
  <c r="AN265" i="8"/>
  <c r="AN263" i="8"/>
  <c r="AP267" i="8"/>
  <c r="AQ267" i="8" s="1"/>
  <c r="AN267" i="8"/>
  <c r="AS313" i="8"/>
  <c r="AQ313" i="8"/>
  <c r="Q44" i="8"/>
  <c r="Q200" i="8"/>
  <c r="R140" i="8"/>
  <c r="Q140" i="8"/>
  <c r="R199" i="8"/>
  <c r="R204" i="8"/>
  <c r="Q199" i="8"/>
  <c r="Q204" i="8"/>
  <c r="R78" i="8"/>
  <c r="N82" i="8"/>
  <c r="R82" i="8" s="1"/>
  <c r="R44" i="8"/>
  <c r="Q78" i="8"/>
  <c r="R200" i="8"/>
  <c r="AT272" i="8"/>
  <c r="AT270" i="8"/>
  <c r="AT271" i="8"/>
  <c r="AT269" i="8"/>
  <c r="AT268" i="8"/>
  <c r="AS267" i="8"/>
  <c r="M267" i="8"/>
  <c r="Q267" i="8" s="1"/>
  <c r="N267" i="8"/>
  <c r="R267" i="8" s="1"/>
  <c r="AI267" i="8"/>
  <c r="AE267" i="8"/>
  <c r="U80" i="5"/>
  <c r="AD80" i="5" s="1"/>
  <c r="N80" i="5"/>
  <c r="AN82" i="8"/>
  <c r="G82" i="8"/>
  <c r="F82" i="8"/>
  <c r="AI82" i="8"/>
  <c r="AE82" i="8"/>
  <c r="E82" i="8" s="1"/>
  <c r="M82" i="8"/>
  <c r="U200" i="5"/>
  <c r="AD200" i="5" s="1"/>
  <c r="N200" i="5"/>
  <c r="U138" i="5"/>
  <c r="AD138" i="5" s="1"/>
  <c r="AN186" i="8"/>
  <c r="G186" i="8"/>
  <c r="F186" i="8"/>
  <c r="AI186" i="8"/>
  <c r="AE186" i="8"/>
  <c r="E186" i="8" s="1"/>
  <c r="M186" i="8"/>
  <c r="N186" i="8"/>
  <c r="U139" i="5"/>
  <c r="AD139" i="5" s="1"/>
  <c r="N139" i="5"/>
  <c r="N138" i="5"/>
  <c r="AN61" i="8"/>
  <c r="G61" i="8"/>
  <c r="F61" i="8"/>
  <c r="AI61" i="8"/>
  <c r="AE61" i="8"/>
  <c r="E61" i="8" s="1"/>
  <c r="M61" i="8"/>
  <c r="N61" i="8"/>
  <c r="AS266" i="8"/>
  <c r="M266" i="8"/>
  <c r="Q266" i="8" s="1"/>
  <c r="N266" i="8"/>
  <c r="R266" i="8" s="1"/>
  <c r="AI266" i="8"/>
  <c r="AE266" i="8"/>
  <c r="AS265" i="8"/>
  <c r="M265" i="8"/>
  <c r="Q265" i="8" s="1"/>
  <c r="N265" i="8"/>
  <c r="R265" i="8" s="1"/>
  <c r="AI265" i="8"/>
  <c r="AE265" i="8"/>
  <c r="U240" i="5"/>
  <c r="AD240" i="5" s="1"/>
  <c r="N240" i="5"/>
  <c r="M107" i="8"/>
  <c r="N107" i="8"/>
  <c r="AN107" i="8"/>
  <c r="G107" i="8"/>
  <c r="F107" i="8"/>
  <c r="AI107" i="8"/>
  <c r="AE107" i="8"/>
  <c r="E107" i="8" s="1"/>
  <c r="AS264" i="8"/>
  <c r="M264" i="8"/>
  <c r="Q264" i="8" s="1"/>
  <c r="N264" i="8"/>
  <c r="R264" i="8" s="1"/>
  <c r="AI264" i="8"/>
  <c r="AE264" i="8"/>
  <c r="AP263" i="8"/>
  <c r="AQ263" i="8" s="1"/>
  <c r="AS263" i="8"/>
  <c r="M263" i="8"/>
  <c r="Q263" i="8" s="1"/>
  <c r="N263" i="8"/>
  <c r="R263" i="8" s="1"/>
  <c r="AI263" i="8"/>
  <c r="AE263" i="8"/>
  <c r="AT313" i="8" l="1"/>
  <c r="Q186" i="8"/>
  <c r="Q61" i="8"/>
  <c r="R61" i="8"/>
  <c r="Q82" i="8"/>
  <c r="Q107" i="8"/>
  <c r="R186" i="8"/>
  <c r="R107" i="8"/>
  <c r="F6" i="12"/>
  <c r="C11" i="12" s="1"/>
  <c r="AT267" i="8"/>
  <c r="AT266" i="8"/>
  <c r="AT265" i="8"/>
  <c r="AT264" i="8"/>
  <c r="AT263" i="8"/>
  <c r="L262" i="8" l="1" a="1"/>
  <c r="L262" i="8" s="1"/>
  <c r="O262" i="8" a="1"/>
  <c r="O262" i="8" s="1"/>
  <c r="AR262" i="8"/>
  <c r="AG262" i="8"/>
  <c r="K262" i="8" a="1"/>
  <c r="K262" i="8" s="1"/>
  <c r="J262" i="8" a="1"/>
  <c r="J262" i="8" s="1"/>
  <c r="D262" i="8" a="1"/>
  <c r="D262" i="8" s="1"/>
  <c r="B262" i="8" a="1"/>
  <c r="B262" i="8" s="1"/>
  <c r="AN262" i="8" l="1"/>
  <c r="AP262" i="8"/>
  <c r="AQ262" i="8" s="1"/>
  <c r="M262" i="8"/>
  <c r="Q262" i="8" s="1"/>
  <c r="N262" i="8"/>
  <c r="R262" i="8" s="1"/>
  <c r="AS262" i="8"/>
  <c r="AI262" i="8"/>
  <c r="AE262" i="8"/>
  <c r="AT262" i="8" l="1"/>
  <c r="C428" i="8" l="1" a="1"/>
  <c r="C428" i="8" s="1"/>
  <c r="C429" i="8" a="1"/>
  <c r="C429" i="8" s="1"/>
  <c r="J509" i="5"/>
  <c r="AR261" i="8"/>
  <c r="O261" i="8" a="1"/>
  <c r="O261" i="8" s="1"/>
  <c r="L261" i="8" a="1"/>
  <c r="L261" i="8" s="1"/>
  <c r="M261" i="8" s="1"/>
  <c r="AG261" i="8"/>
  <c r="K261" i="8" a="1"/>
  <c r="K261" i="8" s="1"/>
  <c r="J261" i="8" a="1"/>
  <c r="J261" i="8" s="1"/>
  <c r="D261" i="8" a="1"/>
  <c r="D261" i="8" s="1"/>
  <c r="B261" i="8" a="1"/>
  <c r="B261" i="8" s="1"/>
  <c r="D26" i="5" a="1"/>
  <c r="D26" i="5" s="1"/>
  <c r="E26" i="5" a="1"/>
  <c r="E26" i="5" s="1"/>
  <c r="T26" i="5" s="1"/>
  <c r="F26" i="5" a="1"/>
  <c r="F26" i="5" s="1"/>
  <c r="G26" i="5" a="1"/>
  <c r="G26" i="5" s="1"/>
  <c r="M26" i="5"/>
  <c r="Q26" i="5"/>
  <c r="S26" i="5"/>
  <c r="Y26" i="5"/>
  <c r="AM91" i="8"/>
  <c r="O91" i="8" a="1"/>
  <c r="O91" i="8" s="1"/>
  <c r="K91" i="8" a="1"/>
  <c r="K91" i="8" s="1"/>
  <c r="J91" i="8" a="1"/>
  <c r="J91" i="8" s="1"/>
  <c r="C91" i="8" a="1"/>
  <c r="C91" i="8" s="1"/>
  <c r="B91" i="8" a="1"/>
  <c r="B91" i="8" s="1"/>
  <c r="J14" i="8" a="1"/>
  <c r="J14" i="8" s="1"/>
  <c r="L17" i="8" a="1"/>
  <c r="L17" i="8" s="1"/>
  <c r="L14" i="8" a="1"/>
  <c r="L14" i="8" s="1"/>
  <c r="L37" i="8" a="1"/>
  <c r="L37" i="8" s="1"/>
  <c r="L71" i="8" a="1"/>
  <c r="L71" i="8" s="1"/>
  <c r="L12" i="8" a="1"/>
  <c r="L12" i="8" s="1"/>
  <c r="L18" i="8" a="1"/>
  <c r="L18" i="8" s="1"/>
  <c r="L28" i="8" a="1"/>
  <c r="L28" i="8" s="1"/>
  <c r="L23" i="8" a="1"/>
  <c r="L23" i="8" s="1"/>
  <c r="L80" i="8" a="1"/>
  <c r="L80" i="8" s="1"/>
  <c r="L27" i="8" a="1"/>
  <c r="L27" i="8" s="1"/>
  <c r="M59" i="8"/>
  <c r="L20" i="8" a="1"/>
  <c r="L20" i="8" s="1"/>
  <c r="L19" i="8" a="1"/>
  <c r="L19" i="8" s="1"/>
  <c r="L41" i="8" a="1"/>
  <c r="L41" i="8" s="1"/>
  <c r="K17" i="8" a="1"/>
  <c r="K17" i="8" s="1"/>
  <c r="K97" i="8" a="1"/>
  <c r="K97" i="8" s="1"/>
  <c r="K14" i="8" a="1"/>
  <c r="K14" i="8" s="1"/>
  <c r="K34" i="8" a="1"/>
  <c r="K34" i="8" s="1"/>
  <c r="K37" i="8" a="1"/>
  <c r="K37" i="8" s="1"/>
  <c r="K71" i="8" a="1"/>
  <c r="K71" i="8" s="1"/>
  <c r="K12" i="8" a="1"/>
  <c r="K12" i="8" s="1"/>
  <c r="K57" i="8" a="1"/>
  <c r="K57" i="8" s="1"/>
  <c r="K18" i="8" a="1"/>
  <c r="K18" i="8" s="1"/>
  <c r="K28" i="8" a="1"/>
  <c r="K28" i="8" s="1"/>
  <c r="K23" i="8" a="1"/>
  <c r="K23" i="8" s="1"/>
  <c r="K164" i="8" a="1"/>
  <c r="K164" i="8" s="1"/>
  <c r="K39" i="8" a="1"/>
  <c r="K39" i="8" s="1"/>
  <c r="K55" i="8" a="1"/>
  <c r="K55" i="8" s="1"/>
  <c r="K128" i="8" a="1"/>
  <c r="K128" i="8" s="1"/>
  <c r="K100" i="8" a="1"/>
  <c r="K100" i="8" s="1"/>
  <c r="K177" i="8" a="1"/>
  <c r="K177" i="8" s="1"/>
  <c r="K80" i="8" a="1"/>
  <c r="K80" i="8" s="1"/>
  <c r="K163" i="8" a="1"/>
  <c r="K163" i="8" s="1"/>
  <c r="K27" i="8" a="1"/>
  <c r="K27" i="8" s="1"/>
  <c r="K63" i="8" a="1"/>
  <c r="K63" i="8" s="1"/>
  <c r="K185" i="8" a="1"/>
  <c r="K185" i="8" s="1"/>
  <c r="K194" i="8" a="1"/>
  <c r="K194" i="8" s="1"/>
  <c r="K162" i="8" a="1"/>
  <c r="K162" i="8" s="1"/>
  <c r="K205" i="8" a="1"/>
  <c r="K205" i="8" s="1"/>
  <c r="K209" i="8" a="1"/>
  <c r="K209" i="8" s="1"/>
  <c r="K94" i="8" a="1"/>
  <c r="K94" i="8" s="1"/>
  <c r="K59" i="8" a="1"/>
  <c r="K59" i="8" s="1"/>
  <c r="K166" i="8" a="1"/>
  <c r="K166" i="8" s="1"/>
  <c r="K74" i="8" a="1"/>
  <c r="K74" i="8" s="1"/>
  <c r="K89" i="8" a="1"/>
  <c r="K89" i="8" s="1"/>
  <c r="K134" i="8" a="1"/>
  <c r="K134" i="8" s="1"/>
  <c r="K93" i="8" a="1"/>
  <c r="K93" i="8" s="1"/>
  <c r="K124" i="8" a="1"/>
  <c r="K124" i="8" s="1"/>
  <c r="K145" i="8" a="1"/>
  <c r="K145" i="8" s="1"/>
  <c r="K32" i="8" a="1"/>
  <c r="K32" i="8" s="1"/>
  <c r="K170" i="8" a="1"/>
  <c r="K170" i="8" s="1"/>
  <c r="K147" i="8" a="1"/>
  <c r="K147" i="8" s="1"/>
  <c r="K155" i="8" a="1"/>
  <c r="K155" i="8" s="1"/>
  <c r="K148" i="8" a="1"/>
  <c r="K148" i="8" s="1"/>
  <c r="K158" i="8" a="1"/>
  <c r="K158" i="8" s="1"/>
  <c r="K20" i="8" a="1"/>
  <c r="K20" i="8" s="1"/>
  <c r="K40" i="8" a="1"/>
  <c r="K40" i="8" s="1"/>
  <c r="K46" i="8" a="1"/>
  <c r="K46" i="8" s="1"/>
  <c r="K48" i="8" a="1"/>
  <c r="K48" i="8" s="1"/>
  <c r="K165" i="8" a="1"/>
  <c r="K165" i="8" s="1"/>
  <c r="K168" i="8" a="1"/>
  <c r="K168" i="8" s="1"/>
  <c r="K180" i="8" a="1"/>
  <c r="K180" i="8" s="1"/>
  <c r="K156" i="8" a="1"/>
  <c r="K156" i="8" s="1"/>
  <c r="K62" i="8" a="1"/>
  <c r="K62" i="8" s="1"/>
  <c r="K129" i="8" a="1"/>
  <c r="K129" i="8" s="1"/>
  <c r="K60" i="8" a="1"/>
  <c r="K60" i="8" s="1"/>
  <c r="K176" i="8" a="1"/>
  <c r="K176" i="8" s="1"/>
  <c r="K50" i="8" a="1"/>
  <c r="K50" i="8" s="1"/>
  <c r="K167" i="8" a="1"/>
  <c r="K167" i="8" s="1"/>
  <c r="K154" i="8" a="1"/>
  <c r="K154" i="8" s="1"/>
  <c r="K207" i="8" a="1"/>
  <c r="K207" i="8" s="1"/>
  <c r="K139" i="8" a="1"/>
  <c r="K139" i="8" s="1"/>
  <c r="K189" i="8" a="1"/>
  <c r="K189" i="8" s="1"/>
  <c r="K157" i="8" a="1"/>
  <c r="K157" i="8" s="1"/>
  <c r="K150" i="8" a="1"/>
  <c r="K150" i="8" s="1"/>
  <c r="K24" i="8" a="1"/>
  <c r="K24" i="8" s="1"/>
  <c r="K72" i="8" a="1"/>
  <c r="K72" i="8" s="1"/>
  <c r="K103" i="8" a="1"/>
  <c r="K103" i="8" s="1"/>
  <c r="K188" i="8" a="1"/>
  <c r="K188" i="8" s="1"/>
  <c r="K41" i="8" a="1"/>
  <c r="K41" i="8" s="1"/>
  <c r="K19" i="8" a="1"/>
  <c r="K19" i="8" s="1"/>
  <c r="K197" i="8" a="1"/>
  <c r="K197" i="8" s="1"/>
  <c r="K190" i="8" a="1"/>
  <c r="K190" i="8" s="1"/>
  <c r="K210" i="8" a="1"/>
  <c r="K210" i="8" s="1"/>
  <c r="K130" i="8" a="1"/>
  <c r="K130" i="8" s="1"/>
  <c r="K203" i="8" a="1"/>
  <c r="K203" i="8" s="1"/>
  <c r="K201" i="8" a="1"/>
  <c r="K201" i="8" s="1"/>
  <c r="K208" i="8" a="1"/>
  <c r="K208" i="8" s="1"/>
  <c r="K181" i="8" a="1"/>
  <c r="K181" i="8" s="1"/>
  <c r="K67" i="8" a="1"/>
  <c r="K67" i="8" s="1"/>
  <c r="K198" i="8" a="1"/>
  <c r="K198" i="8" s="1"/>
  <c r="G216" i="5" a="1"/>
  <c r="G216" i="5" s="1"/>
  <c r="AI216" i="5" s="1"/>
  <c r="D216" i="5" a="1"/>
  <c r="D216" i="5" s="1"/>
  <c r="E216" i="5" a="1"/>
  <c r="E216" i="5" s="1"/>
  <c r="T216" i="5" s="1"/>
  <c r="M216" i="5"/>
  <c r="Q216" i="5"/>
  <c r="S216" i="5"/>
  <c r="Y216" i="5"/>
  <c r="AM177" i="8"/>
  <c r="O177" i="8" a="1"/>
  <c r="O177" i="8" s="1"/>
  <c r="J177" i="8" a="1"/>
  <c r="J177" i="8" s="1"/>
  <c r="C177" i="8" a="1"/>
  <c r="C177" i="8" s="1"/>
  <c r="B177" i="8" a="1"/>
  <c r="B177" i="8" s="1"/>
  <c r="AM63" i="8"/>
  <c r="O63" i="8" a="1"/>
  <c r="O63" i="8" s="1"/>
  <c r="J63" i="8" a="1"/>
  <c r="J63" i="8" s="1"/>
  <c r="C63" i="8" a="1"/>
  <c r="C63" i="8" s="1"/>
  <c r="B63" i="8" a="1"/>
  <c r="B63" i="8" s="1"/>
  <c r="Y185" i="5"/>
  <c r="S185" i="5"/>
  <c r="Q185" i="5"/>
  <c r="M185" i="5"/>
  <c r="G185" i="5" a="1"/>
  <c r="G185" i="5" s="1"/>
  <c r="AI185" i="5" s="1"/>
  <c r="E185" i="5" a="1"/>
  <c r="E185" i="5" s="1"/>
  <c r="T185" i="5" s="1"/>
  <c r="D185" i="5" a="1"/>
  <c r="D185" i="5" s="1"/>
  <c r="AR260" i="8"/>
  <c r="L260" i="8" a="1"/>
  <c r="L260" i="8" s="1"/>
  <c r="O260" i="8" a="1"/>
  <c r="O260" i="8" s="1"/>
  <c r="AG260" i="8"/>
  <c r="K260" i="8" a="1"/>
  <c r="K260" i="8" s="1"/>
  <c r="J260" i="8" a="1"/>
  <c r="J260" i="8" s="1"/>
  <c r="D260" i="8" a="1"/>
  <c r="D260" i="8" s="1"/>
  <c r="B260" i="8" a="1"/>
  <c r="B260" i="8" s="1"/>
  <c r="D255" i="8" a="1"/>
  <c r="D255" i="8" s="1"/>
  <c r="J255" i="8" a="1"/>
  <c r="J255" i="8" s="1"/>
  <c r="K255" i="8" a="1"/>
  <c r="K255" i="8" s="1"/>
  <c r="L255" i="8" a="1"/>
  <c r="L255" i="8" s="1"/>
  <c r="O255" i="8" a="1"/>
  <c r="O255" i="8" s="1"/>
  <c r="B40" i="8" a="1"/>
  <c r="B40" i="8" s="1"/>
  <c r="C40" i="8" a="1"/>
  <c r="C40" i="8" s="1"/>
  <c r="J40" i="8" a="1"/>
  <c r="J40" i="8" s="1"/>
  <c r="O40" i="8" a="1"/>
  <c r="O40" i="8" s="1"/>
  <c r="AM40" i="8"/>
  <c r="AI429" i="8"/>
  <c r="AE429" i="8"/>
  <c r="O429" i="8" a="1"/>
  <c r="O429" i="8" s="1"/>
  <c r="L429" i="8" a="1"/>
  <c r="L429" i="8" s="1"/>
  <c r="K429" i="8" a="1"/>
  <c r="K429" i="8" s="1"/>
  <c r="J429" i="8" a="1"/>
  <c r="J429" i="8" s="1"/>
  <c r="D429" i="8" a="1"/>
  <c r="D429" i="8" s="1"/>
  <c r="AN429" i="8" s="1"/>
  <c r="B429" i="8" a="1"/>
  <c r="B429" i="8" s="1"/>
  <c r="AI428" i="8"/>
  <c r="AE428" i="8"/>
  <c r="O428" i="8" a="1"/>
  <c r="O428" i="8" s="1"/>
  <c r="L428" i="8" a="1"/>
  <c r="L428" i="8" s="1"/>
  <c r="N428" i="8" s="1"/>
  <c r="K428" i="8" a="1"/>
  <c r="K428" i="8" s="1"/>
  <c r="J428" i="8" a="1"/>
  <c r="J428" i="8" s="1"/>
  <c r="D428" i="8" a="1"/>
  <c r="D428" i="8" s="1"/>
  <c r="AN428" i="8" s="1"/>
  <c r="B428" i="8" a="1"/>
  <c r="B428" i="8" s="1"/>
  <c r="O256" i="8" a="1"/>
  <c r="O256" i="8" s="1"/>
  <c r="O257" i="8" a="1"/>
  <c r="O257" i="8" s="1"/>
  <c r="O258" i="8" a="1"/>
  <c r="O258" i="8" s="1"/>
  <c r="O259" i="8" a="1"/>
  <c r="O259" i="8" s="1"/>
  <c r="L258" i="8" a="1"/>
  <c r="L258" i="8" s="1"/>
  <c r="M258" i="8" s="1"/>
  <c r="L259" i="8" a="1"/>
  <c r="L259" i="8" s="1"/>
  <c r="M259" i="8" s="1"/>
  <c r="AR259" i="8"/>
  <c r="AH259" i="8"/>
  <c r="AC259" i="8"/>
  <c r="AD259" i="8" s="1"/>
  <c r="Z259" i="8"/>
  <c r="K259" i="8" a="1"/>
  <c r="K259" i="8" s="1"/>
  <c r="J259" i="8" a="1"/>
  <c r="J259" i="8" s="1"/>
  <c r="D259" i="8" a="1"/>
  <c r="D259" i="8" s="1"/>
  <c r="B259" i="8" a="1"/>
  <c r="B259" i="8" s="1"/>
  <c r="AR258" i="8"/>
  <c r="AG258" i="8"/>
  <c r="K258" i="8" a="1"/>
  <c r="K258" i="8" s="1"/>
  <c r="J258" i="8" a="1"/>
  <c r="J258" i="8" s="1"/>
  <c r="D258" i="8" a="1"/>
  <c r="D258" i="8" s="1"/>
  <c r="B258" i="8" a="1"/>
  <c r="B258" i="8" s="1"/>
  <c r="AI427" i="8"/>
  <c r="AE427" i="8"/>
  <c r="O427" i="8" a="1"/>
  <c r="O427" i="8" s="1"/>
  <c r="L427" i="8" a="1"/>
  <c r="L427" i="8" s="1"/>
  <c r="K427" i="8" a="1"/>
  <c r="K427" i="8" s="1"/>
  <c r="J427" i="8" a="1"/>
  <c r="J427" i="8" s="1"/>
  <c r="D427" i="8" a="1"/>
  <c r="D427" i="8" s="1"/>
  <c r="AN427" i="8" s="1"/>
  <c r="C427" i="8" a="1"/>
  <c r="C427" i="8" s="1"/>
  <c r="N427" i="8" s="1" a="1"/>
  <c r="N427" i="8" s="1"/>
  <c r="B427" i="8" a="1"/>
  <c r="B427" i="8" s="1"/>
  <c r="M427" i="8" s="1" a="1"/>
  <c r="M427" i="8" s="1"/>
  <c r="AI426" i="8"/>
  <c r="AE426" i="8"/>
  <c r="O426" i="8" a="1"/>
  <c r="O426" i="8" s="1"/>
  <c r="L426" i="8" a="1"/>
  <c r="L426" i="8" s="1"/>
  <c r="K426" i="8" a="1"/>
  <c r="K426" i="8" s="1"/>
  <c r="J426" i="8" a="1"/>
  <c r="J426" i="8" s="1"/>
  <c r="D426" i="8" a="1"/>
  <c r="D426" i="8" s="1"/>
  <c r="AN426" i="8" s="1"/>
  <c r="C426" i="8" a="1"/>
  <c r="C426" i="8" s="1"/>
  <c r="N426" i="8" s="1" a="1"/>
  <c r="N426" i="8" s="1"/>
  <c r="B426" i="8" a="1"/>
  <c r="B426" i="8" s="1"/>
  <c r="M426" i="8" s="1" a="1"/>
  <c r="M426" i="8" s="1"/>
  <c r="AI425" i="8"/>
  <c r="AE425" i="8"/>
  <c r="O425" i="8" a="1"/>
  <c r="O425" i="8" s="1"/>
  <c r="L425" i="8" a="1"/>
  <c r="L425" i="8" s="1"/>
  <c r="K425" i="8" a="1"/>
  <c r="K425" i="8" s="1"/>
  <c r="J425" i="8" a="1"/>
  <c r="J425" i="8" s="1"/>
  <c r="D425" i="8" a="1"/>
  <c r="D425" i="8" s="1"/>
  <c r="C425" i="8" a="1"/>
  <c r="C425" i="8" s="1"/>
  <c r="N425" i="8" s="1" a="1"/>
  <c r="N425" i="8" s="1"/>
  <c r="B425" i="8" a="1"/>
  <c r="B425" i="8" s="1"/>
  <c r="M425" i="8" s="1" a="1"/>
  <c r="M425" i="8" s="1"/>
  <c r="O17" i="8" a="1"/>
  <c r="O17" i="8" s="1"/>
  <c r="O97" i="8" a="1"/>
  <c r="O97" i="8" s="1"/>
  <c r="O14" i="8" a="1"/>
  <c r="O14" i="8" s="1"/>
  <c r="O34" i="8" a="1"/>
  <c r="O34" i="8" s="1"/>
  <c r="O37" i="8" a="1"/>
  <c r="O37" i="8" s="1"/>
  <c r="O71" i="8" a="1"/>
  <c r="O71" i="8" s="1"/>
  <c r="O12" i="8" a="1"/>
  <c r="O12" i="8" s="1"/>
  <c r="O18" i="8" a="1"/>
  <c r="O18" i="8" s="1"/>
  <c r="O57" i="8" a="1"/>
  <c r="O57" i="8" s="1"/>
  <c r="O23" i="8" a="1"/>
  <c r="O23" i="8" s="1"/>
  <c r="O39" i="8" a="1"/>
  <c r="O39" i="8" s="1"/>
  <c r="O28" i="8" a="1"/>
  <c r="O28" i="8" s="1"/>
  <c r="O55" i="8" a="1"/>
  <c r="O55" i="8" s="1"/>
  <c r="O128" i="8" a="1"/>
  <c r="O128" i="8" s="1"/>
  <c r="O27" i="8" a="1"/>
  <c r="O27" i="8" s="1"/>
  <c r="O100" i="8" a="1"/>
  <c r="O100" i="8" s="1"/>
  <c r="O80" i="8" a="1"/>
  <c r="O80" i="8" s="1"/>
  <c r="O163" i="8" a="1"/>
  <c r="O163" i="8" s="1"/>
  <c r="O185" i="8" a="1"/>
  <c r="O185" i="8" s="1"/>
  <c r="O164" i="8" a="1"/>
  <c r="O164" i="8" s="1"/>
  <c r="O194" i="8" a="1"/>
  <c r="O194" i="8" s="1"/>
  <c r="O205" i="8" a="1"/>
  <c r="O205" i="8" s="1"/>
  <c r="O59" i="8" a="1"/>
  <c r="O59" i="8" s="1"/>
  <c r="O94" i="8" a="1"/>
  <c r="O94" i="8" s="1"/>
  <c r="O209" i="8" a="1"/>
  <c r="O209" i="8" s="1"/>
  <c r="O134" i="8" a="1"/>
  <c r="O134" i="8" s="1"/>
  <c r="O74" i="8" a="1"/>
  <c r="O74" i="8" s="1"/>
  <c r="O89" i="8" a="1"/>
  <c r="O89" i="8" s="1"/>
  <c r="O93" i="8" a="1"/>
  <c r="O93" i="8" s="1"/>
  <c r="O166" i="8" a="1"/>
  <c r="O166" i="8" s="1"/>
  <c r="O124" i="8" a="1"/>
  <c r="O124" i="8" s="1"/>
  <c r="O145" i="8" a="1"/>
  <c r="O145" i="8" s="1"/>
  <c r="O148" i="8" a="1"/>
  <c r="O148" i="8" s="1"/>
  <c r="O20" i="8" a="1"/>
  <c r="O20" i="8" s="1"/>
  <c r="O147" i="8" a="1"/>
  <c r="O147" i="8" s="1"/>
  <c r="O32" i="8" a="1"/>
  <c r="O32" i="8" s="1"/>
  <c r="O170" i="8" a="1"/>
  <c r="O170" i="8" s="1"/>
  <c r="O155" i="8" a="1"/>
  <c r="O155" i="8" s="1"/>
  <c r="O158" i="8" a="1"/>
  <c r="O158" i="8" s="1"/>
  <c r="O180" i="8" a="1"/>
  <c r="O180" i="8" s="1"/>
  <c r="O46" i="8" a="1"/>
  <c r="O46" i="8" s="1"/>
  <c r="O62" i="8" a="1"/>
  <c r="O62" i="8" s="1"/>
  <c r="O168" i="8" a="1"/>
  <c r="O168" i="8" s="1"/>
  <c r="O60" i="8" a="1"/>
  <c r="O60" i="8" s="1"/>
  <c r="O50" i="8" a="1"/>
  <c r="O50" i="8" s="1"/>
  <c r="O165" i="8" a="1"/>
  <c r="O165" i="8" s="1"/>
  <c r="O176" i="8" a="1"/>
  <c r="O176" i="8" s="1"/>
  <c r="O156" i="8" a="1"/>
  <c r="O156" i="8" s="1"/>
  <c r="O154" i="8" a="1"/>
  <c r="O154" i="8" s="1"/>
  <c r="O129" i="8" a="1"/>
  <c r="O129" i="8" s="1"/>
  <c r="O207" i="8" a="1"/>
  <c r="O207" i="8" s="1"/>
  <c r="O167" i="8" a="1"/>
  <c r="O167" i="8" s="1"/>
  <c r="O139" i="8" a="1"/>
  <c r="O139" i="8" s="1"/>
  <c r="O150" i="8" a="1"/>
  <c r="O150" i="8" s="1"/>
  <c r="O72" i="8" a="1"/>
  <c r="O72" i="8" s="1"/>
  <c r="O157" i="8" a="1"/>
  <c r="O157" i="8" s="1"/>
  <c r="O189" i="8" a="1"/>
  <c r="O189" i="8" s="1"/>
  <c r="O24" i="8" a="1"/>
  <c r="O24" i="8" s="1"/>
  <c r="O103" i="8" a="1"/>
  <c r="O103" i="8" s="1"/>
  <c r="O197" i="8" a="1"/>
  <c r="O197" i="8" s="1"/>
  <c r="O188" i="8" a="1"/>
  <c r="O188" i="8" s="1"/>
  <c r="O19" i="8" a="1"/>
  <c r="O19" i="8" s="1"/>
  <c r="O41" i="8" a="1"/>
  <c r="O41" i="8" s="1"/>
  <c r="O190" i="8" a="1"/>
  <c r="O190" i="8" s="1"/>
  <c r="O210" i="8" a="1"/>
  <c r="O210" i="8" s="1"/>
  <c r="O203" i="8" a="1"/>
  <c r="O203" i="8" s="1"/>
  <c r="O130" i="8" a="1"/>
  <c r="O130" i="8" s="1"/>
  <c r="O201" i="8" a="1"/>
  <c r="O201" i="8" s="1"/>
  <c r="O208" i="8" a="1"/>
  <c r="O208" i="8" s="1"/>
  <c r="O181" i="8" a="1"/>
  <c r="O181" i="8" s="1"/>
  <c r="O67" i="8" a="1"/>
  <c r="O67" i="8" s="1"/>
  <c r="N361" i="8" a="1"/>
  <c r="N361" i="8" s="1"/>
  <c r="N362" i="8" a="1"/>
  <c r="N362" i="8" s="1"/>
  <c r="N363" i="8" a="1"/>
  <c r="N363" i="8" s="1"/>
  <c r="N364" i="8" a="1"/>
  <c r="N364" i="8" s="1"/>
  <c r="N365" i="8" a="1"/>
  <c r="N365" i="8" s="1"/>
  <c r="N366" i="8" a="1"/>
  <c r="N366" i="8" s="1"/>
  <c r="N367" i="8" a="1"/>
  <c r="N367" i="8" s="1"/>
  <c r="N368" i="8" a="1"/>
  <c r="N368" i="8" s="1"/>
  <c r="N369" i="8" a="1"/>
  <c r="N369" i="8" s="1"/>
  <c r="N370" i="8" a="1"/>
  <c r="N370" i="8" s="1"/>
  <c r="N371" i="8" a="1"/>
  <c r="N371" i="8" s="1"/>
  <c r="N372" i="8" a="1"/>
  <c r="N372" i="8" s="1"/>
  <c r="N373" i="8" a="1"/>
  <c r="N373" i="8" s="1"/>
  <c r="N374" i="8" a="1"/>
  <c r="N374" i="8" s="1"/>
  <c r="N375" i="8" a="1"/>
  <c r="N375" i="8" s="1"/>
  <c r="N376" i="8" a="1"/>
  <c r="N376" i="8" s="1"/>
  <c r="N377" i="8" a="1"/>
  <c r="N377" i="8" s="1"/>
  <c r="N378" i="8" a="1"/>
  <c r="N378" i="8" s="1"/>
  <c r="N379" i="8" a="1"/>
  <c r="N379" i="8" s="1"/>
  <c r="N380" i="8" a="1"/>
  <c r="N380" i="8" s="1"/>
  <c r="N381" i="8" a="1"/>
  <c r="N381" i="8" s="1"/>
  <c r="N382" i="8" a="1"/>
  <c r="N382" i="8" s="1"/>
  <c r="N383" i="8" a="1"/>
  <c r="N383" i="8" s="1"/>
  <c r="N384" i="8" a="1"/>
  <c r="N384" i="8" s="1"/>
  <c r="N385" i="8" a="1"/>
  <c r="N385" i="8" s="1"/>
  <c r="N386" i="8" a="1"/>
  <c r="N386" i="8" s="1"/>
  <c r="N387" i="8" a="1"/>
  <c r="N387" i="8" s="1"/>
  <c r="N388" i="8" a="1"/>
  <c r="N388" i="8" s="1"/>
  <c r="N389" i="8" a="1"/>
  <c r="N389" i="8" s="1"/>
  <c r="N390" i="8" a="1"/>
  <c r="N390" i="8" s="1"/>
  <c r="N391" i="8" a="1"/>
  <c r="N391" i="8" s="1"/>
  <c r="N392" i="8" a="1"/>
  <c r="N392" i="8" s="1"/>
  <c r="N393" i="8" a="1"/>
  <c r="N393" i="8" s="1"/>
  <c r="N394" i="8" a="1"/>
  <c r="N394" i="8" s="1"/>
  <c r="N395" i="8" a="1"/>
  <c r="N395" i="8" s="1"/>
  <c r="N396" i="8" a="1"/>
  <c r="N396" i="8" s="1"/>
  <c r="N397" i="8" a="1"/>
  <c r="N397" i="8" s="1"/>
  <c r="N398" i="8" a="1"/>
  <c r="N398" i="8" s="1"/>
  <c r="N399" i="8" a="1"/>
  <c r="N399" i="8" s="1"/>
  <c r="N400" i="8" a="1"/>
  <c r="N400" i="8" s="1"/>
  <c r="N401" i="8" a="1"/>
  <c r="N401" i="8" s="1"/>
  <c r="N402" i="8" a="1"/>
  <c r="N402" i="8" s="1"/>
  <c r="N403" i="8" a="1"/>
  <c r="N403" i="8" s="1"/>
  <c r="N404" i="8" a="1"/>
  <c r="N404" i="8" s="1"/>
  <c r="N405" i="8" a="1"/>
  <c r="N405" i="8" s="1"/>
  <c r="N406" i="8" a="1"/>
  <c r="N406" i="8" s="1"/>
  <c r="N407" i="8" a="1"/>
  <c r="N407" i="8" s="1"/>
  <c r="N408" i="8" a="1"/>
  <c r="N408" i="8" s="1"/>
  <c r="N409" i="8" a="1"/>
  <c r="N409" i="8" s="1"/>
  <c r="N410" i="8" a="1"/>
  <c r="N410" i="8" s="1"/>
  <c r="N411" i="8" a="1"/>
  <c r="N411" i="8" s="1"/>
  <c r="N412" i="8" a="1"/>
  <c r="N412" i="8" s="1"/>
  <c r="N413" i="8" a="1"/>
  <c r="N413" i="8" s="1"/>
  <c r="N414" i="8" a="1"/>
  <c r="N414" i="8" s="1"/>
  <c r="N415" i="8" a="1"/>
  <c r="N415" i="8" s="1"/>
  <c r="N416" i="8" a="1"/>
  <c r="N416" i="8" s="1"/>
  <c r="N417" i="8" a="1"/>
  <c r="N417" i="8" s="1"/>
  <c r="N418" i="8" a="1"/>
  <c r="N418" i="8" s="1"/>
  <c r="N419" i="8" a="1"/>
  <c r="N419" i="8" s="1"/>
  <c r="N420" i="8" a="1"/>
  <c r="N420" i="8" s="1"/>
  <c r="N421" i="8" a="1"/>
  <c r="N421" i="8" s="1"/>
  <c r="N422" i="8" a="1"/>
  <c r="N422" i="8" s="1"/>
  <c r="N423" i="8" a="1"/>
  <c r="N423" i="8" s="1"/>
  <c r="AJ259" i="8" l="1"/>
  <c r="AM259" i="8"/>
  <c r="AN258" i="8"/>
  <c r="AN260" i="8"/>
  <c r="AN259" i="8"/>
  <c r="AN261" i="8"/>
  <c r="AN255" i="8"/>
  <c r="M28" i="8"/>
  <c r="N14" i="8"/>
  <c r="M39" i="8"/>
  <c r="M23" i="8"/>
  <c r="U185" i="5"/>
  <c r="AD185" i="5" s="1"/>
  <c r="AP258" i="8"/>
  <c r="AQ258" i="8" s="1"/>
  <c r="AP259" i="8"/>
  <c r="AQ259" i="8" s="1"/>
  <c r="AP261" i="8"/>
  <c r="AQ261" i="8" s="1"/>
  <c r="AP260" i="8"/>
  <c r="AQ260" i="8" s="1"/>
  <c r="AS261" i="8"/>
  <c r="Q261" i="8"/>
  <c r="N261" i="8"/>
  <c r="R261" i="8" s="1"/>
  <c r="AI261" i="8"/>
  <c r="AE261" i="8"/>
  <c r="U26" i="5"/>
  <c r="AD26" i="5" s="1"/>
  <c r="N26" i="5"/>
  <c r="AN91" i="8"/>
  <c r="G91" i="8"/>
  <c r="F91" i="8"/>
  <c r="AI91" i="8"/>
  <c r="AE91" i="8"/>
  <c r="E91" i="8" s="1"/>
  <c r="N91" i="8"/>
  <c r="R91" i="8" s="1"/>
  <c r="M91" i="8"/>
  <c r="Q91" i="8" s="1"/>
  <c r="U216" i="5"/>
  <c r="AD216" i="5" s="1"/>
  <c r="V216" i="5"/>
  <c r="N216" i="5"/>
  <c r="AN177" i="8"/>
  <c r="G177" i="8"/>
  <c r="F177" i="8"/>
  <c r="AI177" i="8"/>
  <c r="AE177" i="8"/>
  <c r="E177" i="8" s="1"/>
  <c r="M177" i="8"/>
  <c r="Q177" i="8" s="1"/>
  <c r="N177" i="8"/>
  <c r="R177" i="8" s="1"/>
  <c r="AN63" i="8"/>
  <c r="G63" i="8"/>
  <c r="F63" i="8"/>
  <c r="AI63" i="8"/>
  <c r="AE63" i="8"/>
  <c r="E63" i="8" s="1"/>
  <c r="M63" i="8"/>
  <c r="N63" i="8"/>
  <c r="N185" i="5"/>
  <c r="V185" i="5"/>
  <c r="AI260" i="8"/>
  <c r="AE260" i="8"/>
  <c r="AS260" i="8"/>
  <c r="M260" i="8"/>
  <c r="Q260" i="8" s="1"/>
  <c r="N260" i="8"/>
  <c r="R260" i="8" s="1"/>
  <c r="M255" i="8"/>
  <c r="Q255" i="8" s="1"/>
  <c r="N255" i="8"/>
  <c r="R255" i="8" s="1"/>
  <c r="AI40" i="8"/>
  <c r="M40" i="8"/>
  <c r="N40" i="8"/>
  <c r="AK40" i="8"/>
  <c r="G40" i="8" s="1"/>
  <c r="AN40" i="8"/>
  <c r="AE40" i="8"/>
  <c r="E40" i="8" s="1"/>
  <c r="AJ40" i="8"/>
  <c r="F40" i="8" s="1"/>
  <c r="R428" i="8"/>
  <c r="AG429" i="8"/>
  <c r="M429" i="8"/>
  <c r="Q429" i="8" s="1"/>
  <c r="N429" i="8"/>
  <c r="R429" i="8" s="1"/>
  <c r="AG428" i="8"/>
  <c r="M428" i="8"/>
  <c r="Q428" i="8" s="1"/>
  <c r="AS258" i="8"/>
  <c r="AS259" i="8"/>
  <c r="Q259" i="8"/>
  <c r="Q258" i="8"/>
  <c r="N259" i="8"/>
  <c r="R259" i="8" s="1"/>
  <c r="N258" i="8"/>
  <c r="R258" i="8" s="1"/>
  <c r="AE259" i="8"/>
  <c r="AI259" i="8"/>
  <c r="AI258" i="8"/>
  <c r="AE258" i="8"/>
  <c r="AG427" i="8"/>
  <c r="AG426" i="8"/>
  <c r="AN425" i="8"/>
  <c r="AO493" i="8" s="1"/>
  <c r="AG425" i="8"/>
  <c r="N39" i="8"/>
  <c r="N59" i="8"/>
  <c r="N28" i="8"/>
  <c r="N23" i="8"/>
  <c r="AB185" i="5" l="1"/>
  <c r="AB216" i="5"/>
  <c r="R40" i="8"/>
  <c r="R63" i="8"/>
  <c r="Q40" i="8"/>
  <c r="Q63" i="8"/>
  <c r="AT261" i="8"/>
  <c r="AT260" i="8"/>
  <c r="AT258" i="8"/>
  <c r="AT259" i="8"/>
  <c r="J503" i="5" l="1"/>
  <c r="M27" i="8" l="1"/>
  <c r="N27" i="8"/>
  <c r="M12" i="8"/>
  <c r="N12" i="8"/>
  <c r="M97" i="8"/>
  <c r="N97" i="8"/>
  <c r="M80" i="8"/>
  <c r="N80" i="8"/>
  <c r="M163" i="8"/>
  <c r="N163" i="8"/>
  <c r="M14" i="8"/>
  <c r="M18" i="8"/>
  <c r="N18" i="8"/>
  <c r="M185" i="8"/>
  <c r="N185" i="8"/>
  <c r="M62" i="8"/>
  <c r="N62" i="8"/>
  <c r="M100" i="8"/>
  <c r="N100" i="8"/>
  <c r="M37" i="8"/>
  <c r="N37" i="8"/>
  <c r="M205" i="8"/>
  <c r="N205" i="8"/>
  <c r="M57" i="8"/>
  <c r="N57" i="8"/>
  <c r="M34" i="8"/>
  <c r="N34" i="8"/>
  <c r="M128" i="8"/>
  <c r="N128" i="8"/>
  <c r="M194" i="8"/>
  <c r="N194" i="8"/>
  <c r="M164" i="8"/>
  <c r="N164" i="8"/>
  <c r="M55" i="8"/>
  <c r="N55" i="8"/>
  <c r="M71" i="8"/>
  <c r="N71" i="8"/>
  <c r="AR256" i="8" l="1"/>
  <c r="L256" i="8" a="1"/>
  <c r="L256" i="8" s="1"/>
  <c r="L257" i="8" a="1"/>
  <c r="L257" i="8" s="1"/>
  <c r="AG256" i="8"/>
  <c r="K256" i="8" a="1"/>
  <c r="K256" i="8" s="1"/>
  <c r="J256" i="8" a="1"/>
  <c r="J256" i="8" s="1"/>
  <c r="D256" i="8" a="1"/>
  <c r="D256" i="8" s="1"/>
  <c r="B256" i="8" a="1"/>
  <c r="B256" i="8" s="1"/>
  <c r="AR257" i="8"/>
  <c r="K257" i="8" a="1"/>
  <c r="K257" i="8" s="1"/>
  <c r="J257" i="8" a="1"/>
  <c r="J257" i="8" s="1"/>
  <c r="D257" i="8" a="1"/>
  <c r="D257" i="8" s="1"/>
  <c r="B257" i="8" a="1"/>
  <c r="B257" i="8" s="1"/>
  <c r="C198" i="8" a="1"/>
  <c r="C198" i="8" s="1"/>
  <c r="C17" i="8" a="1"/>
  <c r="C17" i="8" s="1"/>
  <c r="C14" i="8" a="1"/>
  <c r="C14" i="8" s="1"/>
  <c r="C97" i="8" a="1"/>
  <c r="C97" i="8" s="1"/>
  <c r="C34" i="8" a="1"/>
  <c r="C34" i="8" s="1"/>
  <c r="C37" i="8" a="1"/>
  <c r="C37" i="8" s="1"/>
  <c r="C18" i="8" a="1"/>
  <c r="C18" i="8" s="1"/>
  <c r="C12" i="8" a="1"/>
  <c r="C12" i="8" s="1"/>
  <c r="C71" i="8" a="1"/>
  <c r="C71" i="8" s="1"/>
  <c r="C57" i="8" a="1"/>
  <c r="C57" i="8" s="1"/>
  <c r="C23" i="8" a="1"/>
  <c r="C23" i="8" s="1"/>
  <c r="C28" i="8" a="1"/>
  <c r="C28" i="8" s="1"/>
  <c r="C39" i="8" a="1"/>
  <c r="C39" i="8" s="1"/>
  <c r="C27" i="8" a="1"/>
  <c r="C27" i="8" s="1"/>
  <c r="C128" i="8" a="1"/>
  <c r="C128" i="8" s="1"/>
  <c r="C55" i="8" a="1"/>
  <c r="C55" i="8" s="1"/>
  <c r="C185" i="8" a="1"/>
  <c r="C185" i="8" s="1"/>
  <c r="C100" i="8" a="1"/>
  <c r="C100" i="8" s="1"/>
  <c r="C162" i="8" a="1"/>
  <c r="C162" i="8" s="1"/>
  <c r="C164" i="8" a="1"/>
  <c r="C164" i="8" s="1"/>
  <c r="C163" i="8" a="1"/>
  <c r="C163" i="8" s="1"/>
  <c r="C80" i="8" a="1"/>
  <c r="C80" i="8" s="1"/>
  <c r="C59" i="8" a="1"/>
  <c r="C59" i="8" s="1"/>
  <c r="C124" i="8" a="1"/>
  <c r="C124" i="8" s="1"/>
  <c r="C194" i="8" a="1"/>
  <c r="C194" i="8" s="1"/>
  <c r="C134" i="8" a="1"/>
  <c r="C134" i="8" s="1"/>
  <c r="C93" i="8" a="1"/>
  <c r="C93" i="8" s="1"/>
  <c r="C166" i="8" a="1"/>
  <c r="C166" i="8" s="1"/>
  <c r="C62" i="8" a="1"/>
  <c r="C62" i="8" s="1"/>
  <c r="C147" i="8" a="1"/>
  <c r="C147" i="8" s="1"/>
  <c r="C156" i="8" a="1"/>
  <c r="C156" i="8" s="1"/>
  <c r="C209" i="8" a="1"/>
  <c r="C209" i="8" s="1"/>
  <c r="C74" i="8" a="1"/>
  <c r="C74" i="8" s="1"/>
  <c r="C145" i="8" a="1"/>
  <c r="C145" i="8" s="1"/>
  <c r="C170" i="8" a="1"/>
  <c r="C170" i="8" s="1"/>
  <c r="C32" i="8" a="1"/>
  <c r="C32" i="8" s="1"/>
  <c r="C94" i="8" a="1"/>
  <c r="C94" i="8" s="1"/>
  <c r="C89" i="8" a="1"/>
  <c r="C89" i="8" s="1"/>
  <c r="C155" i="8" a="1"/>
  <c r="C155" i="8" s="1"/>
  <c r="C180" i="8" a="1"/>
  <c r="C180" i="8" s="1"/>
  <c r="C46" i="8" a="1"/>
  <c r="C46" i="8" s="1"/>
  <c r="C48" i="8" a="1"/>
  <c r="C48" i="8" s="1"/>
  <c r="C158" i="8" a="1"/>
  <c r="C158" i="8" s="1"/>
  <c r="C148" i="8" a="1"/>
  <c r="C148" i="8" s="1"/>
  <c r="C20" i="8" a="1"/>
  <c r="C20" i="8" s="1"/>
  <c r="C168" i="8" a="1"/>
  <c r="C168" i="8" s="1"/>
  <c r="C205" i="8" a="1"/>
  <c r="C205" i="8" s="1"/>
  <c r="C60" i="8" a="1"/>
  <c r="C60" i="8" s="1"/>
  <c r="C176" i="8" a="1"/>
  <c r="C176" i="8" s="1"/>
  <c r="C50" i="8" a="1"/>
  <c r="C50" i="8" s="1"/>
  <c r="C165" i="8" a="1"/>
  <c r="C165" i="8" s="1"/>
  <c r="C139" i="8" a="1"/>
  <c r="C139" i="8" s="1"/>
  <c r="C129" i="8" a="1"/>
  <c r="C129" i="8" s="1"/>
  <c r="C167" i="8" a="1"/>
  <c r="C167" i="8" s="1"/>
  <c r="C207" i="8" a="1"/>
  <c r="C207" i="8" s="1"/>
  <c r="C154" i="8" a="1"/>
  <c r="C154" i="8" s="1"/>
  <c r="C150" i="8" a="1"/>
  <c r="C150" i="8" s="1"/>
  <c r="C157" i="8" a="1"/>
  <c r="C157" i="8" s="1"/>
  <c r="C24" i="8" a="1"/>
  <c r="C24" i="8" s="1"/>
  <c r="C189" i="8" a="1"/>
  <c r="C189" i="8" s="1"/>
  <c r="C188" i="8" a="1"/>
  <c r="C188" i="8" s="1"/>
  <c r="C190" i="8" a="1"/>
  <c r="C190" i="8" s="1"/>
  <c r="C197" i="8" a="1"/>
  <c r="C197" i="8" s="1"/>
  <c r="C103" i="8" a="1"/>
  <c r="C103" i="8" s="1"/>
  <c r="C19" i="8" a="1"/>
  <c r="C19" i="8" s="1"/>
  <c r="C41" i="8" a="1"/>
  <c r="C41" i="8" s="1"/>
  <c r="C67" i="8" a="1"/>
  <c r="C67" i="8" s="1"/>
  <c r="C181" i="8" a="1"/>
  <c r="C181" i="8" s="1"/>
  <c r="C72" i="8" a="1"/>
  <c r="C72" i="8" s="1"/>
  <c r="C210" i="8" a="1"/>
  <c r="C210" i="8" s="1"/>
  <c r="C201" i="8" a="1"/>
  <c r="C201" i="8" s="1"/>
  <c r="C203" i="8" a="1"/>
  <c r="C203" i="8" s="1"/>
  <c r="C130" i="8" a="1"/>
  <c r="C130" i="8" s="1"/>
  <c r="C208" i="8" a="1"/>
  <c r="C208" i="8" s="1"/>
  <c r="G242" i="5" a="1"/>
  <c r="G242" i="5" s="1"/>
  <c r="D242" i="5" a="1"/>
  <c r="D242" i="5" s="1"/>
  <c r="E242" i="5" a="1"/>
  <c r="E242" i="5" s="1"/>
  <c r="M242" i="5"/>
  <c r="Q242" i="5"/>
  <c r="S242" i="5"/>
  <c r="Y242" i="5"/>
  <c r="A6" i="12"/>
  <c r="D90" i="5" a="1"/>
  <c r="D90" i="5" s="1"/>
  <c r="E90" i="5" a="1"/>
  <c r="E90" i="5" s="1"/>
  <c r="T90" i="5" s="1"/>
  <c r="F90" i="5" a="1"/>
  <c r="F90" i="5" s="1"/>
  <c r="G90" i="5" a="1"/>
  <c r="G90" i="5" s="1"/>
  <c r="AI90" i="5" s="1"/>
  <c r="M90" i="5"/>
  <c r="Q90" i="5"/>
  <c r="S90" i="5"/>
  <c r="Y90" i="5"/>
  <c r="Y164" i="5"/>
  <c r="S164" i="5"/>
  <c r="Q164" i="5"/>
  <c r="N164" i="5"/>
  <c r="M164" i="5"/>
  <c r="F164" i="5" a="1"/>
  <c r="F164" i="5" s="1"/>
  <c r="E164" i="5" a="1"/>
  <c r="E164" i="5" s="1"/>
  <c r="T164" i="5" s="1"/>
  <c r="D164" i="5" a="1"/>
  <c r="D164" i="5" s="1"/>
  <c r="D291" i="5" a="1"/>
  <c r="D291" i="5" s="1"/>
  <c r="E291" i="5" a="1"/>
  <c r="E291" i="5" s="1"/>
  <c r="G291" i="5" a="1"/>
  <c r="G291" i="5" s="1"/>
  <c r="M291" i="5"/>
  <c r="S291" i="5"/>
  <c r="AO241" i="8" s="1"/>
  <c r="D105" i="5" a="1"/>
  <c r="D105" i="5" s="1"/>
  <c r="E105" i="5" a="1"/>
  <c r="E105" i="5" s="1"/>
  <c r="T105" i="5" s="1"/>
  <c r="F105" i="5" a="1"/>
  <c r="F105" i="5" s="1"/>
  <c r="G105" i="5" a="1"/>
  <c r="G105" i="5" s="1"/>
  <c r="AI105" i="5" s="1"/>
  <c r="M105" i="5"/>
  <c r="Q105" i="5"/>
  <c r="S105" i="5"/>
  <c r="Y105" i="5"/>
  <c r="D36" i="5" a="1"/>
  <c r="D36" i="5" s="1"/>
  <c r="E36" i="5" a="1"/>
  <c r="E36" i="5" s="1"/>
  <c r="T36" i="5" s="1"/>
  <c r="F36" i="5" a="1"/>
  <c r="F36" i="5" s="1"/>
  <c r="G36" i="5" a="1"/>
  <c r="G36" i="5" s="1"/>
  <c r="M36" i="5"/>
  <c r="Q36" i="5"/>
  <c r="S36" i="5"/>
  <c r="Y36" i="5"/>
  <c r="AS241" i="8" l="1"/>
  <c r="AQ241" i="8"/>
  <c r="AN257" i="8"/>
  <c r="AN256" i="8"/>
  <c r="AC12" i="8"/>
  <c r="I12" i="8" s="1"/>
  <c r="AP256" i="8"/>
  <c r="AQ256" i="8" s="1"/>
  <c r="AP257" i="8"/>
  <c r="AQ257" i="8" s="1"/>
  <c r="M257" i="8"/>
  <c r="Q257" i="8" s="1"/>
  <c r="N257" i="8"/>
  <c r="R257" i="8" s="1"/>
  <c r="M256" i="8"/>
  <c r="Q256" i="8" s="1"/>
  <c r="N256" i="8"/>
  <c r="R256" i="8" s="1"/>
  <c r="AS256" i="8"/>
  <c r="AS257" i="8"/>
  <c r="AI256" i="8"/>
  <c r="AE256" i="8"/>
  <c r="AI257" i="8"/>
  <c r="AE257" i="8"/>
  <c r="U242" i="5"/>
  <c r="AD242" i="5" s="1"/>
  <c r="N242" i="5"/>
  <c r="U90" i="5"/>
  <c r="AD90" i="5" s="1"/>
  <c r="V90" i="5"/>
  <c r="N90" i="5"/>
  <c r="V164" i="5"/>
  <c r="AB164" i="5" s="1"/>
  <c r="U164" i="5"/>
  <c r="AD164" i="5" s="1"/>
  <c r="U291" i="5"/>
  <c r="AD291" i="5" s="1"/>
  <c r="N291" i="5"/>
  <c r="U105" i="5"/>
  <c r="AD105" i="5" s="1"/>
  <c r="V105" i="5"/>
  <c r="N105" i="5"/>
  <c r="U36" i="5"/>
  <c r="AD36" i="5" s="1"/>
  <c r="N36" i="5"/>
  <c r="AT241" i="8" l="1"/>
  <c r="AN342" i="8"/>
  <c r="AB90" i="5"/>
  <c r="AB105" i="5"/>
  <c r="AT256" i="8"/>
  <c r="AT257" i="8"/>
  <c r="D5" i="5" l="1" a="1"/>
  <c r="D5" i="5" s="1"/>
  <c r="D8" i="5" a="1"/>
  <c r="D8" i="5" s="1"/>
  <c r="D9" i="5" a="1"/>
  <c r="D9" i="5" s="1"/>
  <c r="D10" i="5" a="1"/>
  <c r="D10" i="5" s="1"/>
  <c r="D11" i="5" a="1"/>
  <c r="D11" i="5" s="1"/>
  <c r="D12" i="5" a="1"/>
  <c r="D12" i="5" s="1"/>
  <c r="D13" i="5" a="1"/>
  <c r="D13" i="5" s="1"/>
  <c r="D16" i="5" a="1"/>
  <c r="D16" i="5" s="1"/>
  <c r="D17" i="5" a="1"/>
  <c r="D17" i="5" s="1"/>
  <c r="D20" i="5" a="1"/>
  <c r="D20" i="5" s="1"/>
  <c r="D21" i="5" a="1"/>
  <c r="D21" i="5" s="1"/>
  <c r="D22" i="5" a="1"/>
  <c r="D22" i="5" s="1"/>
  <c r="D23" i="5" a="1"/>
  <c r="D23" i="5" s="1"/>
  <c r="D24" i="5" a="1"/>
  <c r="D24" i="5" s="1"/>
  <c r="D27" i="5" a="1"/>
  <c r="D27" i="5" s="1"/>
  <c r="D38" i="5" a="1"/>
  <c r="D38" i="5" s="1"/>
  <c r="D39" i="5" a="1"/>
  <c r="D39" i="5" s="1"/>
  <c r="D45" i="5" a="1"/>
  <c r="D45" i="5" s="1"/>
  <c r="D46" i="5" a="1"/>
  <c r="D46" i="5" s="1"/>
  <c r="D47" i="5" a="1"/>
  <c r="D47" i="5" s="1"/>
  <c r="D50" i="5" a="1"/>
  <c r="D50" i="5" s="1"/>
  <c r="D51" i="5" a="1"/>
  <c r="D51" i="5" s="1"/>
  <c r="D53" i="5" a="1"/>
  <c r="D53" i="5" s="1"/>
  <c r="D56" i="5" a="1"/>
  <c r="D56" i="5" s="1"/>
  <c r="D64" i="5" a="1"/>
  <c r="D64" i="5" s="1"/>
  <c r="D65" i="5" a="1"/>
  <c r="D65" i="5" s="1"/>
  <c r="D66" i="5" a="1"/>
  <c r="D66" i="5" s="1"/>
  <c r="D67" i="5" a="1"/>
  <c r="D67" i="5" s="1"/>
  <c r="D69" i="5" a="1"/>
  <c r="D69" i="5" s="1"/>
  <c r="D71" i="5" a="1"/>
  <c r="D71" i="5" s="1"/>
  <c r="D77" i="5" a="1"/>
  <c r="D77" i="5" s="1"/>
  <c r="D78" i="5" a="1"/>
  <c r="D78" i="5" s="1"/>
  <c r="D81" i="5" a="1"/>
  <c r="D81" i="5" s="1"/>
  <c r="D266" i="5" a="1"/>
  <c r="D266" i="5" s="1"/>
  <c r="D86" i="5" a="1"/>
  <c r="D86" i="5" s="1"/>
  <c r="D89" i="5" a="1"/>
  <c r="D89" i="5" s="1"/>
  <c r="D301" i="5" a="1"/>
  <c r="D301" i="5" s="1"/>
  <c r="D289" i="5" a="1"/>
  <c r="D289" i="5" s="1"/>
  <c r="D93" i="5" a="1"/>
  <c r="D93" i="5" s="1"/>
  <c r="D94" i="5" a="1"/>
  <c r="D94" i="5" s="1"/>
  <c r="D95" i="5" a="1"/>
  <c r="D95" i="5" s="1"/>
  <c r="D96" i="5" a="1"/>
  <c r="D96" i="5" s="1"/>
  <c r="D97" i="5" a="1"/>
  <c r="D97" i="5" s="1"/>
  <c r="D98" i="5" a="1"/>
  <c r="D98" i="5" s="1"/>
  <c r="D99" i="5" a="1"/>
  <c r="D99" i="5" s="1"/>
  <c r="D100" i="5" a="1"/>
  <c r="D100" i="5" s="1"/>
  <c r="D101" i="5" a="1"/>
  <c r="D101" i="5" s="1"/>
  <c r="D102" i="5" a="1"/>
  <c r="D102" i="5" s="1"/>
  <c r="D103" i="5" a="1"/>
  <c r="D103" i="5" s="1"/>
  <c r="D107" i="5" a="1"/>
  <c r="D107" i="5" s="1"/>
  <c r="D108" i="5" a="1"/>
  <c r="D108" i="5" s="1"/>
  <c r="D109" i="5" a="1"/>
  <c r="D109" i="5" s="1"/>
  <c r="D111" i="5" a="1"/>
  <c r="D111" i="5" s="1"/>
  <c r="D114" i="5" a="1"/>
  <c r="D114" i="5" s="1"/>
  <c r="D116" i="5" a="1"/>
  <c r="D116" i="5" s="1"/>
  <c r="D118" i="5" a="1"/>
  <c r="D118" i="5" s="1"/>
  <c r="D119" i="5" a="1"/>
  <c r="D119" i="5" s="1"/>
  <c r="D267" i="5" a="1"/>
  <c r="D267" i="5" s="1"/>
  <c r="D125" i="5" a="1"/>
  <c r="D125" i="5" s="1"/>
  <c r="D126" i="5" a="1"/>
  <c r="D126" i="5" s="1"/>
  <c r="D127" i="5" a="1"/>
  <c r="D127" i="5" s="1"/>
  <c r="D128" i="5" a="1"/>
  <c r="D128" i="5" s="1"/>
  <c r="D130" i="5" a="1"/>
  <c r="D130" i="5" s="1"/>
  <c r="D131" i="5" a="1"/>
  <c r="D131" i="5" s="1"/>
  <c r="D132" i="5" a="1"/>
  <c r="D132" i="5" s="1"/>
  <c r="D133" i="5" a="1"/>
  <c r="D133" i="5" s="1"/>
  <c r="D134" i="5" a="1"/>
  <c r="D134" i="5" s="1"/>
  <c r="D135" i="5" a="1"/>
  <c r="D135" i="5" s="1"/>
  <c r="D137" i="5" a="1"/>
  <c r="D137" i="5" s="1"/>
  <c r="D143" i="5" a="1"/>
  <c r="D143" i="5" s="1"/>
  <c r="D150" i="5" a="1"/>
  <c r="D150" i="5" s="1"/>
  <c r="D151" i="5" a="1"/>
  <c r="D151" i="5" s="1"/>
  <c r="D156" i="5" a="1"/>
  <c r="D156" i="5" s="1"/>
  <c r="D157" i="5" a="1"/>
  <c r="D157" i="5" s="1"/>
  <c r="D158" i="5" a="1"/>
  <c r="D158" i="5" s="1"/>
  <c r="D159" i="5" a="1"/>
  <c r="D159" i="5" s="1"/>
  <c r="D160" i="5" a="1"/>
  <c r="D160" i="5" s="1"/>
  <c r="D163" i="5" a="1"/>
  <c r="D163" i="5" s="1"/>
  <c r="D170" i="5" a="1"/>
  <c r="D170" i="5" s="1"/>
  <c r="D173" i="5" a="1"/>
  <c r="D173" i="5" s="1"/>
  <c r="D174" i="5" a="1"/>
  <c r="D174" i="5" s="1"/>
  <c r="D176" i="5" a="1"/>
  <c r="D176" i="5" s="1"/>
  <c r="D180" i="5" a="1"/>
  <c r="D180" i="5" s="1"/>
  <c r="D181" i="5" a="1"/>
  <c r="D181" i="5" s="1"/>
  <c r="D182" i="5" a="1"/>
  <c r="D182" i="5" s="1"/>
  <c r="D188" i="5" a="1"/>
  <c r="D188" i="5" s="1"/>
  <c r="D189" i="5" a="1"/>
  <c r="D189" i="5" s="1"/>
  <c r="D190" i="5" a="1"/>
  <c r="D190" i="5" s="1"/>
  <c r="D191" i="5" a="1"/>
  <c r="D191" i="5" s="1"/>
  <c r="D194" i="5" a="1"/>
  <c r="D194" i="5" s="1"/>
  <c r="D195" i="5" a="1"/>
  <c r="D195" i="5" s="1"/>
  <c r="D196" i="5" a="1"/>
  <c r="D196" i="5" s="1"/>
  <c r="D197" i="5" a="1"/>
  <c r="D197" i="5" s="1"/>
  <c r="D202" i="5" a="1"/>
  <c r="D202" i="5" s="1"/>
  <c r="D203" i="5" a="1"/>
  <c r="D203" i="5" s="1"/>
  <c r="D206" i="5" a="1"/>
  <c r="D206" i="5" s="1"/>
  <c r="D208" i="5" a="1"/>
  <c r="D208" i="5" s="1"/>
  <c r="D211" i="5" a="1"/>
  <c r="D211" i="5" s="1"/>
  <c r="D213" i="5" a="1"/>
  <c r="D213" i="5" s="1"/>
  <c r="D215" i="5" a="1"/>
  <c r="D215" i="5" s="1"/>
  <c r="D299" i="5" a="1"/>
  <c r="D299" i="5" s="1"/>
  <c r="D217" i="5" a="1"/>
  <c r="D217" i="5" s="1"/>
  <c r="D220" i="5" a="1"/>
  <c r="D220" i="5" s="1"/>
  <c r="D221" i="5" a="1"/>
  <c r="D221" i="5" s="1"/>
  <c r="D222" i="5" a="1"/>
  <c r="D222" i="5" s="1"/>
  <c r="D223" i="5" a="1"/>
  <c r="D223" i="5" s="1"/>
  <c r="D224" i="5" a="1"/>
  <c r="D224" i="5" s="1"/>
  <c r="D225" i="5" a="1"/>
  <c r="D225" i="5" s="1"/>
  <c r="D229" i="5" a="1"/>
  <c r="D229" i="5" s="1"/>
  <c r="D231" i="5" a="1"/>
  <c r="D231" i="5" s="1"/>
  <c r="D232" i="5" a="1"/>
  <c r="D232" i="5" s="1"/>
  <c r="D233" i="5" a="1"/>
  <c r="D233" i="5" s="1"/>
  <c r="D234" i="5" a="1"/>
  <c r="D234" i="5" s="1"/>
  <c r="D236" i="5" a="1"/>
  <c r="D236" i="5" s="1"/>
  <c r="D238" i="5" a="1"/>
  <c r="D238" i="5" s="1"/>
  <c r="D239" i="5" a="1"/>
  <c r="D239" i="5" s="1"/>
  <c r="D241" i="5" a="1"/>
  <c r="D241" i="5" s="1"/>
  <c r="D244" i="5" a="1"/>
  <c r="D244" i="5" s="1"/>
  <c r="D245" i="5" a="1"/>
  <c r="D245" i="5" s="1"/>
  <c r="D246" i="5" a="1"/>
  <c r="D246" i="5" s="1"/>
  <c r="D252" i="5" a="1"/>
  <c r="D252" i="5" s="1"/>
  <c r="D253" i="5" a="1"/>
  <c r="D253" i="5" s="1"/>
  <c r="D255" i="5" a="1"/>
  <c r="D255" i="5" s="1"/>
  <c r="E111" i="5" a="1"/>
  <c r="E111" i="5" s="1"/>
  <c r="T111" i="5" s="1"/>
  <c r="F111" i="5" a="1"/>
  <c r="F111" i="5" s="1"/>
  <c r="G111" i="5" a="1"/>
  <c r="G111" i="5" s="1"/>
  <c r="M111" i="5"/>
  <c r="Q111" i="5"/>
  <c r="S111" i="5"/>
  <c r="Y111" i="5"/>
  <c r="J476" i="5"/>
  <c r="J481" i="5"/>
  <c r="J482" i="5" s="1"/>
  <c r="J479" i="5"/>
  <c r="J485" i="5"/>
  <c r="J487" i="5"/>
  <c r="J488" i="5" s="1"/>
  <c r="J491" i="5"/>
  <c r="F64" i="4" l="1"/>
  <c r="AO33" i="8"/>
  <c r="AT33" i="8" s="1"/>
  <c r="AO171" i="8"/>
  <c r="AO112" i="8"/>
  <c r="G54" i="4"/>
  <c r="G49" i="4"/>
  <c r="G51" i="4"/>
  <c r="G52" i="4"/>
  <c r="G53" i="4"/>
  <c r="G48" i="4"/>
  <c r="G47" i="4"/>
  <c r="G32" i="4"/>
  <c r="G45" i="4"/>
  <c r="G44" i="4"/>
  <c r="G40" i="4"/>
  <c r="E40" i="4" s="1"/>
  <c r="G39" i="4"/>
  <c r="E39" i="4" s="1"/>
  <c r="AB38" i="8" s="1"/>
  <c r="AO193" i="8"/>
  <c r="AT193" i="8" s="1"/>
  <c r="G31" i="4"/>
  <c r="G38" i="4"/>
  <c r="G37" i="4"/>
  <c r="G36" i="4"/>
  <c r="G30" i="4"/>
  <c r="G29" i="4"/>
  <c r="G28" i="4"/>
  <c r="G27" i="4"/>
  <c r="AO122" i="8"/>
  <c r="AT122" i="8" s="1"/>
  <c r="AO38" i="8"/>
  <c r="AT38" i="8" s="1"/>
  <c r="AO192" i="8"/>
  <c r="AT192" i="8" s="1"/>
  <c r="AO113" i="8"/>
  <c r="AO45" i="8"/>
  <c r="AO99" i="8"/>
  <c r="AO183" i="8"/>
  <c r="G26" i="4"/>
  <c r="G20" i="4"/>
  <c r="G25" i="4"/>
  <c r="G17" i="4"/>
  <c r="G5" i="4"/>
  <c r="G6" i="4"/>
  <c r="G8" i="4"/>
  <c r="F8" i="4" s="1"/>
  <c r="G11" i="4"/>
  <c r="G15" i="4"/>
  <c r="G16" i="4"/>
  <c r="AO191" i="8"/>
  <c r="AT191" i="8" s="1"/>
  <c r="AO96" i="8"/>
  <c r="AT96" i="8" s="1"/>
  <c r="AO64" i="8"/>
  <c r="AT64" i="8" s="1"/>
  <c r="AO174" i="8"/>
  <c r="AT174" i="8" s="1"/>
  <c r="AO151" i="8"/>
  <c r="AT151" i="8" s="1"/>
  <c r="AO138" i="8"/>
  <c r="AT138" i="8" s="1"/>
  <c r="AO143" i="8"/>
  <c r="AT143" i="8" s="1"/>
  <c r="AO135" i="8"/>
  <c r="AT135" i="8" s="1"/>
  <c r="AO202" i="8"/>
  <c r="AT202" i="8" s="1"/>
  <c r="AO161" i="8"/>
  <c r="AT161" i="8" s="1"/>
  <c r="AO95" i="8"/>
  <c r="AT95" i="8" s="1"/>
  <c r="AO159" i="8"/>
  <c r="AT159" i="8" s="1"/>
  <c r="AO137" i="8"/>
  <c r="AT137" i="8" s="1"/>
  <c r="AO144" i="8"/>
  <c r="AT144" i="8" s="1"/>
  <c r="AO81" i="8"/>
  <c r="AT81" i="8" s="1"/>
  <c r="AP184" i="8"/>
  <c r="AO184" i="8"/>
  <c r="AT184" i="8" s="1"/>
  <c r="AO152" i="8"/>
  <c r="AT152" i="8" s="1"/>
  <c r="AO88" i="8"/>
  <c r="AT88" i="8" s="1"/>
  <c r="AO136" i="8"/>
  <c r="AT136" i="8" s="1"/>
  <c r="AO121" i="8"/>
  <c r="AT121" i="8" s="1"/>
  <c r="AO69" i="8"/>
  <c r="AT69" i="8" s="1"/>
  <c r="AO187" i="8"/>
  <c r="AT187" i="8" s="1"/>
  <c r="AP187" i="8"/>
  <c r="AO195" i="8"/>
  <c r="AT195" i="8" s="1"/>
  <c r="AO182" i="8"/>
  <c r="AT182" i="8" s="1"/>
  <c r="AO196" i="8"/>
  <c r="AT196" i="8" s="1"/>
  <c r="AO118" i="8"/>
  <c r="AT118" i="8" s="1"/>
  <c r="AO66" i="8"/>
  <c r="AT66" i="8" s="1"/>
  <c r="AO75" i="8"/>
  <c r="AT75" i="8" s="1"/>
  <c r="AO141" i="8"/>
  <c r="AT141" i="8" s="1"/>
  <c r="AO149" i="8"/>
  <c r="AT149" i="8" s="1"/>
  <c r="AO172" i="8"/>
  <c r="AT172" i="8" s="1"/>
  <c r="AO126" i="8"/>
  <c r="AT126" i="8" s="1"/>
  <c r="AO84" i="8"/>
  <c r="AT84" i="8" s="1"/>
  <c r="AO175" i="8"/>
  <c r="AT175" i="8" s="1"/>
  <c r="AO116" i="8"/>
  <c r="AT116" i="8" s="1"/>
  <c r="AO178" i="8"/>
  <c r="AT178" i="8" s="1"/>
  <c r="AO179" i="8"/>
  <c r="AT179" i="8" s="1"/>
  <c r="AO56" i="8"/>
  <c r="AT56" i="8" s="1"/>
  <c r="AO206" i="8"/>
  <c r="AT206" i="8" s="1"/>
  <c r="AO169" i="8"/>
  <c r="AT169" i="8" s="1"/>
  <c r="AO43" i="8"/>
  <c r="AT43" i="8" s="1"/>
  <c r="AO120" i="8"/>
  <c r="AT120" i="8" s="1"/>
  <c r="AO160" i="8"/>
  <c r="AT160" i="8" s="1"/>
  <c r="AO101" i="8"/>
  <c r="AT101" i="8" s="1"/>
  <c r="AO111" i="8"/>
  <c r="AT111" i="8" s="1"/>
  <c r="AO117" i="8"/>
  <c r="AT117" i="8" s="1"/>
  <c r="AO49" i="8"/>
  <c r="AT49" i="8" s="1"/>
  <c r="AO35" i="8"/>
  <c r="AT35" i="8" s="1"/>
  <c r="AO153" i="8"/>
  <c r="AT153" i="8" s="1"/>
  <c r="AO140" i="8"/>
  <c r="AT140" i="8" s="1"/>
  <c r="AO200" i="8"/>
  <c r="AT200" i="8" s="1"/>
  <c r="AO204" i="8"/>
  <c r="AT204" i="8" s="1"/>
  <c r="AO199" i="8"/>
  <c r="AT199" i="8" s="1"/>
  <c r="AO78" i="8"/>
  <c r="AT78" i="8" s="1"/>
  <c r="AO186" i="8"/>
  <c r="AT186" i="8" s="1"/>
  <c r="AO61" i="8"/>
  <c r="AT61" i="8" s="1"/>
  <c r="AO82" i="8"/>
  <c r="AT82" i="8" s="1"/>
  <c r="AO107" i="8"/>
  <c r="AT107" i="8" s="1"/>
  <c r="AO177" i="8"/>
  <c r="AT177" i="8" s="1"/>
  <c r="AO91" i="8"/>
  <c r="AT91" i="8" s="1"/>
  <c r="AO63" i="8"/>
  <c r="AT63" i="8" s="1"/>
  <c r="AO36" i="8"/>
  <c r="AT36" i="8" s="1"/>
  <c r="AO52" i="8"/>
  <c r="AT52" i="8" s="1"/>
  <c r="AO54" i="8"/>
  <c r="AT54" i="8" s="1"/>
  <c r="AP54" i="8"/>
  <c r="AO53" i="8"/>
  <c r="AT53" i="8" s="1"/>
  <c r="AO79" i="8"/>
  <c r="AT79" i="8" s="1"/>
  <c r="AO58" i="8"/>
  <c r="AT58" i="8" s="1"/>
  <c r="AO30" i="8"/>
  <c r="AT30" i="8" s="1"/>
  <c r="AO15" i="8"/>
  <c r="AT15" i="8" s="1"/>
  <c r="AO21" i="8"/>
  <c r="AT21" i="8" s="1"/>
  <c r="AO47" i="8"/>
  <c r="AT47" i="8" s="1"/>
  <c r="AO42" i="8"/>
  <c r="AT42" i="8" s="1"/>
  <c r="AO31" i="8"/>
  <c r="AT31" i="8" s="1"/>
  <c r="AO25" i="8"/>
  <c r="AT25" i="8" s="1"/>
  <c r="AO92" i="8"/>
  <c r="AT92" i="8" s="1"/>
  <c r="AO13" i="8"/>
  <c r="AT13" i="8" s="1"/>
  <c r="AO29" i="8"/>
  <c r="AT29" i="8" s="1"/>
  <c r="AO16" i="8"/>
  <c r="AT16" i="8" s="1"/>
  <c r="AO26" i="8"/>
  <c r="AT26" i="8" s="1"/>
  <c r="AO22" i="8"/>
  <c r="AT22" i="8" s="1"/>
  <c r="AO40" i="8"/>
  <c r="AT40" i="8" s="1"/>
  <c r="AO85" i="8"/>
  <c r="AO44" i="8"/>
  <c r="U111" i="5"/>
  <c r="AD111" i="5" s="1"/>
  <c r="N111" i="5"/>
  <c r="F54" i="4" l="1"/>
  <c r="E54" i="4"/>
  <c r="AB44" i="8" s="1"/>
  <c r="F48" i="4"/>
  <c r="E48" i="4"/>
  <c r="F53" i="4"/>
  <c r="E53" i="4"/>
  <c r="E52" i="4"/>
  <c r="AB163" i="8" s="1"/>
  <c r="F52" i="4"/>
  <c r="F51" i="4"/>
  <c r="E51" i="4"/>
  <c r="F50" i="4"/>
  <c r="E50" i="4"/>
  <c r="F49" i="4"/>
  <c r="E49" i="4"/>
  <c r="F47" i="4"/>
  <c r="E47" i="4"/>
  <c r="E32" i="4"/>
  <c r="F32" i="4"/>
  <c r="E44" i="4"/>
  <c r="F44" i="4"/>
  <c r="E45" i="4"/>
  <c r="F45" i="4"/>
  <c r="E41" i="4"/>
  <c r="AB167" i="8" s="1"/>
  <c r="F41" i="4"/>
  <c r="F42" i="4"/>
  <c r="E42" i="4"/>
  <c r="AB93" i="8" s="1"/>
  <c r="F39" i="4"/>
  <c r="F40" i="4"/>
  <c r="AB53" i="8"/>
  <c r="F31" i="4"/>
  <c r="E31" i="4"/>
  <c r="F38" i="4"/>
  <c r="E38" i="4"/>
  <c r="AB66" i="8" s="1"/>
  <c r="E37" i="4"/>
  <c r="AB94" i="8" s="1"/>
  <c r="F37" i="4"/>
  <c r="F36" i="4"/>
  <c r="E36" i="4"/>
  <c r="F30" i="4"/>
  <c r="E30" i="4"/>
  <c r="AB134" i="8" s="1"/>
  <c r="F29" i="4"/>
  <c r="E29" i="4"/>
  <c r="AB147" i="8" s="1"/>
  <c r="E28" i="4"/>
  <c r="F28" i="4"/>
  <c r="F27" i="4"/>
  <c r="E27" i="4"/>
  <c r="F15" i="4"/>
  <c r="E15" i="4"/>
  <c r="AB80" i="8" s="1"/>
  <c r="E26" i="4"/>
  <c r="F26" i="4"/>
  <c r="F20" i="4"/>
  <c r="E20" i="4"/>
  <c r="F25" i="4"/>
  <c r="E25" i="4"/>
  <c r="AB23" i="8" s="1"/>
  <c r="F18" i="4"/>
  <c r="E18" i="4"/>
  <c r="AB16" i="8" s="1"/>
  <c r="F16" i="4"/>
  <c r="E16" i="4"/>
  <c r="AB180" i="8" s="1"/>
  <c r="F17" i="4"/>
  <c r="E17" i="4"/>
  <c r="AB111" i="8" s="1"/>
  <c r="M16" i="4"/>
  <c r="M15" i="4"/>
  <c r="F6" i="4"/>
  <c r="E6" i="4"/>
  <c r="AB59" i="8" s="1"/>
  <c r="E5" i="4"/>
  <c r="AB189" i="8" s="1"/>
  <c r="F5" i="4"/>
  <c r="F11" i="4"/>
  <c r="E11" i="4"/>
  <c r="AB166" i="8" s="1"/>
  <c r="AT85" i="8"/>
  <c r="AT44" i="8"/>
  <c r="E299" i="5" a="1"/>
  <c r="E299" i="5" s="1"/>
  <c r="G299" i="5" a="1"/>
  <c r="G299" i="5" s="1"/>
  <c r="AI299" i="5" s="1"/>
  <c r="M299" i="5"/>
  <c r="S299" i="5"/>
  <c r="AO244" i="8" s="1"/>
  <c r="J506" i="5"/>
  <c r="AR255" i="8"/>
  <c r="AP255" i="8"/>
  <c r="B255" i="8" a="1"/>
  <c r="B255" i="8" s="1"/>
  <c r="AH17" i="8"/>
  <c r="AC17" i="8"/>
  <c r="AD17" i="8" s="1"/>
  <c r="AS244" i="8" l="1"/>
  <c r="AQ244" i="8"/>
  <c r="Z180" i="8"/>
  <c r="AJ180" i="8" s="1"/>
  <c r="AC44" i="8"/>
  <c r="Y44" i="8"/>
  <c r="AN44" i="8" s="1"/>
  <c r="AH44" i="8"/>
  <c r="AI44" i="8" s="1"/>
  <c r="AA44" i="8"/>
  <c r="AB24" i="8"/>
  <c r="AH93" i="8"/>
  <c r="Z93" i="8"/>
  <c r="AC93" i="8"/>
  <c r="AE17" i="8"/>
  <c r="I17" i="8"/>
  <c r="AH66" i="8"/>
  <c r="AC66" i="8"/>
  <c r="AD66" i="8" s="1"/>
  <c r="Z66" i="8"/>
  <c r="AH53" i="8"/>
  <c r="Z53" i="8"/>
  <c r="AC53" i="8"/>
  <c r="AD53" i="8" s="1"/>
  <c r="AC38" i="8"/>
  <c r="AD38" i="8" s="1"/>
  <c r="Z38" i="8"/>
  <c r="AH38" i="8"/>
  <c r="AC94" i="8"/>
  <c r="AF94" i="8"/>
  <c r="Z94" i="8"/>
  <c r="AH94" i="8"/>
  <c r="AH134" i="8"/>
  <c r="AC134" i="8"/>
  <c r="Z134" i="8"/>
  <c r="Z16" i="8"/>
  <c r="AC16" i="8"/>
  <c r="AD16" i="8" s="1"/>
  <c r="AC80" i="8"/>
  <c r="AD80" i="8" s="1"/>
  <c r="Z80" i="8"/>
  <c r="AH111" i="8"/>
  <c r="Z111" i="8"/>
  <c r="AJ111" i="8" s="1"/>
  <c r="AC111" i="8"/>
  <c r="U299" i="5"/>
  <c r="AD299" i="5" s="1"/>
  <c r="N299" i="5"/>
  <c r="V299" i="5"/>
  <c r="AS255" i="8"/>
  <c r="AQ255" i="8"/>
  <c r="AI255" i="8"/>
  <c r="AE255" i="8"/>
  <c r="J500" i="5"/>
  <c r="J497" i="5"/>
  <c r="E181" i="5" a="1"/>
  <c r="E181" i="5" s="1"/>
  <c r="T181" i="5" s="1"/>
  <c r="G181" i="5" a="1"/>
  <c r="G181" i="5" s="1"/>
  <c r="AI181" i="5" s="1"/>
  <c r="M181" i="5"/>
  <c r="Q181" i="5"/>
  <c r="S181" i="5"/>
  <c r="Y181" i="5"/>
  <c r="AM46" i="8"/>
  <c r="J46" i="8" a="1"/>
  <c r="J46" i="8" s="1"/>
  <c r="B46" i="8" a="1"/>
  <c r="B46" i="8" s="1"/>
  <c r="Z168" i="8"/>
  <c r="AC168" i="8"/>
  <c r="I94" i="8" l="1"/>
  <c r="AD94" i="8"/>
  <c r="I168" i="8"/>
  <c r="AD168" i="8"/>
  <c r="AT244" i="8"/>
  <c r="Y299" i="5"/>
  <c r="AH180" i="8"/>
  <c r="AC180" i="8"/>
  <c r="AD180" i="8" s="1"/>
  <c r="AU44" i="8"/>
  <c r="AK44" i="8"/>
  <c r="G44" i="8" s="1"/>
  <c r="AD44" i="8"/>
  <c r="I44" i="8"/>
  <c r="AE44" i="8"/>
  <c r="E44" i="8" s="1"/>
  <c r="I93" i="8"/>
  <c r="AD93" i="8"/>
  <c r="AG93" i="8"/>
  <c r="H93" i="8" s="1"/>
  <c r="AJ93" i="8"/>
  <c r="AA93" i="8"/>
  <c r="I16" i="8"/>
  <c r="I38" i="8"/>
  <c r="I53" i="8"/>
  <c r="I80" i="8"/>
  <c r="AD134" i="8"/>
  <c r="I134" i="8"/>
  <c r="AD111" i="8"/>
  <c r="I111" i="8"/>
  <c r="I66" i="8"/>
  <c r="AA66" i="8"/>
  <c r="AJ66" i="8"/>
  <c r="F66" i="8" s="1"/>
  <c r="AE66" i="8"/>
  <c r="E66" i="8" s="1"/>
  <c r="AG66" i="8"/>
  <c r="H66" i="8" s="1"/>
  <c r="AI66" i="8"/>
  <c r="AI38" i="8"/>
  <c r="AJ38" i="8"/>
  <c r="F38" i="8" s="1"/>
  <c r="AG38" i="8"/>
  <c r="H38" i="8" s="1"/>
  <c r="AE38" i="8"/>
  <c r="E38" i="8" s="1"/>
  <c r="AJ53" i="8"/>
  <c r="F53" i="8" s="1"/>
  <c r="AI53" i="8"/>
  <c r="AG53" i="8"/>
  <c r="H53" i="8" s="1"/>
  <c r="AE53" i="8"/>
  <c r="E53" i="8" s="1"/>
  <c r="AA94" i="8"/>
  <c r="AG94" i="8"/>
  <c r="H94" i="8" s="1"/>
  <c r="AJ94" i="8"/>
  <c r="AA134" i="8"/>
  <c r="AG134" i="8"/>
  <c r="H134" i="8" s="1"/>
  <c r="AJ134" i="8"/>
  <c r="AA168" i="8"/>
  <c r="AJ168" i="8"/>
  <c r="AG16" i="8"/>
  <c r="H16" i="8" s="1"/>
  <c r="AE16" i="8"/>
  <c r="E16" i="8" s="1"/>
  <c r="AJ16" i="8"/>
  <c r="F16" i="8" s="1"/>
  <c r="AI16" i="8"/>
  <c r="AG80" i="8"/>
  <c r="H80" i="8" s="1"/>
  <c r="AA80" i="8"/>
  <c r="AU80" i="8" s="1"/>
  <c r="AA180" i="8"/>
  <c r="AG180" i="8"/>
  <c r="H180" i="8" s="1"/>
  <c r="AA111" i="8"/>
  <c r="AK111" i="8" s="1"/>
  <c r="AG111" i="8"/>
  <c r="H111" i="8" s="1"/>
  <c r="F111" i="8"/>
  <c r="AI111" i="8"/>
  <c r="AE111" i="8"/>
  <c r="E111" i="8" s="1"/>
  <c r="AO46" i="8"/>
  <c r="AT46" i="8" s="1"/>
  <c r="AB299" i="5"/>
  <c r="M46" i="8"/>
  <c r="Q46" i="8" s="1"/>
  <c r="N46" i="8"/>
  <c r="R46" i="8" s="1"/>
  <c r="AT255" i="8"/>
  <c r="U181" i="5"/>
  <c r="AD181" i="5" s="1"/>
  <c r="V181" i="5"/>
  <c r="N181" i="5"/>
  <c r="AN46" i="8"/>
  <c r="AE46" i="8"/>
  <c r="E46" i="8" s="1"/>
  <c r="G46" i="8"/>
  <c r="F46" i="8"/>
  <c r="AI46" i="8"/>
  <c r="I180" i="8" l="1"/>
  <c r="AU93" i="8"/>
  <c r="AK93" i="8"/>
  <c r="AU66" i="8"/>
  <c r="AK66" i="8"/>
  <c r="G66" i="8" s="1"/>
  <c r="AU94" i="8"/>
  <c r="AK94" i="8"/>
  <c r="AU134" i="8"/>
  <c r="AK134" i="8"/>
  <c r="AU168" i="8"/>
  <c r="AK168" i="8"/>
  <c r="AU180" i="8"/>
  <c r="AK180" i="8"/>
  <c r="AU111" i="8"/>
  <c r="G111" i="8"/>
  <c r="AT342" i="8"/>
  <c r="AU339" i="8" s="1"/>
  <c r="AB181" i="5"/>
  <c r="AD124" i="8"/>
  <c r="J494" i="5"/>
  <c r="AI423" i="8"/>
  <c r="AE423" i="8"/>
  <c r="O423" i="8" a="1"/>
  <c r="O423" i="8" s="1"/>
  <c r="L423" i="8" a="1"/>
  <c r="L423" i="8" s="1"/>
  <c r="K423" i="8" a="1"/>
  <c r="K423" i="8" s="1"/>
  <c r="J423" i="8" a="1"/>
  <c r="J423" i="8" s="1"/>
  <c r="D423" i="8" a="1"/>
  <c r="D423" i="8" s="1"/>
  <c r="B423" i="8" a="1"/>
  <c r="B423" i="8" s="1"/>
  <c r="M423" i="8" s="1" a="1"/>
  <c r="M423" i="8" s="1"/>
  <c r="AI422" i="8"/>
  <c r="AE422" i="8"/>
  <c r="O422" i="8" a="1"/>
  <c r="O422" i="8" s="1"/>
  <c r="L422" i="8" a="1"/>
  <c r="L422" i="8" s="1"/>
  <c r="K422" i="8" a="1"/>
  <c r="K422" i="8" s="1"/>
  <c r="J422" i="8" a="1"/>
  <c r="J422" i="8" s="1"/>
  <c r="D422" i="8" a="1"/>
  <c r="D422" i="8" s="1"/>
  <c r="AG422" i="8" s="1"/>
  <c r="B422" i="8" a="1"/>
  <c r="B422" i="8" s="1"/>
  <c r="M422" i="8" s="1" a="1"/>
  <c r="M422" i="8" s="1"/>
  <c r="AG421" i="8"/>
  <c r="O421" i="8" a="1"/>
  <c r="O421" i="8" s="1"/>
  <c r="L421" i="8" a="1"/>
  <c r="L421" i="8" s="1"/>
  <c r="K421" i="8" a="1"/>
  <c r="K421" i="8" s="1"/>
  <c r="J421" i="8" a="1"/>
  <c r="J421" i="8" s="1"/>
  <c r="D421" i="8" a="1"/>
  <c r="D421" i="8" s="1"/>
  <c r="B421" i="8" a="1"/>
  <c r="B421" i="8" s="1"/>
  <c r="M421" i="8" s="1" a="1"/>
  <c r="M421" i="8" s="1"/>
  <c r="AI420" i="8"/>
  <c r="AE420" i="8"/>
  <c r="O420" i="8" a="1"/>
  <c r="O420" i="8" s="1"/>
  <c r="L420" i="8" a="1"/>
  <c r="L420" i="8" s="1"/>
  <c r="K420" i="8" a="1"/>
  <c r="K420" i="8" s="1"/>
  <c r="J420" i="8" a="1"/>
  <c r="J420" i="8" s="1"/>
  <c r="D420" i="8" a="1"/>
  <c r="D420" i="8" s="1"/>
  <c r="B420" i="8" a="1"/>
  <c r="B420" i="8" s="1"/>
  <c r="M420" i="8" s="1" a="1"/>
  <c r="M420" i="8" s="1"/>
  <c r="AI419" i="8"/>
  <c r="AE419" i="8"/>
  <c r="O419" i="8" a="1"/>
  <c r="O419" i="8" s="1"/>
  <c r="L419" i="8" a="1"/>
  <c r="L419" i="8" s="1"/>
  <c r="K419" i="8" a="1"/>
  <c r="K419" i="8" s="1"/>
  <c r="J419" i="8" a="1"/>
  <c r="J419" i="8" s="1"/>
  <c r="D419" i="8" a="1"/>
  <c r="D419" i="8" s="1"/>
  <c r="B419" i="8" a="1"/>
  <c r="B419" i="8" s="1"/>
  <c r="M419" i="8" s="1" a="1"/>
  <c r="M419" i="8" s="1"/>
  <c r="AI418" i="8"/>
  <c r="AE418" i="8"/>
  <c r="O418" i="8" a="1"/>
  <c r="O418" i="8" s="1"/>
  <c r="L418" i="8" a="1"/>
  <c r="L418" i="8" s="1"/>
  <c r="K418" i="8" a="1"/>
  <c r="K418" i="8" s="1"/>
  <c r="J418" i="8" a="1"/>
  <c r="J418" i="8" s="1"/>
  <c r="D418" i="8" a="1"/>
  <c r="D418" i="8" s="1"/>
  <c r="B418" i="8" a="1"/>
  <c r="B418" i="8" s="1"/>
  <c r="M418" i="8" s="1" a="1"/>
  <c r="M418" i="8" s="1"/>
  <c r="AI417" i="8"/>
  <c r="AE417" i="8"/>
  <c r="O417" i="8" a="1"/>
  <c r="O417" i="8" s="1"/>
  <c r="L417" i="8" a="1"/>
  <c r="L417" i="8" s="1"/>
  <c r="K417" i="8" a="1"/>
  <c r="K417" i="8" s="1"/>
  <c r="J417" i="8" a="1"/>
  <c r="J417" i="8" s="1"/>
  <c r="D417" i="8" a="1"/>
  <c r="D417" i="8" s="1"/>
  <c r="B417" i="8" a="1"/>
  <c r="B417" i="8" s="1"/>
  <c r="M417" i="8" s="1" a="1"/>
  <c r="M417" i="8" s="1"/>
  <c r="AI416" i="8"/>
  <c r="AE416" i="8"/>
  <c r="O416" i="8" a="1"/>
  <c r="O416" i="8" s="1"/>
  <c r="L416" i="8" a="1"/>
  <c r="L416" i="8" s="1"/>
  <c r="K416" i="8" a="1"/>
  <c r="K416" i="8" s="1"/>
  <c r="J416" i="8" a="1"/>
  <c r="J416" i="8" s="1"/>
  <c r="D416" i="8" a="1"/>
  <c r="D416" i="8" s="1"/>
  <c r="B416" i="8" a="1"/>
  <c r="B416" i="8" s="1"/>
  <c r="M416" i="8" s="1" a="1"/>
  <c r="M416" i="8" s="1"/>
  <c r="AI415" i="8"/>
  <c r="AE415" i="8"/>
  <c r="O415" i="8" a="1"/>
  <c r="O415" i="8" s="1"/>
  <c r="L415" i="8" a="1"/>
  <c r="L415" i="8" s="1"/>
  <c r="K415" i="8" a="1"/>
  <c r="K415" i="8" s="1"/>
  <c r="J415" i="8" a="1"/>
  <c r="J415" i="8" s="1"/>
  <c r="D415" i="8" a="1"/>
  <c r="D415" i="8" s="1"/>
  <c r="AG415" i="8" s="1"/>
  <c r="B415" i="8" a="1"/>
  <c r="B415" i="8" s="1"/>
  <c r="M415" i="8" s="1" a="1"/>
  <c r="M415" i="8" s="1"/>
  <c r="AI414" i="8"/>
  <c r="AE414" i="8"/>
  <c r="O414" i="8" a="1"/>
  <c r="O414" i="8" s="1"/>
  <c r="L414" i="8" a="1"/>
  <c r="L414" i="8" s="1"/>
  <c r="K414" i="8" a="1"/>
  <c r="K414" i="8" s="1"/>
  <c r="J414" i="8" a="1"/>
  <c r="J414" i="8" s="1"/>
  <c r="D414" i="8" a="1"/>
  <c r="D414" i="8" s="1"/>
  <c r="B414" i="8" a="1"/>
  <c r="B414" i="8" s="1"/>
  <c r="M414" i="8" s="1" a="1"/>
  <c r="M414" i="8" s="1"/>
  <c r="AI413" i="8"/>
  <c r="AE413" i="8"/>
  <c r="O413" i="8" a="1"/>
  <c r="O413" i="8" s="1"/>
  <c r="L413" i="8" a="1"/>
  <c r="L413" i="8" s="1"/>
  <c r="K413" i="8" a="1"/>
  <c r="K413" i="8" s="1"/>
  <c r="J413" i="8" a="1"/>
  <c r="J413" i="8" s="1"/>
  <c r="D413" i="8" a="1"/>
  <c r="D413" i="8" s="1"/>
  <c r="B413" i="8" a="1"/>
  <c r="B413" i="8" s="1"/>
  <c r="M413" i="8" s="1" a="1"/>
  <c r="M413" i="8" s="1"/>
  <c r="AI412" i="8"/>
  <c r="AE412" i="8"/>
  <c r="O412" i="8" a="1"/>
  <c r="O412" i="8" s="1"/>
  <c r="L412" i="8" a="1"/>
  <c r="L412" i="8" s="1"/>
  <c r="K412" i="8" a="1"/>
  <c r="K412" i="8" s="1"/>
  <c r="J412" i="8" a="1"/>
  <c r="J412" i="8" s="1"/>
  <c r="D412" i="8" a="1"/>
  <c r="D412" i="8" s="1"/>
  <c r="B412" i="8" a="1"/>
  <c r="B412" i="8" s="1"/>
  <c r="M412" i="8" s="1" a="1"/>
  <c r="M412" i="8" s="1"/>
  <c r="AI411" i="8"/>
  <c r="AE411" i="8"/>
  <c r="O411" i="8" a="1"/>
  <c r="O411" i="8" s="1"/>
  <c r="L411" i="8" a="1"/>
  <c r="L411" i="8" s="1"/>
  <c r="K411" i="8" a="1"/>
  <c r="K411" i="8" s="1"/>
  <c r="J411" i="8" a="1"/>
  <c r="J411" i="8" s="1"/>
  <c r="D411" i="8" a="1"/>
  <c r="D411" i="8" s="1"/>
  <c r="B411" i="8" a="1"/>
  <c r="B411" i="8" s="1"/>
  <c r="M411" i="8" s="1" a="1"/>
  <c r="M411" i="8" s="1"/>
  <c r="AI410" i="8"/>
  <c r="AE410" i="8"/>
  <c r="O410" i="8" a="1"/>
  <c r="O410" i="8" s="1"/>
  <c r="L410" i="8" a="1"/>
  <c r="L410" i="8" s="1"/>
  <c r="K410" i="8" a="1"/>
  <c r="K410" i="8" s="1"/>
  <c r="J410" i="8" a="1"/>
  <c r="J410" i="8" s="1"/>
  <c r="D410" i="8" a="1"/>
  <c r="D410" i="8" s="1"/>
  <c r="B410" i="8" a="1"/>
  <c r="B410" i="8" s="1"/>
  <c r="M410" i="8" s="1" a="1"/>
  <c r="M410" i="8" s="1"/>
  <c r="AI409" i="8"/>
  <c r="AE409" i="8"/>
  <c r="O409" i="8" a="1"/>
  <c r="O409" i="8" s="1"/>
  <c r="L409" i="8" a="1"/>
  <c r="L409" i="8" s="1"/>
  <c r="K409" i="8" a="1"/>
  <c r="K409" i="8" s="1"/>
  <c r="J409" i="8" a="1"/>
  <c r="J409" i="8" s="1"/>
  <c r="D409" i="8" a="1"/>
  <c r="D409" i="8" s="1"/>
  <c r="AN409" i="8" s="1"/>
  <c r="B409" i="8" a="1"/>
  <c r="B409" i="8" s="1"/>
  <c r="M409" i="8" s="1" a="1"/>
  <c r="M409" i="8" s="1"/>
  <c r="AI408" i="8"/>
  <c r="AE408" i="8"/>
  <c r="O408" i="8" a="1"/>
  <c r="O408" i="8" s="1"/>
  <c r="L408" i="8" a="1"/>
  <c r="L408" i="8" s="1"/>
  <c r="K408" i="8" a="1"/>
  <c r="K408" i="8" s="1"/>
  <c r="J408" i="8" a="1"/>
  <c r="J408" i="8" s="1"/>
  <c r="D408" i="8" a="1"/>
  <c r="D408" i="8" s="1"/>
  <c r="B408" i="8" a="1"/>
  <c r="B408" i="8" s="1"/>
  <c r="M408" i="8" s="1" a="1"/>
  <c r="M408" i="8" s="1"/>
  <c r="B190" i="8" a="1"/>
  <c r="B190" i="8" s="1"/>
  <c r="J190" i="8" a="1"/>
  <c r="J190" i="8" s="1"/>
  <c r="AM190" i="8"/>
  <c r="Z207" i="8"/>
  <c r="AJ207" i="8" s="1"/>
  <c r="AH24" i="8"/>
  <c r="AD205" i="8"/>
  <c r="G194" i="5" a="1"/>
  <c r="G194" i="5" s="1"/>
  <c r="E194" i="5" a="1"/>
  <c r="E194" i="5" s="1"/>
  <c r="T194" i="5" s="1"/>
  <c r="M194" i="5"/>
  <c r="Q194" i="5"/>
  <c r="S194" i="5"/>
  <c r="Y194" i="5"/>
  <c r="AM72" i="8"/>
  <c r="J72" i="8" a="1"/>
  <c r="J72" i="8" s="1"/>
  <c r="B72" i="8" a="1"/>
  <c r="B72" i="8" s="1"/>
  <c r="N9" i="6"/>
  <c r="E45" i="5" a="1"/>
  <c r="E45" i="5" s="1"/>
  <c r="T45" i="5" s="1"/>
  <c r="F45" i="5" a="1"/>
  <c r="F45" i="5" s="1"/>
  <c r="G45" i="5" a="1"/>
  <c r="G45" i="5" s="1"/>
  <c r="M45" i="5"/>
  <c r="Q45" i="5"/>
  <c r="S45" i="5"/>
  <c r="Y45" i="5"/>
  <c r="AM124" i="8"/>
  <c r="J124" i="8" a="1"/>
  <c r="J124" i="8" s="1"/>
  <c r="B124" i="8" a="1"/>
  <c r="B124" i="8" s="1"/>
  <c r="E160" i="5" a="1"/>
  <c r="E160" i="5" s="1"/>
  <c r="T160" i="5" s="1"/>
  <c r="F160" i="5" a="1"/>
  <c r="F160" i="5" s="1"/>
  <c r="G160" i="5" a="1"/>
  <c r="G160" i="5" s="1"/>
  <c r="M160" i="5"/>
  <c r="Q160" i="5"/>
  <c r="S160" i="5"/>
  <c r="Y160" i="5"/>
  <c r="AD207" i="8"/>
  <c r="AM93" i="8"/>
  <c r="J93" i="8" a="1"/>
  <c r="J93" i="8" s="1"/>
  <c r="B93" i="8" a="1"/>
  <c r="B93" i="8" s="1"/>
  <c r="AM60" i="8"/>
  <c r="J60" i="8" a="1"/>
  <c r="J60" i="8" s="1"/>
  <c r="G60" i="8"/>
  <c r="B60" i="8" a="1"/>
  <c r="B60" i="8" s="1"/>
  <c r="AO190" i="8" l="1"/>
  <c r="AT190" i="8" s="1"/>
  <c r="AO124" i="8"/>
  <c r="AT124" i="8" s="1"/>
  <c r="AO72" i="8"/>
  <c r="AT72" i="8" s="1"/>
  <c r="AU340" i="8"/>
  <c r="AU336" i="8"/>
  <c r="AU338" i="8"/>
  <c r="AU337" i="8"/>
  <c r="AU335" i="8"/>
  <c r="AU334" i="8"/>
  <c r="AO60" i="8"/>
  <c r="AT60" i="8" s="1"/>
  <c r="AO93" i="8"/>
  <c r="AT93" i="8" s="1"/>
  <c r="AU332" i="8"/>
  <c r="AU333" i="8"/>
  <c r="AU331" i="8"/>
  <c r="AU329" i="8"/>
  <c r="AU330" i="8"/>
  <c r="AU328" i="8"/>
  <c r="AU326" i="8"/>
  <c r="AU327" i="8"/>
  <c r="AU325" i="8"/>
  <c r="AU324" i="8"/>
  <c r="AU322" i="8"/>
  <c r="AU323" i="8"/>
  <c r="AU321" i="8"/>
  <c r="AU320" i="8"/>
  <c r="AU319" i="8"/>
  <c r="AU318" i="8"/>
  <c r="AU316" i="8"/>
  <c r="AU317" i="8"/>
  <c r="AU315" i="8"/>
  <c r="AU314" i="8"/>
  <c r="AU311" i="8"/>
  <c r="AU310" i="8"/>
  <c r="AU312" i="8"/>
  <c r="AU307" i="8"/>
  <c r="AU308" i="8"/>
  <c r="AU309" i="8"/>
  <c r="AU306" i="8"/>
  <c r="AU305" i="8"/>
  <c r="AU304" i="8"/>
  <c r="AU303" i="8"/>
  <c r="AU301" i="8"/>
  <c r="AU302" i="8"/>
  <c r="AU298" i="8"/>
  <c r="AU299" i="8"/>
  <c r="AU300" i="8"/>
  <c r="AU297" i="8"/>
  <c r="AU293" i="8"/>
  <c r="AU295" i="8"/>
  <c r="AU296" i="8"/>
  <c r="AU292" i="8"/>
  <c r="AU291" i="8"/>
  <c r="AU290" i="8"/>
  <c r="AU284" i="8"/>
  <c r="AU286" i="8"/>
  <c r="AU281" i="8"/>
  <c r="AU289" i="8"/>
  <c r="AU288" i="8"/>
  <c r="AU283" i="8"/>
  <c r="AU285" i="8"/>
  <c r="AU287" i="8"/>
  <c r="AU282" i="8"/>
  <c r="AU294" i="8"/>
  <c r="AU280" i="8"/>
  <c r="AU279" i="8"/>
  <c r="AU276" i="8"/>
  <c r="AU278" i="8"/>
  <c r="AU277" i="8"/>
  <c r="AU274" i="8"/>
  <c r="AU273" i="8"/>
  <c r="AU275" i="8"/>
  <c r="AU268" i="8"/>
  <c r="AU270" i="8"/>
  <c r="AU269" i="8"/>
  <c r="AU272" i="8"/>
  <c r="AU313" i="8"/>
  <c r="AU271" i="8"/>
  <c r="AU264" i="8"/>
  <c r="AU266" i="8"/>
  <c r="AU263" i="8"/>
  <c r="AU265" i="8"/>
  <c r="AU267" i="8"/>
  <c r="AU262" i="8"/>
  <c r="AU260" i="8"/>
  <c r="AU259" i="8"/>
  <c r="AU258" i="8"/>
  <c r="AU261" i="8"/>
  <c r="AU257" i="8"/>
  <c r="AU255" i="8"/>
  <c r="AU256" i="8"/>
  <c r="AG207" i="8"/>
  <c r="H207" i="8" s="1"/>
  <c r="AA207" i="8"/>
  <c r="AN421" i="8"/>
  <c r="AJ421" i="8"/>
  <c r="AK421" i="8"/>
  <c r="M124" i="8"/>
  <c r="N124" i="8"/>
  <c r="M72" i="8"/>
  <c r="Q72" i="8" s="1"/>
  <c r="N72" i="8"/>
  <c r="R72" i="8" s="1"/>
  <c r="M190" i="8"/>
  <c r="Q190" i="8" s="1"/>
  <c r="N190" i="8"/>
  <c r="R190" i="8" s="1"/>
  <c r="M93" i="8"/>
  <c r="N93" i="8"/>
  <c r="M60" i="8"/>
  <c r="N60" i="8"/>
  <c r="AE93" i="8"/>
  <c r="E93" i="8" s="1"/>
  <c r="AG413" i="8"/>
  <c r="AN413" i="8"/>
  <c r="AN423" i="8"/>
  <c r="AG423" i="8"/>
  <c r="AG408" i="8"/>
  <c r="AN408" i="8"/>
  <c r="AN411" i="8"/>
  <c r="AG411" i="8"/>
  <c r="AN412" i="8"/>
  <c r="AG412" i="8"/>
  <c r="AG410" i="8"/>
  <c r="AN410" i="8"/>
  <c r="AN414" i="8"/>
  <c r="AG414" i="8"/>
  <c r="AN416" i="8"/>
  <c r="AG416" i="8"/>
  <c r="AG417" i="8"/>
  <c r="AN417" i="8"/>
  <c r="AG418" i="8"/>
  <c r="AN418" i="8"/>
  <c r="AG419" i="8"/>
  <c r="AN419" i="8"/>
  <c r="AN420" i="8"/>
  <c r="AG420" i="8"/>
  <c r="AN415" i="8"/>
  <c r="AG409" i="8"/>
  <c r="AN422" i="8"/>
  <c r="AE421" i="8"/>
  <c r="AI421" i="8"/>
  <c r="AE190" i="8"/>
  <c r="E190" i="8" s="1"/>
  <c r="AI190" i="8"/>
  <c r="F190" i="8"/>
  <c r="G190" i="8"/>
  <c r="AN190" i="8"/>
  <c r="Z24" i="8"/>
  <c r="AC24" i="8"/>
  <c r="AD24" i="8" s="1"/>
  <c r="U194" i="5"/>
  <c r="AD194" i="5" s="1"/>
  <c r="N194" i="5"/>
  <c r="AN72" i="8"/>
  <c r="G72" i="8"/>
  <c r="F72" i="8"/>
  <c r="AI72" i="8"/>
  <c r="AE72" i="8"/>
  <c r="E72" i="8" s="1"/>
  <c r="U45" i="5"/>
  <c r="AD45" i="5" s="1"/>
  <c r="N45" i="5"/>
  <c r="AN124" i="8"/>
  <c r="G124" i="8"/>
  <c r="F124" i="8"/>
  <c r="AI124" i="8"/>
  <c r="AE124" i="8"/>
  <c r="E124" i="8" s="1"/>
  <c r="U160" i="5"/>
  <c r="AD160" i="5" s="1"/>
  <c r="N160" i="5"/>
  <c r="AI93" i="8"/>
  <c r="F93" i="8"/>
  <c r="G93" i="8"/>
  <c r="AN93" i="8"/>
  <c r="AN60" i="8"/>
  <c r="F60" i="8"/>
  <c r="AI60" i="8"/>
  <c r="AE60" i="8"/>
  <c r="E60" i="8" s="1"/>
  <c r="I24" i="8" l="1"/>
  <c r="AA24" i="8"/>
  <c r="AJ24" i="8"/>
  <c r="AU207" i="8"/>
  <c r="AK207" i="8"/>
  <c r="AG24" i="8"/>
  <c r="H24" i="8" s="1"/>
  <c r="Q93" i="8"/>
  <c r="R93" i="8"/>
  <c r="Q60" i="8"/>
  <c r="Q124" i="8"/>
  <c r="R124" i="8"/>
  <c r="R60" i="8"/>
  <c r="K229" i="5"/>
  <c r="G229" i="5" a="1"/>
  <c r="G229" i="5" s="1"/>
  <c r="E229" i="5" a="1"/>
  <c r="E229" i="5" s="1"/>
  <c r="T229" i="5" s="1"/>
  <c r="Q229" i="5"/>
  <c r="Y229" i="5"/>
  <c r="AM205" i="8"/>
  <c r="J205" i="8" a="1"/>
  <c r="J205" i="8" s="1"/>
  <c r="B205" i="8" a="1"/>
  <c r="B205" i="8" s="1"/>
  <c r="J473" i="5"/>
  <c r="AB380" i="5"/>
  <c r="E5" i="5" a="1"/>
  <c r="E5" i="5" s="1"/>
  <c r="T5" i="5" s="1"/>
  <c r="F5" i="5" a="1"/>
  <c r="F5" i="5" s="1"/>
  <c r="G5" i="5" a="1"/>
  <c r="G5" i="5" s="1"/>
  <c r="M5" i="5"/>
  <c r="Q5" i="5"/>
  <c r="S5" i="5"/>
  <c r="Y5" i="5"/>
  <c r="AM139" i="8"/>
  <c r="J139" i="8" a="1"/>
  <c r="J139" i="8" s="1"/>
  <c r="B139" i="8" a="1"/>
  <c r="B139" i="8" s="1"/>
  <c r="E156" i="5" a="1"/>
  <c r="E156" i="5" s="1"/>
  <c r="T156" i="5" s="1"/>
  <c r="F156" i="5" a="1"/>
  <c r="F156" i="5" s="1"/>
  <c r="G156" i="5" a="1"/>
  <c r="G156" i="5" s="1"/>
  <c r="M156" i="5"/>
  <c r="Q156" i="5"/>
  <c r="S156" i="5"/>
  <c r="Y156" i="5"/>
  <c r="AM94" i="8"/>
  <c r="J94" i="8" a="1"/>
  <c r="J94" i="8" s="1"/>
  <c r="B94" i="8" a="1"/>
  <c r="B94" i="8" s="1"/>
  <c r="G266" i="5" a="1"/>
  <c r="G266" i="5" s="1"/>
  <c r="E266" i="5" a="1"/>
  <c r="E266" i="5" s="1"/>
  <c r="F266" i="5" a="1"/>
  <c r="F266" i="5" s="1"/>
  <c r="M266" i="5"/>
  <c r="S266" i="5"/>
  <c r="AO229" i="8" s="1"/>
  <c r="AI407" i="8"/>
  <c r="AE407" i="8"/>
  <c r="O407" i="8" a="1"/>
  <c r="O407" i="8" s="1"/>
  <c r="L407" i="8" a="1"/>
  <c r="L407" i="8" s="1"/>
  <c r="K407" i="8" a="1"/>
  <c r="K407" i="8" s="1"/>
  <c r="J407" i="8" a="1"/>
  <c r="J407" i="8" s="1"/>
  <c r="D407" i="8" a="1"/>
  <c r="D407" i="8" s="1"/>
  <c r="B407" i="8" a="1"/>
  <c r="B407" i="8" s="1"/>
  <c r="M407" i="8" s="1" a="1"/>
  <c r="M407" i="8" s="1"/>
  <c r="AI406" i="8"/>
  <c r="O406" i="8" a="1"/>
  <c r="O406" i="8" s="1"/>
  <c r="L406" i="8" a="1"/>
  <c r="L406" i="8" s="1"/>
  <c r="K406" i="8" a="1"/>
  <c r="K406" i="8" s="1"/>
  <c r="J406" i="8" a="1"/>
  <c r="J406" i="8" s="1"/>
  <c r="D406" i="8" a="1"/>
  <c r="D406" i="8" s="1"/>
  <c r="B406" i="8" a="1"/>
  <c r="B406" i="8" s="1"/>
  <c r="M406" i="8" s="1" a="1"/>
  <c r="M406" i="8" s="1"/>
  <c r="AI405" i="8"/>
  <c r="AE405" i="8"/>
  <c r="O405" i="8" a="1"/>
  <c r="O405" i="8" s="1"/>
  <c r="L405" i="8" a="1"/>
  <c r="L405" i="8" s="1"/>
  <c r="K405" i="8" a="1"/>
  <c r="K405" i="8" s="1"/>
  <c r="J405" i="8" a="1"/>
  <c r="J405" i="8" s="1"/>
  <c r="D405" i="8" a="1"/>
  <c r="D405" i="8" s="1"/>
  <c r="B405" i="8" a="1"/>
  <c r="B405" i="8" s="1"/>
  <c r="M405" i="8" s="1" a="1"/>
  <c r="M405" i="8" s="1"/>
  <c r="AG404" i="8"/>
  <c r="O404" i="8" a="1"/>
  <c r="O404" i="8" s="1"/>
  <c r="L404" i="8" a="1"/>
  <c r="L404" i="8" s="1"/>
  <c r="K404" i="8" a="1"/>
  <c r="K404" i="8" s="1"/>
  <c r="J404" i="8" a="1"/>
  <c r="J404" i="8" s="1"/>
  <c r="D404" i="8" a="1"/>
  <c r="D404" i="8" s="1"/>
  <c r="B404" i="8" a="1"/>
  <c r="B404" i="8" s="1"/>
  <c r="M404" i="8" s="1" a="1"/>
  <c r="M404" i="8" s="1"/>
  <c r="AG403" i="8"/>
  <c r="O403" i="8" a="1"/>
  <c r="O403" i="8" s="1"/>
  <c r="L403" i="8" a="1"/>
  <c r="L403" i="8" s="1"/>
  <c r="K403" i="8" a="1"/>
  <c r="K403" i="8" s="1"/>
  <c r="J403" i="8" a="1"/>
  <c r="J403" i="8" s="1"/>
  <c r="D403" i="8" a="1"/>
  <c r="D403" i="8" s="1"/>
  <c r="AJ403" i="8" s="1"/>
  <c r="B403" i="8" a="1"/>
  <c r="B403" i="8" s="1"/>
  <c r="M403" i="8" s="1" a="1"/>
  <c r="M403" i="8" s="1"/>
  <c r="AG402" i="8"/>
  <c r="O402" i="8" a="1"/>
  <c r="O402" i="8" s="1"/>
  <c r="L402" i="8" a="1"/>
  <c r="L402" i="8" s="1"/>
  <c r="K402" i="8" a="1"/>
  <c r="K402" i="8" s="1"/>
  <c r="J402" i="8" a="1"/>
  <c r="J402" i="8" s="1"/>
  <c r="D402" i="8" a="1"/>
  <c r="D402" i="8" s="1"/>
  <c r="AJ402" i="8" s="1"/>
  <c r="B402" i="8" a="1"/>
  <c r="B402" i="8" s="1"/>
  <c r="M402" i="8" s="1" a="1"/>
  <c r="M402" i="8" s="1"/>
  <c r="AI401" i="8"/>
  <c r="AE401" i="8"/>
  <c r="O401" i="8" a="1"/>
  <c r="O401" i="8" s="1"/>
  <c r="L401" i="8" a="1"/>
  <c r="L401" i="8" s="1"/>
  <c r="K401" i="8" a="1"/>
  <c r="K401" i="8" s="1"/>
  <c r="J401" i="8" a="1"/>
  <c r="J401" i="8" s="1"/>
  <c r="D401" i="8" a="1"/>
  <c r="D401" i="8" s="1"/>
  <c r="B401" i="8" a="1"/>
  <c r="B401" i="8" s="1"/>
  <c r="M401" i="8" s="1" a="1"/>
  <c r="M401" i="8" s="1"/>
  <c r="AI400" i="8"/>
  <c r="AE400" i="8"/>
  <c r="O400" i="8" a="1"/>
  <c r="O400" i="8" s="1"/>
  <c r="L400" i="8" a="1"/>
  <c r="L400" i="8" s="1"/>
  <c r="K400" i="8" a="1"/>
  <c r="K400" i="8" s="1"/>
  <c r="J400" i="8" a="1"/>
  <c r="J400" i="8" s="1"/>
  <c r="D400" i="8" a="1"/>
  <c r="D400" i="8" s="1"/>
  <c r="AG400" i="8" s="1"/>
  <c r="B400" i="8" a="1"/>
  <c r="B400" i="8" s="1"/>
  <c r="M400" i="8" s="1" a="1"/>
  <c r="M400" i="8" s="1"/>
  <c r="AI399" i="8"/>
  <c r="AE399" i="8"/>
  <c r="O399" i="8" a="1"/>
  <c r="O399" i="8" s="1"/>
  <c r="L399" i="8" a="1"/>
  <c r="L399" i="8" s="1"/>
  <c r="K399" i="8" a="1"/>
  <c r="K399" i="8" s="1"/>
  <c r="J399" i="8" a="1"/>
  <c r="J399" i="8" s="1"/>
  <c r="D399" i="8" a="1"/>
  <c r="D399" i="8" s="1"/>
  <c r="B399" i="8" a="1"/>
  <c r="B399" i="8" s="1"/>
  <c r="M399" i="8" s="1" a="1"/>
  <c r="M399" i="8" s="1"/>
  <c r="G128" i="5" a="1"/>
  <c r="G128" i="5" s="1"/>
  <c r="AI128" i="5" s="1"/>
  <c r="E128" i="5" a="1"/>
  <c r="E128" i="5" s="1"/>
  <c r="T128" i="5" s="1"/>
  <c r="F128" i="5" a="1"/>
  <c r="F128" i="5" s="1"/>
  <c r="M128" i="5"/>
  <c r="Q128" i="5"/>
  <c r="S128" i="5"/>
  <c r="Y128" i="5"/>
  <c r="AM74" i="8"/>
  <c r="J74" i="8" a="1"/>
  <c r="J74" i="8" s="1"/>
  <c r="B74" i="8" a="1"/>
  <c r="B74" i="8" s="1"/>
  <c r="AI398" i="8"/>
  <c r="AE398" i="8"/>
  <c r="O398" i="8" a="1"/>
  <c r="O398" i="8" s="1"/>
  <c r="L398" i="8" a="1"/>
  <c r="L398" i="8" s="1"/>
  <c r="K398" i="8" a="1"/>
  <c r="K398" i="8" s="1"/>
  <c r="J398" i="8" a="1"/>
  <c r="J398" i="8" s="1"/>
  <c r="D398" i="8" a="1"/>
  <c r="D398" i="8" s="1"/>
  <c r="B398" i="8" a="1"/>
  <c r="B398" i="8" s="1"/>
  <c r="M398" i="8" s="1" a="1"/>
  <c r="M398" i="8" s="1"/>
  <c r="J470" i="5"/>
  <c r="J466" i="5"/>
  <c r="J467" i="5" s="1"/>
  <c r="J463" i="5"/>
  <c r="J464" i="5" s="1"/>
  <c r="E135" i="5" a="1"/>
  <c r="E135" i="5" s="1"/>
  <c r="T135" i="5" s="1"/>
  <c r="F135" i="5" a="1"/>
  <c r="F135" i="5" s="1"/>
  <c r="G135" i="5" a="1"/>
  <c r="G135" i="5" s="1"/>
  <c r="M135" i="5"/>
  <c r="Q135" i="5"/>
  <c r="S135" i="5"/>
  <c r="Y135" i="5"/>
  <c r="AM180" i="8"/>
  <c r="J180" i="8" a="1"/>
  <c r="J180" i="8" s="1"/>
  <c r="B180" i="8" a="1"/>
  <c r="B180" i="8" s="1"/>
  <c r="AU24" i="8" l="1"/>
  <c r="AK24" i="8"/>
  <c r="AS229" i="8"/>
  <c r="AQ229" i="8"/>
  <c r="AO74" i="8"/>
  <c r="AT74" i="8" s="1"/>
  <c r="AO180" i="8"/>
  <c r="AT180" i="8" s="1"/>
  <c r="AO139" i="8"/>
  <c r="AT139" i="8" s="1"/>
  <c r="AO205" i="8"/>
  <c r="AT205" i="8" s="1"/>
  <c r="AO94" i="8"/>
  <c r="AT94" i="8" s="1"/>
  <c r="AE404" i="8"/>
  <c r="AJ404" i="8"/>
  <c r="Q205" i="8"/>
  <c r="R205" i="8"/>
  <c r="M207" i="8"/>
  <c r="N207" i="8"/>
  <c r="M94" i="8"/>
  <c r="N94" i="8"/>
  <c r="M180" i="8"/>
  <c r="N180" i="8"/>
  <c r="M74" i="8"/>
  <c r="N74" i="8"/>
  <c r="M139" i="8"/>
  <c r="N139" i="8"/>
  <c r="AE180" i="8"/>
  <c r="E180" i="8" s="1"/>
  <c r="M229" i="5"/>
  <c r="N229" i="5" s="1"/>
  <c r="AI180" i="8"/>
  <c r="F180" i="8"/>
  <c r="G180" i="8"/>
  <c r="S229" i="5"/>
  <c r="U229" i="5" s="1"/>
  <c r="AN205" i="8"/>
  <c r="G205" i="8"/>
  <c r="F205" i="8"/>
  <c r="AI205" i="8"/>
  <c r="AE205" i="8"/>
  <c r="E205" i="8" s="1"/>
  <c r="U5" i="5"/>
  <c r="AD5" i="5" s="1"/>
  <c r="N5" i="5"/>
  <c r="AN139" i="8"/>
  <c r="G139" i="8"/>
  <c r="F139" i="8"/>
  <c r="AI139" i="8"/>
  <c r="AE139" i="8"/>
  <c r="E139" i="8" s="1"/>
  <c r="U156" i="5"/>
  <c r="AD156" i="5" s="1"/>
  <c r="N156" i="5"/>
  <c r="AN94" i="8"/>
  <c r="G94" i="8"/>
  <c r="F94" i="8"/>
  <c r="AI94" i="8"/>
  <c r="AE94" i="8"/>
  <c r="E94" i="8" s="1"/>
  <c r="U266" i="5"/>
  <c r="AD266" i="5" s="1"/>
  <c r="N266" i="5"/>
  <c r="AN407" i="8"/>
  <c r="AG407" i="8"/>
  <c r="AN406" i="8"/>
  <c r="AG406" i="8"/>
  <c r="AN400" i="8"/>
  <c r="AN399" i="8"/>
  <c r="AG399" i="8"/>
  <c r="AN405" i="8"/>
  <c r="AG405" i="8"/>
  <c r="AN401" i="8"/>
  <c r="AG401" i="8"/>
  <c r="AN403" i="8"/>
  <c r="AI403" i="8"/>
  <c r="AE403" i="8"/>
  <c r="AI404" i="8"/>
  <c r="AN402" i="8"/>
  <c r="AN404" i="8"/>
  <c r="AE402" i="8"/>
  <c r="AI402" i="8"/>
  <c r="U128" i="5"/>
  <c r="AD128" i="5" s="1"/>
  <c r="V128" i="5"/>
  <c r="N128" i="5"/>
  <c r="AN74" i="8"/>
  <c r="G74" i="8"/>
  <c r="F74" i="8"/>
  <c r="AI74" i="8"/>
  <c r="AE74" i="8"/>
  <c r="E74" i="8" s="1"/>
  <c r="AN398" i="8"/>
  <c r="AG398" i="8"/>
  <c r="U135" i="5"/>
  <c r="AD135" i="5" s="1"/>
  <c r="N135" i="5"/>
  <c r="AN180" i="8"/>
  <c r="AT229" i="8" l="1"/>
  <c r="AB128" i="5"/>
  <c r="R180" i="8"/>
  <c r="R139" i="8"/>
  <c r="Q139" i="8"/>
  <c r="R74" i="8"/>
  <c r="Q74" i="8"/>
  <c r="R94" i="8"/>
  <c r="Q180" i="8"/>
  <c r="Q94" i="8"/>
  <c r="AD229" i="5"/>
  <c r="AG394" i="8"/>
  <c r="O394" i="8" a="1"/>
  <c r="O394" i="8" s="1"/>
  <c r="L394" i="8" a="1"/>
  <c r="L394" i="8" s="1"/>
  <c r="K394" i="8" a="1"/>
  <c r="K394" i="8" s="1"/>
  <c r="J394" i="8" a="1"/>
  <c r="J394" i="8" s="1"/>
  <c r="D394" i="8" a="1"/>
  <c r="D394" i="8" s="1"/>
  <c r="AJ394" i="8" s="1"/>
  <c r="B394" i="8" a="1"/>
  <c r="B394" i="8" s="1"/>
  <c r="M394" i="8" s="1" a="1"/>
  <c r="M394" i="8" s="1"/>
  <c r="AG393" i="8"/>
  <c r="O393" i="8" a="1"/>
  <c r="O393" i="8" s="1"/>
  <c r="L393" i="8" a="1"/>
  <c r="L393" i="8" s="1"/>
  <c r="K393" i="8" a="1"/>
  <c r="K393" i="8" s="1"/>
  <c r="J393" i="8" a="1"/>
  <c r="J393" i="8" s="1"/>
  <c r="D393" i="8" a="1"/>
  <c r="D393" i="8" s="1"/>
  <c r="AJ393" i="8" s="1"/>
  <c r="B393" i="8" a="1"/>
  <c r="B393" i="8" s="1"/>
  <c r="M393" i="8" s="1" a="1"/>
  <c r="M393" i="8" s="1"/>
  <c r="AI392" i="8"/>
  <c r="AE392" i="8"/>
  <c r="O392" i="8" a="1"/>
  <c r="O392" i="8" s="1"/>
  <c r="L392" i="8" a="1"/>
  <c r="L392" i="8" s="1"/>
  <c r="K392" i="8" a="1"/>
  <c r="K392" i="8" s="1"/>
  <c r="J392" i="8" a="1"/>
  <c r="J392" i="8" s="1"/>
  <c r="D392" i="8" a="1"/>
  <c r="D392" i="8" s="1"/>
  <c r="B392" i="8" a="1"/>
  <c r="B392" i="8" s="1"/>
  <c r="M392" i="8" s="1" a="1"/>
  <c r="M392" i="8" s="1"/>
  <c r="AI391" i="8"/>
  <c r="AE391" i="8"/>
  <c r="O391" i="8" a="1"/>
  <c r="O391" i="8" s="1"/>
  <c r="L391" i="8" a="1"/>
  <c r="L391" i="8" s="1"/>
  <c r="K391" i="8" a="1"/>
  <c r="K391" i="8" s="1"/>
  <c r="J391" i="8" a="1"/>
  <c r="J391" i="8" s="1"/>
  <c r="D391" i="8" a="1"/>
  <c r="D391" i="8" s="1"/>
  <c r="AG391" i="8" s="1"/>
  <c r="B391" i="8" a="1"/>
  <c r="B391" i="8" s="1"/>
  <c r="M391" i="8" s="1" a="1"/>
  <c r="M391" i="8" s="1"/>
  <c r="AI390" i="8"/>
  <c r="AE390" i="8"/>
  <c r="O390" i="8" a="1"/>
  <c r="O390" i="8" s="1"/>
  <c r="L390" i="8" a="1"/>
  <c r="L390" i="8" s="1"/>
  <c r="K390" i="8" a="1"/>
  <c r="K390" i="8" s="1"/>
  <c r="J390" i="8" a="1"/>
  <c r="J390" i="8" s="1"/>
  <c r="D390" i="8" a="1"/>
  <c r="D390" i="8" s="1"/>
  <c r="B390" i="8" a="1"/>
  <c r="B390" i="8" s="1"/>
  <c r="M390" i="8" s="1" a="1"/>
  <c r="M390" i="8" s="1"/>
  <c r="AM150" i="8"/>
  <c r="AH150" i="8"/>
  <c r="AH100" i="8"/>
  <c r="J460" i="5"/>
  <c r="J461" i="5" s="1"/>
  <c r="G252" i="5" a="1"/>
  <c r="G252" i="5" s="1"/>
  <c r="E252" i="5" a="1"/>
  <c r="E252" i="5" s="1"/>
  <c r="T252" i="5" s="1"/>
  <c r="M252" i="5"/>
  <c r="Q252" i="5"/>
  <c r="S252" i="5"/>
  <c r="Y252" i="5"/>
  <c r="AM185" i="8"/>
  <c r="J185" i="8" a="1"/>
  <c r="J185" i="8" s="1"/>
  <c r="B185" i="8" a="1"/>
  <c r="B185" i="8" s="1"/>
  <c r="AO185" i="8" l="1"/>
  <c r="AT185" i="8" s="1"/>
  <c r="Q185" i="8"/>
  <c r="R185" i="8"/>
  <c r="G185" i="8"/>
  <c r="AN394" i="8"/>
  <c r="AI394" i="8"/>
  <c r="AE394" i="8"/>
  <c r="AN390" i="8"/>
  <c r="AG390" i="8"/>
  <c r="AN392" i="8"/>
  <c r="AG392" i="8"/>
  <c r="AE393" i="8"/>
  <c r="AI393" i="8"/>
  <c r="AN393" i="8"/>
  <c r="AN391" i="8"/>
  <c r="AC100" i="8"/>
  <c r="AC150" i="8"/>
  <c r="AD150" i="8" s="1"/>
  <c r="AF150" i="8"/>
  <c r="AG150" i="8" s="1"/>
  <c r="H150" i="8" s="1"/>
  <c r="U252" i="5"/>
  <c r="AD252" i="5" s="1"/>
  <c r="N252" i="5"/>
  <c r="AN185" i="8"/>
  <c r="F185" i="8"/>
  <c r="AI185" i="8"/>
  <c r="AE185" i="8"/>
  <c r="E185" i="8" s="1"/>
  <c r="I150" i="8" l="1"/>
  <c r="AD100" i="8"/>
  <c r="I100" i="8"/>
  <c r="AI389" i="8"/>
  <c r="AE389" i="8"/>
  <c r="O389" i="8" a="1"/>
  <c r="O389" i="8" s="1"/>
  <c r="L389" i="8" a="1"/>
  <c r="L389" i="8" s="1"/>
  <c r="K389" i="8" a="1"/>
  <c r="K389" i="8" s="1"/>
  <c r="J389" i="8" a="1"/>
  <c r="J389" i="8" s="1"/>
  <c r="D389" i="8" a="1"/>
  <c r="D389" i="8" s="1"/>
  <c r="B389" i="8" a="1"/>
  <c r="B389" i="8" s="1"/>
  <c r="M389" i="8" s="1" a="1"/>
  <c r="M389" i="8" s="1"/>
  <c r="AI388" i="8"/>
  <c r="AE388" i="8"/>
  <c r="O388" i="8" a="1"/>
  <c r="O388" i="8" s="1"/>
  <c r="L388" i="8" a="1"/>
  <c r="L388" i="8" s="1"/>
  <c r="K388" i="8" a="1"/>
  <c r="K388" i="8" s="1"/>
  <c r="J388" i="8" a="1"/>
  <c r="J388" i="8" s="1"/>
  <c r="D388" i="8" a="1"/>
  <c r="D388" i="8" s="1"/>
  <c r="B388" i="8" a="1"/>
  <c r="B388" i="8" s="1"/>
  <c r="M388" i="8" s="1" a="1"/>
  <c r="M388" i="8" s="1"/>
  <c r="AI387" i="8"/>
  <c r="AE387" i="8"/>
  <c r="O387" i="8" a="1"/>
  <c r="O387" i="8" s="1"/>
  <c r="L387" i="8" a="1"/>
  <c r="L387" i="8" s="1"/>
  <c r="K387" i="8" a="1"/>
  <c r="K387" i="8" s="1"/>
  <c r="J387" i="8" a="1"/>
  <c r="J387" i="8" s="1"/>
  <c r="D387" i="8" a="1"/>
  <c r="D387" i="8" s="1"/>
  <c r="B387" i="8" a="1"/>
  <c r="B387" i="8" s="1"/>
  <c r="M387" i="8" s="1" a="1"/>
  <c r="M387" i="8" s="1"/>
  <c r="AI386" i="8"/>
  <c r="AE386" i="8"/>
  <c r="O386" i="8" a="1"/>
  <c r="O386" i="8" s="1"/>
  <c r="L386" i="8" a="1"/>
  <c r="L386" i="8" s="1"/>
  <c r="K386" i="8" a="1"/>
  <c r="K386" i="8" s="1"/>
  <c r="J386" i="8" a="1"/>
  <c r="J386" i="8" s="1"/>
  <c r="D386" i="8" a="1"/>
  <c r="D386" i="8" s="1"/>
  <c r="AN386" i="8" s="1"/>
  <c r="B386" i="8" a="1"/>
  <c r="B386" i="8" s="1"/>
  <c r="M386" i="8" s="1" a="1"/>
  <c r="M386" i="8" s="1"/>
  <c r="L395" i="8" a="1"/>
  <c r="L395" i="8" s="1"/>
  <c r="O395" i="8" a="1"/>
  <c r="O395" i="8" s="1"/>
  <c r="B395" i="8" a="1"/>
  <c r="B395" i="8" s="1"/>
  <c r="M395" i="8" s="1" a="1"/>
  <c r="M395" i="8" s="1"/>
  <c r="D395" i="8" a="1"/>
  <c r="D395" i="8" s="1"/>
  <c r="J395" i="8" a="1"/>
  <c r="J395" i="8" s="1"/>
  <c r="K395" i="8" a="1"/>
  <c r="K395" i="8" s="1"/>
  <c r="AE395" i="8"/>
  <c r="AI395" i="8"/>
  <c r="I247" i="4"/>
  <c r="M9" i="6" s="1"/>
  <c r="AI397" i="8"/>
  <c r="AE397" i="8"/>
  <c r="O397" i="8" a="1"/>
  <c r="O397" i="8" s="1"/>
  <c r="L397" i="8" a="1"/>
  <c r="L397" i="8" s="1"/>
  <c r="K397" i="8" a="1"/>
  <c r="K397" i="8" s="1"/>
  <c r="J397" i="8" a="1"/>
  <c r="J397" i="8" s="1"/>
  <c r="D397" i="8" a="1"/>
  <c r="D397" i="8" s="1"/>
  <c r="AN397" i="8" s="1"/>
  <c r="B397" i="8" a="1"/>
  <c r="B397" i="8" s="1"/>
  <c r="M397" i="8" s="1" a="1"/>
  <c r="M397" i="8" s="1"/>
  <c r="B396" i="8" a="1"/>
  <c r="B396" i="8" s="1"/>
  <c r="M396" i="8" s="1" a="1"/>
  <c r="M396" i="8" s="1"/>
  <c r="D396" i="8" a="1"/>
  <c r="D396" i="8" s="1"/>
  <c r="AN396" i="8" s="1"/>
  <c r="J396" i="8" a="1"/>
  <c r="J396" i="8" s="1"/>
  <c r="K396" i="8" a="1"/>
  <c r="K396" i="8" s="1"/>
  <c r="L396" i="8" a="1"/>
  <c r="L396" i="8" s="1"/>
  <c r="O396" i="8" a="1"/>
  <c r="O396" i="8" s="1"/>
  <c r="AE396" i="8"/>
  <c r="AI396" i="8"/>
  <c r="B383" i="8" a="1"/>
  <c r="B383" i="8" s="1"/>
  <c r="M383" i="8" s="1" a="1"/>
  <c r="M383" i="8" s="1"/>
  <c r="D383" i="8" a="1"/>
  <c r="D383" i="8" s="1"/>
  <c r="J383" i="8" a="1"/>
  <c r="J383" i="8" s="1"/>
  <c r="K383" i="8" a="1"/>
  <c r="K383" i="8" s="1"/>
  <c r="L383" i="8" a="1"/>
  <c r="L383" i="8" s="1"/>
  <c r="O383" i="8" a="1"/>
  <c r="O383" i="8" s="1"/>
  <c r="AE383" i="8"/>
  <c r="AI383" i="8"/>
  <c r="AM17" i="8"/>
  <c r="AH168" i="8"/>
  <c r="AB373" i="5"/>
  <c r="AI382" i="8"/>
  <c r="AE382" i="8"/>
  <c r="O382" i="8" a="1"/>
  <c r="O382" i="8" s="1"/>
  <c r="L382" i="8" a="1"/>
  <c r="L382" i="8" s="1"/>
  <c r="K382" i="8" a="1"/>
  <c r="K382" i="8" s="1"/>
  <c r="J382" i="8" a="1"/>
  <c r="J382" i="8" s="1"/>
  <c r="D382" i="8" a="1"/>
  <c r="D382" i="8" s="1"/>
  <c r="B382" i="8" a="1"/>
  <c r="B382" i="8" s="1"/>
  <c r="M382" i="8" s="1" a="1"/>
  <c r="M382" i="8" s="1"/>
  <c r="AI381" i="8"/>
  <c r="AE381" i="8"/>
  <c r="O381" i="8" a="1"/>
  <c r="O381" i="8" s="1"/>
  <c r="L381" i="8" a="1"/>
  <c r="L381" i="8" s="1"/>
  <c r="K381" i="8" a="1"/>
  <c r="K381" i="8" s="1"/>
  <c r="J381" i="8" a="1"/>
  <c r="J381" i="8" s="1"/>
  <c r="D381" i="8" a="1"/>
  <c r="D381" i="8" s="1"/>
  <c r="B381" i="8" a="1"/>
  <c r="B381" i="8" s="1"/>
  <c r="M381" i="8" s="1" a="1"/>
  <c r="M381" i="8" s="1"/>
  <c r="E170" i="5" a="1"/>
  <c r="E170" i="5" s="1"/>
  <c r="T170" i="5" s="1"/>
  <c r="G170" i="5" a="1"/>
  <c r="G170" i="5" s="1"/>
  <c r="AI170" i="5" s="1"/>
  <c r="M170" i="5"/>
  <c r="Q170" i="5"/>
  <c r="S170" i="5"/>
  <c r="Y170" i="5"/>
  <c r="AM156" i="8"/>
  <c r="J156" i="8" a="1"/>
  <c r="J156" i="8" s="1"/>
  <c r="B156" i="8" a="1"/>
  <c r="B156" i="8" s="1"/>
  <c r="B23" i="8" a="1"/>
  <c r="B23" i="8" s="1"/>
  <c r="J23" i="8" a="1"/>
  <c r="J23" i="8" s="1"/>
  <c r="Z23" i="8"/>
  <c r="AG23" i="8" s="1"/>
  <c r="H23" i="8" s="1"/>
  <c r="AM23" i="8"/>
  <c r="I229" i="4"/>
  <c r="AI380" i="8"/>
  <c r="AE380" i="8"/>
  <c r="O380" i="8" a="1"/>
  <c r="O380" i="8" s="1"/>
  <c r="L380" i="8" a="1"/>
  <c r="L380" i="8" s="1"/>
  <c r="K380" i="8" a="1"/>
  <c r="K380" i="8" s="1"/>
  <c r="J380" i="8" a="1"/>
  <c r="J380" i="8" s="1"/>
  <c r="D380" i="8" a="1"/>
  <c r="D380" i="8" s="1"/>
  <c r="B380" i="8" a="1"/>
  <c r="B380" i="8" s="1"/>
  <c r="M380" i="8" s="1" a="1"/>
  <c r="M380" i="8" s="1"/>
  <c r="G225" i="5" a="1"/>
  <c r="G225" i="5" s="1"/>
  <c r="Y225" i="5"/>
  <c r="S225" i="5"/>
  <c r="Q225" i="5"/>
  <c r="M225" i="5"/>
  <c r="E225" i="5" a="1"/>
  <c r="E225" i="5" s="1"/>
  <c r="T225" i="5" s="1"/>
  <c r="AM97" i="8"/>
  <c r="J97" i="8" a="1"/>
  <c r="J97" i="8" s="1"/>
  <c r="B97" i="8" a="1"/>
  <c r="B97" i="8" s="1"/>
  <c r="M551" i="5" a="1"/>
  <c r="M551" i="5" s="1"/>
  <c r="B385" i="8" a="1"/>
  <c r="B385" i="8" s="1"/>
  <c r="M385" i="8" s="1" a="1"/>
  <c r="M385" i="8" s="1"/>
  <c r="D385" i="8" a="1"/>
  <c r="D385" i="8" s="1"/>
  <c r="J385" i="8" a="1"/>
  <c r="J385" i="8" s="1"/>
  <c r="K385" i="8" a="1"/>
  <c r="K385" i="8" s="1"/>
  <c r="L385" i="8" a="1"/>
  <c r="L385" i="8" s="1"/>
  <c r="O385" i="8" a="1"/>
  <c r="O385" i="8" s="1"/>
  <c r="AE385" i="8"/>
  <c r="AI385" i="8"/>
  <c r="E77" i="5" a="1"/>
  <c r="E77" i="5" s="1"/>
  <c r="T77" i="5" s="1"/>
  <c r="F77" i="5" a="1"/>
  <c r="F77" i="5" s="1"/>
  <c r="G77" i="5" a="1"/>
  <c r="G77" i="5" s="1"/>
  <c r="AI77" i="5" s="1"/>
  <c r="M77" i="5"/>
  <c r="Q77" i="5"/>
  <c r="S77" i="5"/>
  <c r="Y77" i="5"/>
  <c r="AM39" i="8"/>
  <c r="J39" i="8" a="1"/>
  <c r="J39" i="8" s="1"/>
  <c r="B39" i="8" a="1"/>
  <c r="B39" i="8" s="1"/>
  <c r="B20" i="8" a="1"/>
  <c r="B20" i="8" s="1"/>
  <c r="J20" i="8" a="1"/>
  <c r="J20" i="8" s="1"/>
  <c r="AM20" i="8"/>
  <c r="N176" i="5"/>
  <c r="Y78" i="5"/>
  <c r="S78" i="5"/>
  <c r="Q78" i="5"/>
  <c r="M78" i="5"/>
  <c r="G78" i="5" a="1"/>
  <c r="G78" i="5" s="1"/>
  <c r="F78" i="5" a="1"/>
  <c r="F78" i="5" s="1"/>
  <c r="E78" i="5" a="1"/>
  <c r="E78" i="5" s="1"/>
  <c r="T78" i="5" s="1"/>
  <c r="R166" i="5" l="1"/>
  <c r="AI166" i="5" s="1"/>
  <c r="R115" i="5"/>
  <c r="R6" i="5"/>
  <c r="V6" i="5" s="1"/>
  <c r="AB6" i="5" s="1"/>
  <c r="R175" i="5"/>
  <c r="R256" i="5"/>
  <c r="V256" i="5" s="1"/>
  <c r="AB256" i="5" s="1"/>
  <c r="R212" i="5"/>
  <c r="R19" i="5"/>
  <c r="AI19" i="5" s="1"/>
  <c r="R237" i="5"/>
  <c r="R192" i="5"/>
  <c r="AI192" i="5" s="1"/>
  <c r="R193" i="5"/>
  <c r="R76" i="5"/>
  <c r="AI76" i="5" s="1"/>
  <c r="R52" i="5"/>
  <c r="R228" i="5"/>
  <c r="AI228" i="5" s="1"/>
  <c r="R68" i="5"/>
  <c r="AI68" i="5" s="1"/>
  <c r="R162" i="5"/>
  <c r="R57" i="5"/>
  <c r="AI57" i="5" s="1"/>
  <c r="R146" i="5"/>
  <c r="R214" i="5"/>
  <c r="AI214" i="5" s="1"/>
  <c r="R58" i="5"/>
  <c r="R145" i="5"/>
  <c r="V145" i="5" s="1"/>
  <c r="AB145" i="5" s="1"/>
  <c r="V281" i="5"/>
  <c r="L560" i="5"/>
  <c r="R44" i="5"/>
  <c r="AI44" i="5" s="1"/>
  <c r="R230" i="5"/>
  <c r="R28" i="5"/>
  <c r="AI28" i="5" s="1"/>
  <c r="R85" i="5"/>
  <c r="R161" i="5"/>
  <c r="AI161" i="5" s="1"/>
  <c r="R201" i="5"/>
  <c r="AI302" i="5"/>
  <c r="R140" i="5"/>
  <c r="R178" i="5"/>
  <c r="AI178" i="5" s="1"/>
  <c r="R144" i="5"/>
  <c r="AI274" i="5"/>
  <c r="AO156" i="8"/>
  <c r="AT156" i="8" s="1"/>
  <c r="AO97" i="8"/>
  <c r="AT97" i="8" s="1"/>
  <c r="R250" i="5"/>
  <c r="V250" i="5" s="1"/>
  <c r="AB250" i="5" s="1"/>
  <c r="R251" i="5"/>
  <c r="R177" i="5"/>
  <c r="V177" i="5" s="1"/>
  <c r="AB177" i="5" s="1"/>
  <c r="R113" i="5"/>
  <c r="V113" i="5" s="1"/>
  <c r="AB113" i="5" s="1"/>
  <c r="R243" i="5"/>
  <c r="R227" i="5"/>
  <c r="AI227" i="5" s="1"/>
  <c r="R41" i="5"/>
  <c r="R248" i="5"/>
  <c r="V248" i="5" s="1"/>
  <c r="AB248" i="5" s="1"/>
  <c r="R141" i="5"/>
  <c r="V141" i="5" s="1"/>
  <c r="AB141" i="5" s="1"/>
  <c r="R7" i="5"/>
  <c r="AI276" i="5"/>
  <c r="R123" i="5"/>
  <c r="AO23" i="8"/>
  <c r="AT23" i="8" s="1"/>
  <c r="AO39" i="8"/>
  <c r="AT39" i="8" s="1"/>
  <c r="AO20" i="8"/>
  <c r="AT20" i="8" s="1"/>
  <c r="R179" i="5"/>
  <c r="AI179" i="5" s="1"/>
  <c r="AI300" i="5"/>
  <c r="R83" i="5"/>
  <c r="AI83" i="5" s="1"/>
  <c r="R70" i="5"/>
  <c r="R167" i="5"/>
  <c r="R184" i="5"/>
  <c r="R169" i="5"/>
  <c r="R117" i="5"/>
  <c r="AI117" i="5" s="1"/>
  <c r="R152" i="5"/>
  <c r="AI152" i="5" s="1"/>
  <c r="V268" i="5"/>
  <c r="R226" i="5"/>
  <c r="AI226" i="5" s="1"/>
  <c r="R62" i="5"/>
  <c r="R63" i="5"/>
  <c r="R187" i="5"/>
  <c r="R149" i="5"/>
  <c r="R79" i="5"/>
  <c r="AI273" i="5"/>
  <c r="R155" i="5"/>
  <c r="R136" i="5"/>
  <c r="R171" i="5"/>
  <c r="R112" i="5"/>
  <c r="R207" i="5"/>
  <c r="Q39" i="8"/>
  <c r="R39" i="8"/>
  <c r="R209" i="5"/>
  <c r="R55" i="5"/>
  <c r="R200" i="5"/>
  <c r="R80" i="5"/>
  <c r="R138" i="5"/>
  <c r="R139" i="5"/>
  <c r="R240" i="5"/>
  <c r="R26" i="5"/>
  <c r="Q23" i="8"/>
  <c r="R23" i="8"/>
  <c r="Q97" i="8"/>
  <c r="R97" i="8"/>
  <c r="M20" i="8"/>
  <c r="N20" i="8"/>
  <c r="M156" i="8"/>
  <c r="N156" i="8"/>
  <c r="G97" i="8"/>
  <c r="R36" i="5"/>
  <c r="R111" i="5"/>
  <c r="Z89" i="8"/>
  <c r="AJ89" i="8" s="1"/>
  <c r="AC89" i="8"/>
  <c r="AH89" i="8"/>
  <c r="AG154" i="8"/>
  <c r="H154" i="8" s="1"/>
  <c r="R45" i="5"/>
  <c r="R194" i="5"/>
  <c r="R229" i="5"/>
  <c r="R160" i="5"/>
  <c r="R5" i="5"/>
  <c r="R156" i="5"/>
  <c r="R135" i="5"/>
  <c r="M247" i="4"/>
  <c r="R252" i="5"/>
  <c r="AG388" i="8"/>
  <c r="AN388" i="8"/>
  <c r="AN389" i="8"/>
  <c r="AG389" i="8"/>
  <c r="AN387" i="8"/>
  <c r="AG387" i="8"/>
  <c r="AG395" i="8"/>
  <c r="AN395" i="8"/>
  <c r="M8" i="6"/>
  <c r="AG383" i="8"/>
  <c r="AN383" i="8"/>
  <c r="AF168" i="8"/>
  <c r="AG168" i="8" s="1"/>
  <c r="H168" i="8" s="1"/>
  <c r="AN382" i="8"/>
  <c r="AG382" i="8"/>
  <c r="AN381" i="8"/>
  <c r="AG381" i="8"/>
  <c r="U170" i="5"/>
  <c r="AD170" i="5" s="1"/>
  <c r="V170" i="5"/>
  <c r="N170" i="5"/>
  <c r="AN156" i="8"/>
  <c r="G156" i="8"/>
  <c r="F156" i="8"/>
  <c r="AI156" i="8"/>
  <c r="AE156" i="8"/>
  <c r="E156" i="8" s="1"/>
  <c r="AH23" i="8"/>
  <c r="AI23" i="8" s="1"/>
  <c r="AC23" i="8"/>
  <c r="AD23" i="8" s="1"/>
  <c r="AN23" i="8"/>
  <c r="AK23" i="8"/>
  <c r="G23" i="8" s="1"/>
  <c r="AJ23" i="8"/>
  <c r="F23" i="8" s="1"/>
  <c r="AN380" i="8"/>
  <c r="AG380" i="8"/>
  <c r="R225" i="5"/>
  <c r="AI225" i="5" s="1"/>
  <c r="N225" i="5"/>
  <c r="U225" i="5"/>
  <c r="AD225" i="5" s="1"/>
  <c r="AN97" i="8"/>
  <c r="F97" i="8"/>
  <c r="AI97" i="8"/>
  <c r="AE97" i="8"/>
  <c r="E97" i="8" s="1"/>
  <c r="R46" i="5"/>
  <c r="R50" i="5"/>
  <c r="R69" i="5"/>
  <c r="R108" i="5"/>
  <c r="R202" i="5"/>
  <c r="R17" i="5"/>
  <c r="R238" i="5"/>
  <c r="R51" i="5"/>
  <c r="R208" i="5"/>
  <c r="R53" i="5"/>
  <c r="R114" i="5"/>
  <c r="R157" i="5"/>
  <c r="R213" i="5"/>
  <c r="R119" i="5"/>
  <c r="R158" i="5"/>
  <c r="R220" i="5"/>
  <c r="R64" i="5"/>
  <c r="R163" i="5"/>
  <c r="R224" i="5"/>
  <c r="R65" i="5"/>
  <c r="R16" i="5"/>
  <c r="R67" i="5"/>
  <c r="R137" i="5"/>
  <c r="R174" i="5"/>
  <c r="R78" i="5"/>
  <c r="AI78" i="5" s="1"/>
  <c r="R143" i="5"/>
  <c r="R182" i="5"/>
  <c r="R107" i="5"/>
  <c r="R151" i="5"/>
  <c r="N78" i="5"/>
  <c r="AG385" i="8"/>
  <c r="AN385" i="8"/>
  <c r="U77" i="5"/>
  <c r="AD77" i="5" s="1"/>
  <c r="N77" i="5"/>
  <c r="V77" i="5"/>
  <c r="AN39" i="8"/>
  <c r="AK39" i="8"/>
  <c r="G39" i="8" s="1"/>
  <c r="AJ39" i="8"/>
  <c r="F39" i="8" s="1"/>
  <c r="AI39" i="8"/>
  <c r="AE39" i="8"/>
  <c r="E39" i="8" s="1"/>
  <c r="AE20" i="8"/>
  <c r="E20" i="8" s="1"/>
  <c r="AI20" i="8"/>
  <c r="AJ20" i="8"/>
  <c r="F20" i="8" s="1"/>
  <c r="AK20" i="8"/>
  <c r="G20" i="8" s="1"/>
  <c r="AN20" i="8"/>
  <c r="U78" i="5"/>
  <c r="AD78" i="5" s="1"/>
  <c r="V166" i="5" l="1"/>
  <c r="AB166" i="5" s="1"/>
  <c r="AI115" i="5"/>
  <c r="V115" i="5"/>
  <c r="AB115" i="5" s="1"/>
  <c r="AI6" i="5"/>
  <c r="AI175" i="5"/>
  <c r="V175" i="5"/>
  <c r="AB175" i="5" s="1"/>
  <c r="AI256" i="5"/>
  <c r="AI212" i="5"/>
  <c r="V212" i="5"/>
  <c r="AB212" i="5" s="1"/>
  <c r="V19" i="5"/>
  <c r="AB19" i="5" s="1"/>
  <c r="AI237" i="5"/>
  <c r="V237" i="5"/>
  <c r="AB237" i="5" s="1"/>
  <c r="V192" i="5"/>
  <c r="AB192" i="5" s="1"/>
  <c r="AI193" i="5"/>
  <c r="V193" i="5"/>
  <c r="AB193" i="5" s="1"/>
  <c r="V76" i="5"/>
  <c r="AB76" i="5" s="1"/>
  <c r="AI52" i="5"/>
  <c r="V52" i="5"/>
  <c r="AB52" i="5" s="1"/>
  <c r="V228" i="5"/>
  <c r="AB228" i="5" s="1"/>
  <c r="AI305" i="5"/>
  <c r="V305" i="5"/>
  <c r="AD89" i="8"/>
  <c r="I89" i="8"/>
  <c r="I23" i="8"/>
  <c r="V68" i="5"/>
  <c r="AB68" i="5" s="1"/>
  <c r="AI162" i="5"/>
  <c r="V162" i="5"/>
  <c r="AB162" i="5" s="1"/>
  <c r="V57" i="5"/>
  <c r="AB57" i="5" s="1"/>
  <c r="AI146" i="5"/>
  <c r="V146" i="5"/>
  <c r="AB146" i="5" s="1"/>
  <c r="V214" i="5"/>
  <c r="AB214" i="5" s="1"/>
  <c r="AI58" i="5"/>
  <c r="V58" i="5"/>
  <c r="AB58" i="5" s="1"/>
  <c r="AB281" i="5"/>
  <c r="Y281" i="5"/>
  <c r="AI145" i="5"/>
  <c r="AI290" i="5"/>
  <c r="V290" i="5"/>
  <c r="AI281" i="5"/>
  <c r="V44" i="5"/>
  <c r="AB44" i="5" s="1"/>
  <c r="AI230" i="5"/>
  <c r="V230" i="5"/>
  <c r="AB230" i="5" s="1"/>
  <c r="V28" i="5"/>
  <c r="AB28" i="5" s="1"/>
  <c r="AI85" i="5"/>
  <c r="V85" i="5"/>
  <c r="AB85" i="5" s="1"/>
  <c r="AB268" i="5"/>
  <c r="Y268" i="5"/>
  <c r="AL268" i="5" s="1"/>
  <c r="V161" i="5"/>
  <c r="AB161" i="5" s="1"/>
  <c r="V302" i="5"/>
  <c r="AI140" i="5"/>
  <c r="V140" i="5"/>
  <c r="AB140" i="5" s="1"/>
  <c r="V178" i="5"/>
  <c r="AB178" i="5" s="1"/>
  <c r="AI144" i="5"/>
  <c r="V144" i="5"/>
  <c r="AB144" i="5" s="1"/>
  <c r="V274" i="5"/>
  <c r="AI306" i="5"/>
  <c r="V306" i="5"/>
  <c r="AI250" i="5"/>
  <c r="AI251" i="5"/>
  <c r="V251" i="5"/>
  <c r="AB251" i="5" s="1"/>
  <c r="AI177" i="5"/>
  <c r="AI113" i="5"/>
  <c r="AI243" i="5"/>
  <c r="V243" i="5"/>
  <c r="AB243" i="5" s="1"/>
  <c r="V227" i="5"/>
  <c r="AB227" i="5" s="1"/>
  <c r="AI41" i="5"/>
  <c r="V41" i="5"/>
  <c r="AB41" i="5" s="1"/>
  <c r="AI248" i="5"/>
  <c r="AI278" i="5"/>
  <c r="V278" i="5"/>
  <c r="AI141" i="5"/>
  <c r="AI7" i="5"/>
  <c r="V7" i="5"/>
  <c r="AB7" i="5" s="1"/>
  <c r="V276" i="5"/>
  <c r="AI123" i="5"/>
  <c r="V123" i="5"/>
  <c r="AB123" i="5" s="1"/>
  <c r="V179" i="5"/>
  <c r="AB179" i="5" s="1"/>
  <c r="AI293" i="5"/>
  <c r="V293" i="5"/>
  <c r="AB77" i="5"/>
  <c r="AB170" i="5"/>
  <c r="V300" i="5"/>
  <c r="V83" i="5"/>
  <c r="AB83" i="5" s="1"/>
  <c r="V70" i="5"/>
  <c r="AB70" i="5" s="1"/>
  <c r="AI70" i="5"/>
  <c r="AI184" i="5"/>
  <c r="V184" i="5"/>
  <c r="AB184" i="5" s="1"/>
  <c r="AG89" i="8"/>
  <c r="H89" i="8" s="1"/>
  <c r="AA89" i="8"/>
  <c r="V117" i="5"/>
  <c r="AB117" i="5" s="1"/>
  <c r="AI169" i="5"/>
  <c r="V169" i="5"/>
  <c r="AB169" i="5" s="1"/>
  <c r="V152" i="5"/>
  <c r="AB152" i="5" s="1"/>
  <c r="AI268" i="5"/>
  <c r="V226" i="5"/>
  <c r="AB226" i="5" s="1"/>
  <c r="V63" i="5"/>
  <c r="AB63" i="5" s="1"/>
  <c r="AI63" i="5"/>
  <c r="AI62" i="5"/>
  <c r="V62" i="5"/>
  <c r="AB62" i="5" s="1"/>
  <c r="AI277" i="5"/>
  <c r="V277" i="5"/>
  <c r="V187" i="5"/>
  <c r="AB187" i="5" s="1"/>
  <c r="AI187" i="5"/>
  <c r="AI149" i="5"/>
  <c r="V149" i="5"/>
  <c r="AB149" i="5" s="1"/>
  <c r="AI79" i="5"/>
  <c r="V79" i="5"/>
  <c r="AB79" i="5" s="1"/>
  <c r="V273" i="5"/>
  <c r="AI265" i="5"/>
  <c r="V265" i="5"/>
  <c r="Q156" i="8"/>
  <c r="R20" i="8"/>
  <c r="Q20" i="8"/>
  <c r="R156" i="8"/>
  <c r="AI155" i="5"/>
  <c r="V155" i="5"/>
  <c r="AB155" i="5" s="1"/>
  <c r="AI136" i="5"/>
  <c r="V136" i="5"/>
  <c r="AB136" i="5" s="1"/>
  <c r="V207" i="5"/>
  <c r="AB207" i="5" s="1"/>
  <c r="AI207" i="5"/>
  <c r="V112" i="5"/>
  <c r="AB112" i="5" s="1"/>
  <c r="AI112" i="5"/>
  <c r="V156" i="5"/>
  <c r="AB156" i="5" s="1"/>
  <c r="AI156" i="5"/>
  <c r="V138" i="5"/>
  <c r="AB138" i="5" s="1"/>
  <c r="AI138" i="5"/>
  <c r="V171" i="5"/>
  <c r="AB171" i="5" s="1"/>
  <c r="AI171" i="5"/>
  <c r="V139" i="5"/>
  <c r="AB139" i="5" s="1"/>
  <c r="AI139" i="5"/>
  <c r="V266" i="5"/>
  <c r="AI266" i="5"/>
  <c r="V36" i="5"/>
  <c r="AB36" i="5" s="1"/>
  <c r="AI36" i="5"/>
  <c r="V80" i="5"/>
  <c r="AB80" i="5" s="1"/>
  <c r="AI80" i="5"/>
  <c r="V135" i="5"/>
  <c r="AB135" i="5" s="1"/>
  <c r="AI135" i="5"/>
  <c r="V111" i="5"/>
  <c r="AB111" i="5" s="1"/>
  <c r="AI111" i="5"/>
  <c r="V304" i="5"/>
  <c r="AI304" i="5"/>
  <c r="V5" i="5"/>
  <c r="AB5" i="5" s="1"/>
  <c r="AI5" i="5"/>
  <c r="V242" i="5"/>
  <c r="AB242" i="5" s="1"/>
  <c r="AI242" i="5"/>
  <c r="V200" i="5"/>
  <c r="AB200" i="5" s="1"/>
  <c r="AI200" i="5"/>
  <c r="V252" i="5"/>
  <c r="AB252" i="5" s="1"/>
  <c r="AI252" i="5"/>
  <c r="V160" i="5"/>
  <c r="AB160" i="5" s="1"/>
  <c r="AI160" i="5"/>
  <c r="V291" i="5"/>
  <c r="AI291" i="5"/>
  <c r="V26" i="5"/>
  <c r="AB26" i="5" s="1"/>
  <c r="AI26" i="5"/>
  <c r="V229" i="5"/>
  <c r="AB229" i="5" s="1"/>
  <c r="AI229" i="5"/>
  <c r="V55" i="5"/>
  <c r="AB55" i="5" s="1"/>
  <c r="AI55" i="5"/>
  <c r="V194" i="5"/>
  <c r="AB194" i="5" s="1"/>
  <c r="AI194" i="5"/>
  <c r="V240" i="5"/>
  <c r="AB240" i="5" s="1"/>
  <c r="AI240" i="5"/>
  <c r="V209" i="5"/>
  <c r="AB209" i="5" s="1"/>
  <c r="AI209" i="5"/>
  <c r="V45" i="5"/>
  <c r="AB45" i="5" s="1"/>
  <c r="AI45" i="5"/>
  <c r="AE23" i="8"/>
  <c r="E23" i="8" s="1"/>
  <c r="V225" i="5"/>
  <c r="AB225" i="5" s="1"/>
  <c r="AB363" i="5"/>
  <c r="L9" i="6"/>
  <c r="L8" i="6"/>
  <c r="AI379" i="8"/>
  <c r="AE379" i="8"/>
  <c r="O379" i="8" a="1"/>
  <c r="O379" i="8" s="1"/>
  <c r="L379" i="8" a="1"/>
  <c r="L379" i="8" s="1"/>
  <c r="K379" i="8" a="1"/>
  <c r="K379" i="8" s="1"/>
  <c r="J379" i="8" a="1"/>
  <c r="J379" i="8" s="1"/>
  <c r="D379" i="8" a="1"/>
  <c r="D379" i="8" s="1"/>
  <c r="AN379" i="8" s="1"/>
  <c r="B379" i="8" a="1"/>
  <c r="B379" i="8" s="1"/>
  <c r="M379" i="8" s="1" a="1"/>
  <c r="M379" i="8" s="1"/>
  <c r="AI378" i="8"/>
  <c r="AE378" i="8"/>
  <c r="O378" i="8" a="1"/>
  <c r="O378" i="8" s="1"/>
  <c r="L378" i="8" a="1"/>
  <c r="L378" i="8" s="1"/>
  <c r="K378" i="8" a="1"/>
  <c r="K378" i="8" s="1"/>
  <c r="J378" i="8" a="1"/>
  <c r="J378" i="8" s="1"/>
  <c r="D378" i="8" a="1"/>
  <c r="D378" i="8" s="1"/>
  <c r="B378" i="8" a="1"/>
  <c r="B378" i="8" s="1"/>
  <c r="M378" i="8" s="1" a="1"/>
  <c r="M378" i="8" s="1"/>
  <c r="AI377" i="8"/>
  <c r="O377" i="8" a="1"/>
  <c r="O377" i="8" s="1"/>
  <c r="L377" i="8" a="1"/>
  <c r="L377" i="8" s="1"/>
  <c r="K377" i="8" a="1"/>
  <c r="K377" i="8" s="1"/>
  <c r="J377" i="8" a="1"/>
  <c r="J377" i="8" s="1"/>
  <c r="D377" i="8" a="1"/>
  <c r="D377" i="8" s="1"/>
  <c r="AN377" i="8" s="1"/>
  <c r="B377" i="8" a="1"/>
  <c r="B377" i="8" s="1"/>
  <c r="M377" i="8" s="1" a="1"/>
  <c r="M377" i="8" s="1"/>
  <c r="AI376" i="8"/>
  <c r="AE376" i="8"/>
  <c r="O376" i="8" a="1"/>
  <c r="O376" i="8" s="1"/>
  <c r="L376" i="8" a="1"/>
  <c r="L376" i="8" s="1"/>
  <c r="K376" i="8" a="1"/>
  <c r="K376" i="8" s="1"/>
  <c r="J376" i="8" a="1"/>
  <c r="J376" i="8" s="1"/>
  <c r="D376" i="8" a="1"/>
  <c r="D376" i="8" s="1"/>
  <c r="B376" i="8" a="1"/>
  <c r="B376" i="8" s="1"/>
  <c r="M376" i="8" s="1" a="1"/>
  <c r="M376" i="8" s="1"/>
  <c r="AI375" i="8"/>
  <c r="AE375" i="8"/>
  <c r="O375" i="8" a="1"/>
  <c r="O375" i="8" s="1"/>
  <c r="L375" i="8" a="1"/>
  <c r="L375" i="8" s="1"/>
  <c r="K375" i="8" a="1"/>
  <c r="K375" i="8" s="1"/>
  <c r="J375" i="8" a="1"/>
  <c r="J375" i="8" s="1"/>
  <c r="D375" i="8" a="1"/>
  <c r="D375" i="8" s="1"/>
  <c r="AN375" i="8" s="1"/>
  <c r="B375" i="8" a="1"/>
  <c r="B375" i="8" s="1"/>
  <c r="M375" i="8" s="1" a="1"/>
  <c r="M375" i="8" s="1"/>
  <c r="AI374" i="8"/>
  <c r="AE374" i="8"/>
  <c r="O374" i="8" a="1"/>
  <c r="O374" i="8" s="1"/>
  <c r="L374" i="8" a="1"/>
  <c r="L374" i="8" s="1"/>
  <c r="K374" i="8" a="1"/>
  <c r="K374" i="8" s="1"/>
  <c r="J374" i="8" a="1"/>
  <c r="J374" i="8" s="1"/>
  <c r="D374" i="8" a="1"/>
  <c r="D374" i="8" s="1"/>
  <c r="B374" i="8" a="1"/>
  <c r="B374" i="8" s="1"/>
  <c r="M374" i="8" s="1" a="1"/>
  <c r="M374" i="8" s="1"/>
  <c r="AG373" i="8"/>
  <c r="O373" i="8" a="1"/>
  <c r="O373" i="8" s="1"/>
  <c r="L373" i="8" a="1"/>
  <c r="L373" i="8" s="1"/>
  <c r="K373" i="8" a="1"/>
  <c r="K373" i="8" s="1"/>
  <c r="J373" i="8" a="1"/>
  <c r="J373" i="8" s="1"/>
  <c r="D373" i="8" a="1"/>
  <c r="D373" i="8" s="1"/>
  <c r="AJ373" i="8" s="1"/>
  <c r="B373" i="8" a="1"/>
  <c r="B373" i="8" s="1"/>
  <c r="M373" i="8" s="1" a="1"/>
  <c r="M373" i="8" s="1"/>
  <c r="E47" i="5" a="1"/>
  <c r="E47" i="5" s="1"/>
  <c r="T47" i="5" s="1"/>
  <c r="F47" i="5" a="1"/>
  <c r="F47" i="5" s="1"/>
  <c r="G47" i="5" a="1"/>
  <c r="G47" i="5" s="1"/>
  <c r="M47" i="5"/>
  <c r="Q47" i="5"/>
  <c r="S47" i="5"/>
  <c r="Y47" i="5"/>
  <c r="AM41" i="8"/>
  <c r="J41" i="8" a="1"/>
  <c r="J41" i="8" s="1"/>
  <c r="B41" i="8" a="1"/>
  <c r="B41" i="8" s="1"/>
  <c r="B384" i="8" a="1"/>
  <c r="B384" i="8" s="1"/>
  <c r="M384" i="8" s="1" a="1"/>
  <c r="M384" i="8" s="1"/>
  <c r="D384" i="8" a="1"/>
  <c r="D384" i="8" s="1"/>
  <c r="AJ384" i="8" s="1"/>
  <c r="J384" i="8" a="1"/>
  <c r="J384" i="8" s="1"/>
  <c r="K384" i="8" a="1"/>
  <c r="K384" i="8" s="1"/>
  <c r="L384" i="8" a="1"/>
  <c r="L384" i="8" s="1"/>
  <c r="O384" i="8" a="1"/>
  <c r="O384" i="8" s="1"/>
  <c r="AG384" i="8"/>
  <c r="E67" i="5" a="1"/>
  <c r="E67" i="5" s="1"/>
  <c r="T67" i="5" s="1"/>
  <c r="F67" i="5" a="1"/>
  <c r="F67" i="5" s="1"/>
  <c r="G67" i="5" a="1"/>
  <c r="G67" i="5" s="1"/>
  <c r="AI67" i="5" s="1"/>
  <c r="M67" i="5"/>
  <c r="Q67" i="5"/>
  <c r="S67" i="5"/>
  <c r="Y67" i="5"/>
  <c r="AM24" i="8"/>
  <c r="J24" i="8" a="1"/>
  <c r="J24" i="8" s="1"/>
  <c r="B24" i="8" a="1"/>
  <c r="B24" i="8" s="1"/>
  <c r="E20" i="5" a="1"/>
  <c r="E20" i="5" s="1"/>
  <c r="T20" i="5" s="1"/>
  <c r="F20" i="5" a="1"/>
  <c r="F20" i="5" s="1"/>
  <c r="G20" i="5" a="1"/>
  <c r="G20" i="5" s="1"/>
  <c r="M20" i="5"/>
  <c r="Q20" i="5"/>
  <c r="S20" i="5"/>
  <c r="Y20" i="5"/>
  <c r="AM100" i="8"/>
  <c r="J100" i="8" a="1"/>
  <c r="J100" i="8" s="1"/>
  <c r="B100" i="8" a="1"/>
  <c r="B100" i="8" s="1"/>
  <c r="AB306" i="5" l="1"/>
  <c r="Y306" i="5"/>
  <c r="AB305" i="5"/>
  <c r="Y305" i="5"/>
  <c r="AB304" i="5"/>
  <c r="Y304" i="5"/>
  <c r="AB302" i="5"/>
  <c r="Y302" i="5"/>
  <c r="AB300" i="5"/>
  <c r="Y300" i="5"/>
  <c r="AB293" i="5"/>
  <c r="Y293" i="5"/>
  <c r="AB291" i="5"/>
  <c r="Y291" i="5"/>
  <c r="AB290" i="5"/>
  <c r="Y290" i="5"/>
  <c r="AL281" i="5"/>
  <c r="AU89" i="8"/>
  <c r="AK89" i="8"/>
  <c r="AB278" i="5"/>
  <c r="Y278" i="5"/>
  <c r="AL278" i="5" s="1"/>
  <c r="AB277" i="5"/>
  <c r="Y277" i="5"/>
  <c r="AL277" i="5" s="1"/>
  <c r="AB276" i="5"/>
  <c r="Y276" i="5"/>
  <c r="AL276" i="5" s="1"/>
  <c r="AB274" i="5"/>
  <c r="Y274" i="5"/>
  <c r="AB273" i="5"/>
  <c r="Y273" i="5"/>
  <c r="AL273" i="5" s="1"/>
  <c r="AB266" i="5"/>
  <c r="Y266" i="5"/>
  <c r="AL266" i="5" s="1"/>
  <c r="AB265" i="5"/>
  <c r="Y265" i="5"/>
  <c r="AO24" i="8"/>
  <c r="AT24" i="8" s="1"/>
  <c r="AO100" i="8"/>
  <c r="AT100" i="8" s="1"/>
  <c r="AO41" i="8"/>
  <c r="J6" i="12"/>
  <c r="D11" i="12" s="1"/>
  <c r="V201" i="5"/>
  <c r="AB201" i="5" s="1"/>
  <c r="AI201" i="5"/>
  <c r="N20" i="5"/>
  <c r="AI20" i="5"/>
  <c r="N47" i="5"/>
  <c r="AI47" i="5"/>
  <c r="Q100" i="8"/>
  <c r="R100" i="8"/>
  <c r="M41" i="8"/>
  <c r="N41" i="8"/>
  <c r="M24" i="8"/>
  <c r="Q24" i="8" s="1"/>
  <c r="N24" i="8"/>
  <c r="R24" i="8" s="1"/>
  <c r="AE24" i="8"/>
  <c r="E24" i="8" s="1"/>
  <c r="G100" i="8"/>
  <c r="N67" i="5"/>
  <c r="AG376" i="8"/>
  <c r="AN376" i="8"/>
  <c r="AN378" i="8"/>
  <c r="AG378" i="8"/>
  <c r="AN374" i="8"/>
  <c r="AG374" i="8"/>
  <c r="AN373" i="8"/>
  <c r="AI373" i="8"/>
  <c r="AE373" i="8"/>
  <c r="U47" i="5"/>
  <c r="AD47" i="5" s="1"/>
  <c r="V47" i="5"/>
  <c r="AN41" i="8"/>
  <c r="AK41" i="8"/>
  <c r="G41" i="8" s="1"/>
  <c r="AJ41" i="8"/>
  <c r="F41" i="8" s="1"/>
  <c r="AI41" i="8"/>
  <c r="AE41" i="8"/>
  <c r="E41" i="8" s="1"/>
  <c r="AE384" i="8"/>
  <c r="AI384" i="8"/>
  <c r="AN384" i="8"/>
  <c r="U67" i="5"/>
  <c r="AD67" i="5" s="1"/>
  <c r="AN24" i="8"/>
  <c r="G24" i="8"/>
  <c r="F24" i="8"/>
  <c r="AI24" i="8"/>
  <c r="U20" i="5"/>
  <c r="AD20" i="5" s="1"/>
  <c r="V20" i="5"/>
  <c r="AN100" i="8"/>
  <c r="F100" i="8"/>
  <c r="AI100" i="8"/>
  <c r="AE100" i="8"/>
  <c r="E100" i="8" s="1"/>
  <c r="A22" i="11" l="1"/>
  <c r="AL265" i="5"/>
  <c r="AL274" i="5"/>
  <c r="AB20" i="5"/>
  <c r="AB47" i="5"/>
  <c r="Q41" i="8"/>
  <c r="R41" i="8"/>
  <c r="AT41" i="8"/>
  <c r="M202" i="5"/>
  <c r="E12" i="11"/>
  <c r="J17" i="8" a="1"/>
  <c r="J17" i="8" s="1"/>
  <c r="AG17" i="8"/>
  <c r="H17" i="8" s="1"/>
  <c r="B17" i="8" a="1"/>
  <c r="B17" i="8" s="1"/>
  <c r="E14" i="11"/>
  <c r="E10" i="11"/>
  <c r="E8" i="11"/>
  <c r="AM37" i="8"/>
  <c r="J37" i="8" a="1"/>
  <c r="J37" i="8" s="1"/>
  <c r="B37" i="8" a="1"/>
  <c r="B37" i="8" s="1"/>
  <c r="AF176" i="8"/>
  <c r="E158" i="5" a="1"/>
  <c r="E158" i="5" s="1"/>
  <c r="T158" i="5" s="1"/>
  <c r="F158" i="5" a="1"/>
  <c r="F158" i="5" s="1"/>
  <c r="G158" i="5" a="1"/>
  <c r="G158" i="5" s="1"/>
  <c r="AI158" i="5" s="1"/>
  <c r="M158" i="5"/>
  <c r="Q158" i="5"/>
  <c r="S158" i="5"/>
  <c r="Y158" i="5"/>
  <c r="AM80" i="8"/>
  <c r="J80" i="8" a="1"/>
  <c r="J80" i="8" s="1"/>
  <c r="B80" i="8" a="1"/>
  <c r="B80" i="8" s="1"/>
  <c r="J457" i="5"/>
  <c r="J538" i="5" s="1"/>
  <c r="E71" i="5" a="1"/>
  <c r="E71" i="5" s="1"/>
  <c r="T71" i="5" s="1"/>
  <c r="F71" i="5" a="1"/>
  <c r="F71" i="5" s="1"/>
  <c r="G71" i="5" a="1"/>
  <c r="G71" i="5" s="1"/>
  <c r="M71" i="5"/>
  <c r="Q71" i="5"/>
  <c r="S71" i="5"/>
  <c r="Y71" i="5"/>
  <c r="AD194" i="8"/>
  <c r="AD209" i="8"/>
  <c r="AD50" i="8"/>
  <c r="AD198" i="8"/>
  <c r="AD203" i="8"/>
  <c r="AD201" i="8"/>
  <c r="AD67" i="8"/>
  <c r="J34" i="8" a="1"/>
  <c r="J34" i="8" s="1"/>
  <c r="J55" i="8" a="1"/>
  <c r="J55" i="8" s="1"/>
  <c r="J12" i="8" a="1"/>
  <c r="J12" i="8" s="1"/>
  <c r="J28" i="8" a="1"/>
  <c r="J28" i="8" s="1"/>
  <c r="J128" i="8" a="1"/>
  <c r="J128" i="8" s="1"/>
  <c r="J27" i="8" a="1"/>
  <c r="J27" i="8" s="1"/>
  <c r="J167" i="8" a="1"/>
  <c r="J167" i="8" s="1"/>
  <c r="J170" i="8" a="1"/>
  <c r="J170" i="8" s="1"/>
  <c r="J163" i="8" a="1"/>
  <c r="J163" i="8" s="1"/>
  <c r="J154" i="8" a="1"/>
  <c r="J154" i="8" s="1"/>
  <c r="J32" i="8" a="1"/>
  <c r="J32" i="8" s="1"/>
  <c r="J166" i="8" a="1"/>
  <c r="J166" i="8" s="1"/>
  <c r="J155" i="8" a="1"/>
  <c r="J155" i="8" s="1"/>
  <c r="J62" i="8" a="1"/>
  <c r="J62" i="8" s="1"/>
  <c r="J162" i="8" a="1"/>
  <c r="J162" i="8" s="1"/>
  <c r="J168" i="8" a="1"/>
  <c r="J168" i="8" s="1"/>
  <c r="J197" i="8" a="1"/>
  <c r="J197" i="8" s="1"/>
  <c r="J145" i="8" a="1"/>
  <c r="J145" i="8" s="1"/>
  <c r="J59" i="8" a="1"/>
  <c r="J59" i="8" s="1"/>
  <c r="J194" i="8" a="1"/>
  <c r="J194" i="8" s="1"/>
  <c r="J89" i="8" a="1"/>
  <c r="J89" i="8" s="1"/>
  <c r="J189" i="8" a="1"/>
  <c r="J189" i="8" s="1"/>
  <c r="J209" i="8" a="1"/>
  <c r="J209" i="8" s="1"/>
  <c r="J50" i="8" a="1"/>
  <c r="J50" i="8" s="1"/>
  <c r="J176" i="8" a="1"/>
  <c r="J176" i="8" s="1"/>
  <c r="J147" i="8" a="1"/>
  <c r="J147" i="8" s="1"/>
  <c r="J18" i="8" a="1"/>
  <c r="J18" i="8" s="1"/>
  <c r="J130" i="8" a="1"/>
  <c r="J130" i="8" s="1"/>
  <c r="J210" i="8" a="1"/>
  <c r="J210" i="8" s="1"/>
  <c r="J201" i="8" a="1"/>
  <c r="J201" i="8" s="1"/>
  <c r="J67" i="8" a="1"/>
  <c r="J67" i="8" s="1"/>
  <c r="J165" i="8" a="1"/>
  <c r="J165" i="8" s="1"/>
  <c r="J19" i="8" a="1"/>
  <c r="J19" i="8" s="1"/>
  <c r="J150" i="8" a="1"/>
  <c r="J150" i="8" s="1"/>
  <c r="J158" i="8" a="1"/>
  <c r="J158" i="8" s="1"/>
  <c r="J198" i="8" a="1"/>
  <c r="J198" i="8" s="1"/>
  <c r="J148" i="8" a="1"/>
  <c r="J148" i="8" s="1"/>
  <c r="J71" i="8" a="1"/>
  <c r="J71" i="8" s="1"/>
  <c r="J48" i="8" a="1"/>
  <c r="J48" i="8" s="1"/>
  <c r="J129" i="8" a="1"/>
  <c r="J129" i="8" s="1"/>
  <c r="J203" i="8" a="1"/>
  <c r="J203" i="8" s="1"/>
  <c r="J181" i="8" a="1"/>
  <c r="J181" i="8" s="1"/>
  <c r="J188" i="8" a="1"/>
  <c r="J188" i="8" s="1"/>
  <c r="J164" i="8" a="1"/>
  <c r="J164" i="8" s="1"/>
  <c r="J103" i="8" a="1"/>
  <c r="J103" i="8" s="1"/>
  <c r="J134" i="8" a="1"/>
  <c r="J134" i="8" s="1"/>
  <c r="J207" i="8" a="1"/>
  <c r="J207" i="8" s="1"/>
  <c r="J208" i="8" a="1"/>
  <c r="J208" i="8" s="1"/>
  <c r="AI370" i="8"/>
  <c r="H191" i="4"/>
  <c r="J216" i="4"/>
  <c r="AB355" i="5"/>
  <c r="B57" i="8" a="1"/>
  <c r="B57" i="8" s="1"/>
  <c r="J57" i="8" a="1"/>
  <c r="J57" i="8" s="1"/>
  <c r="AM57" i="8"/>
  <c r="AO17" i="8" l="1"/>
  <c r="AT17" i="8" s="1"/>
  <c r="AO37" i="8"/>
  <c r="AT37" i="8" s="1"/>
  <c r="AO80" i="8"/>
  <c r="AT80" i="8" s="1"/>
  <c r="AO57" i="8"/>
  <c r="AT57" i="8" s="1"/>
  <c r="J552" i="5"/>
  <c r="L562" i="5" s="1"/>
  <c r="N71" i="5"/>
  <c r="AI71" i="5"/>
  <c r="Q57" i="8"/>
  <c r="R57" i="8"/>
  <c r="Q80" i="8"/>
  <c r="R80" i="8"/>
  <c r="Q37" i="8"/>
  <c r="R37" i="8"/>
  <c r="M167" i="8"/>
  <c r="N167" i="8"/>
  <c r="M32" i="8"/>
  <c r="N32" i="8"/>
  <c r="M147" i="8"/>
  <c r="N147" i="8"/>
  <c r="M165" i="8"/>
  <c r="N165" i="8"/>
  <c r="M17" i="8"/>
  <c r="N17" i="8"/>
  <c r="M89" i="8"/>
  <c r="N89" i="8"/>
  <c r="M188" i="8"/>
  <c r="N188" i="8"/>
  <c r="M170" i="8"/>
  <c r="N170" i="8"/>
  <c r="M176" i="8"/>
  <c r="N176" i="8"/>
  <c r="M181" i="8"/>
  <c r="N181" i="8"/>
  <c r="M155" i="8"/>
  <c r="N155" i="8"/>
  <c r="M50" i="8"/>
  <c r="N50" i="8"/>
  <c r="M158" i="8"/>
  <c r="N158" i="8"/>
  <c r="M208" i="8"/>
  <c r="N208" i="8"/>
  <c r="M209" i="8"/>
  <c r="N209" i="8"/>
  <c r="M157" i="8"/>
  <c r="N157" i="8"/>
  <c r="M134" i="8"/>
  <c r="N134" i="8"/>
  <c r="M166" i="8"/>
  <c r="N166" i="8"/>
  <c r="M150" i="8"/>
  <c r="N150" i="8"/>
  <c r="M189" i="8"/>
  <c r="N189" i="8"/>
  <c r="M19" i="8"/>
  <c r="N19" i="8"/>
  <c r="M103" i="8"/>
  <c r="N103" i="8"/>
  <c r="M154" i="8"/>
  <c r="N154" i="8"/>
  <c r="AI57" i="8"/>
  <c r="AN17" i="8"/>
  <c r="J458" i="5"/>
  <c r="N158" i="5"/>
  <c r="V71" i="5"/>
  <c r="E17" i="8"/>
  <c r="AI17" i="8"/>
  <c r="AJ17" i="8"/>
  <c r="F17" i="8" s="1"/>
  <c r="AK17" i="8"/>
  <c r="G17" i="8" s="1"/>
  <c r="K9" i="6"/>
  <c r="K8" i="6"/>
  <c r="AN37" i="8"/>
  <c r="AH176" i="8"/>
  <c r="AC176" i="8"/>
  <c r="AD176" i="8" s="1"/>
  <c r="Z176" i="8"/>
  <c r="AJ176" i="8" s="1"/>
  <c r="AE57" i="8"/>
  <c r="E57" i="8" s="1"/>
  <c r="AK57" i="8"/>
  <c r="G57" i="8" s="1"/>
  <c r="AJ57" i="8"/>
  <c r="F57" i="8" s="1"/>
  <c r="U158" i="5"/>
  <c r="AD158" i="5" s="1"/>
  <c r="AN80" i="8"/>
  <c r="AK80" i="8"/>
  <c r="G80" i="8" s="1"/>
  <c r="AJ80" i="8"/>
  <c r="F80" i="8" s="1"/>
  <c r="AI80" i="8"/>
  <c r="AE80" i="8"/>
  <c r="E80" i="8" s="1"/>
  <c r="U71" i="5"/>
  <c r="AD71" i="5" s="1"/>
  <c r="AN57" i="8"/>
  <c r="I176" i="8" l="1"/>
  <c r="AB71" i="5"/>
  <c r="AG176" i="8"/>
  <c r="H176" i="8" s="1"/>
  <c r="AA176" i="8"/>
  <c r="R17" i="8"/>
  <c r="Q17" i="8"/>
  <c r="M229" i="4"/>
  <c r="E51" i="5" a="1"/>
  <c r="E51" i="5" s="1"/>
  <c r="T51" i="5" s="1"/>
  <c r="F51" i="5" a="1"/>
  <c r="F51" i="5" s="1"/>
  <c r="G51" i="5" a="1"/>
  <c r="G51" i="5" s="1"/>
  <c r="AI51" i="5" s="1"/>
  <c r="M51" i="5"/>
  <c r="Q51" i="5"/>
  <c r="S51" i="5"/>
  <c r="Y51" i="5"/>
  <c r="AM62" i="8"/>
  <c r="B62" i="8" a="1"/>
  <c r="B62" i="8" s="1"/>
  <c r="G238" i="5" a="1"/>
  <c r="G238" i="5" s="1"/>
  <c r="AI238" i="5" s="1"/>
  <c r="E238" i="5" a="1"/>
  <c r="E238" i="5" s="1"/>
  <c r="T238" i="5" s="1"/>
  <c r="M238" i="5"/>
  <c r="Q238" i="5"/>
  <c r="S238" i="5"/>
  <c r="Y238" i="5"/>
  <c r="AM197" i="8"/>
  <c r="B197" i="8" a="1"/>
  <c r="B197" i="8" s="1"/>
  <c r="J157" i="8" a="1"/>
  <c r="J157" i="8" s="1"/>
  <c r="AI369" i="8"/>
  <c r="AE369" i="8"/>
  <c r="O369" i="8" a="1"/>
  <c r="O369" i="8" s="1"/>
  <c r="L369" i="8" a="1"/>
  <c r="L369" i="8" s="1"/>
  <c r="K369" i="8" a="1"/>
  <c r="K369" i="8" s="1"/>
  <c r="J369" i="8" a="1"/>
  <c r="J369" i="8" s="1"/>
  <c r="D369" i="8" a="1"/>
  <c r="D369" i="8" s="1"/>
  <c r="AN369" i="8" s="1"/>
  <c r="B369" i="8" a="1"/>
  <c r="B369" i="8" s="1"/>
  <c r="M369" i="8" s="1" a="1"/>
  <c r="M369" i="8" s="1"/>
  <c r="E143" i="5" a="1"/>
  <c r="E143" i="5" s="1"/>
  <c r="T143" i="5" s="1"/>
  <c r="F143" i="5" a="1"/>
  <c r="F143" i="5" s="1"/>
  <c r="G143" i="5" a="1"/>
  <c r="G143" i="5" s="1"/>
  <c r="AI143" i="5" s="1"/>
  <c r="M143" i="5"/>
  <c r="Q143" i="5"/>
  <c r="S143" i="5"/>
  <c r="W143" i="5"/>
  <c r="Y143" i="5"/>
  <c r="AM145" i="8"/>
  <c r="B145" i="8" a="1"/>
  <c r="B145" i="8" s="1"/>
  <c r="J8" i="6"/>
  <c r="J455" i="5"/>
  <c r="B371" i="8" a="1"/>
  <c r="B371" i="8" s="1"/>
  <c r="M371" i="8" s="1" a="1"/>
  <c r="M371" i="8" s="1"/>
  <c r="D371" i="8" a="1"/>
  <c r="D371" i="8" s="1"/>
  <c r="J371" i="8" a="1"/>
  <c r="J371" i="8" s="1"/>
  <c r="K371" i="8" a="1"/>
  <c r="K371" i="8" s="1"/>
  <c r="L371" i="8" a="1"/>
  <c r="L371" i="8" s="1"/>
  <c r="O371" i="8" a="1"/>
  <c r="O371" i="8" s="1"/>
  <c r="AE371" i="8"/>
  <c r="AI371" i="8"/>
  <c r="I191" i="4"/>
  <c r="J191" i="4"/>
  <c r="Q173" i="5"/>
  <c r="AB346" i="5"/>
  <c r="J452" i="5"/>
  <c r="B365" i="8" a="1"/>
  <c r="B365" i="8" s="1"/>
  <c r="M365" i="8" s="1" a="1"/>
  <c r="M365" i="8" s="1"/>
  <c r="D365" i="8" a="1"/>
  <c r="D365" i="8" s="1"/>
  <c r="AN365" i="8" s="1"/>
  <c r="J365" i="8" a="1"/>
  <c r="J365" i="8" s="1"/>
  <c r="K365" i="8" a="1"/>
  <c r="K365" i="8" s="1"/>
  <c r="L365" i="8" a="1"/>
  <c r="L365" i="8" s="1"/>
  <c r="O365" i="8" a="1"/>
  <c r="O365" i="8" s="1"/>
  <c r="AE365" i="8"/>
  <c r="AI365" i="8"/>
  <c r="AN343" i="8"/>
  <c r="AI362" i="8"/>
  <c r="AE362" i="8"/>
  <c r="O362" i="8" a="1"/>
  <c r="O362" i="8" s="1"/>
  <c r="L362" i="8" a="1"/>
  <c r="L362" i="8" s="1"/>
  <c r="K362" i="8" a="1"/>
  <c r="K362" i="8" s="1"/>
  <c r="J362" i="8" a="1"/>
  <c r="J362" i="8" s="1"/>
  <c r="D362" i="8" a="1"/>
  <c r="D362" i="8" s="1"/>
  <c r="AN362" i="8" s="1"/>
  <c r="B362" i="8" a="1"/>
  <c r="B362" i="8" s="1"/>
  <c r="M362" i="8" s="1" a="1"/>
  <c r="M362" i="8" s="1"/>
  <c r="AI361" i="8"/>
  <c r="AE361" i="8"/>
  <c r="O361" i="8" a="1"/>
  <c r="O361" i="8" s="1"/>
  <c r="L361" i="8" a="1"/>
  <c r="L361" i="8" s="1"/>
  <c r="K361" i="8" a="1"/>
  <c r="K361" i="8" s="1"/>
  <c r="J361" i="8" a="1"/>
  <c r="J361" i="8" s="1"/>
  <c r="D361" i="8" a="1"/>
  <c r="D361" i="8" s="1"/>
  <c r="AG361" i="8" s="1"/>
  <c r="B361" i="8" a="1"/>
  <c r="B361" i="8" s="1"/>
  <c r="M361" i="8" s="1" a="1"/>
  <c r="M361" i="8" s="1"/>
  <c r="AM168" i="8"/>
  <c r="B168" i="8" a="1"/>
  <c r="B168" i="8" s="1"/>
  <c r="B367" i="8" a="1"/>
  <c r="B367" i="8" s="1"/>
  <c r="M367" i="8" s="1" a="1"/>
  <c r="M367" i="8" s="1"/>
  <c r="D367" i="8" a="1"/>
  <c r="D367" i="8" s="1"/>
  <c r="AG367" i="8" s="1"/>
  <c r="J367" i="8" a="1"/>
  <c r="J367" i="8" s="1"/>
  <c r="K367" i="8" a="1"/>
  <c r="K367" i="8" s="1"/>
  <c r="L367" i="8" a="1"/>
  <c r="L367" i="8" s="1"/>
  <c r="O367" i="8" a="1"/>
  <c r="O367" i="8" s="1"/>
  <c r="AE367" i="8"/>
  <c r="AI367" i="8"/>
  <c r="B363" i="8" a="1"/>
  <c r="B363" i="8" s="1"/>
  <c r="M363" i="8" s="1" a="1"/>
  <c r="M363" i="8" s="1"/>
  <c r="D363" i="8" a="1"/>
  <c r="D363" i="8" s="1"/>
  <c r="AG363" i="8" s="1"/>
  <c r="J363" i="8" a="1"/>
  <c r="J363" i="8" s="1"/>
  <c r="K363" i="8" a="1"/>
  <c r="K363" i="8" s="1"/>
  <c r="L363" i="8" a="1"/>
  <c r="L363" i="8" s="1"/>
  <c r="O363" i="8" a="1"/>
  <c r="O363" i="8" s="1"/>
  <c r="AE363" i="8"/>
  <c r="AI363" i="8"/>
  <c r="B372" i="8" a="1"/>
  <c r="B372" i="8" s="1"/>
  <c r="M372" i="8" s="1" a="1"/>
  <c r="M372" i="8" s="1"/>
  <c r="D372" i="8" a="1"/>
  <c r="D372" i="8" s="1"/>
  <c r="J372" i="8" a="1"/>
  <c r="J372" i="8" s="1"/>
  <c r="K372" i="8" a="1"/>
  <c r="K372" i="8" s="1"/>
  <c r="L372" i="8" a="1"/>
  <c r="L372" i="8" s="1"/>
  <c r="O372" i="8" a="1"/>
  <c r="O372" i="8" s="1"/>
  <c r="AE372" i="8"/>
  <c r="AI372" i="8"/>
  <c r="L366" i="8" a="1"/>
  <c r="L366" i="8" s="1"/>
  <c r="O366" i="8" a="1"/>
  <c r="O366" i="8" s="1"/>
  <c r="L368" i="8" a="1"/>
  <c r="L368" i="8" s="1"/>
  <c r="O368" i="8" a="1"/>
  <c r="O368" i="8" s="1"/>
  <c r="L364" i="8" a="1"/>
  <c r="L364" i="8" s="1"/>
  <c r="O364" i="8" a="1"/>
  <c r="O364" i="8" s="1"/>
  <c r="L370" i="8" a="1"/>
  <c r="L370" i="8" s="1"/>
  <c r="O370" i="8" a="1"/>
  <c r="O370" i="8" s="1"/>
  <c r="O198" i="8" a="1"/>
  <c r="O198" i="8" s="1"/>
  <c r="AU176" i="8" l="1"/>
  <c r="AK176" i="8"/>
  <c r="AO168" i="8"/>
  <c r="AT168" i="8" s="1"/>
  <c r="AO197" i="8"/>
  <c r="AT197" i="8" s="1"/>
  <c r="AO145" i="8"/>
  <c r="AT145" i="8" s="1"/>
  <c r="AO62" i="8"/>
  <c r="AT62" i="8" s="1"/>
  <c r="Q62" i="8"/>
  <c r="R62" i="8"/>
  <c r="M203" i="8"/>
  <c r="N203" i="8"/>
  <c r="M198" i="8"/>
  <c r="N198" i="8"/>
  <c r="M168" i="8"/>
  <c r="N168" i="8"/>
  <c r="M197" i="8"/>
  <c r="N197" i="8"/>
  <c r="M148" i="8"/>
  <c r="N148" i="8"/>
  <c r="M129" i="8"/>
  <c r="N129" i="8"/>
  <c r="M210" i="8"/>
  <c r="N210" i="8"/>
  <c r="M67" i="8"/>
  <c r="N67" i="8"/>
  <c r="M201" i="8"/>
  <c r="N201" i="8"/>
  <c r="M145" i="8"/>
  <c r="Q145" i="8" s="1"/>
  <c r="N145" i="8"/>
  <c r="R145" i="8" s="1"/>
  <c r="M130" i="8"/>
  <c r="N130" i="8"/>
  <c r="AN168" i="8"/>
  <c r="AN62" i="8"/>
  <c r="AE145" i="8"/>
  <c r="E145" i="8" s="1"/>
  <c r="N238" i="5"/>
  <c r="N143" i="5"/>
  <c r="N51" i="5"/>
  <c r="AG372" i="8"/>
  <c r="AN372" i="8"/>
  <c r="AG371" i="8"/>
  <c r="AN371" i="8"/>
  <c r="M191" i="4"/>
  <c r="G62" i="8"/>
  <c r="AE62" i="8"/>
  <c r="E62" i="8" s="1"/>
  <c r="AI62" i="8"/>
  <c r="F62" i="8"/>
  <c r="U51" i="5"/>
  <c r="AD51" i="5" s="1"/>
  <c r="U238" i="5"/>
  <c r="AD238" i="5" s="1"/>
  <c r="AN197" i="8"/>
  <c r="G197" i="8"/>
  <c r="F197" i="8"/>
  <c r="AI197" i="8"/>
  <c r="AE197" i="8"/>
  <c r="E197" i="8" s="1"/>
  <c r="AN145" i="8"/>
  <c r="AI145" i="8"/>
  <c r="F145" i="8"/>
  <c r="G145" i="8"/>
  <c r="U143" i="5"/>
  <c r="AD143" i="5" s="1"/>
  <c r="AN367" i="8"/>
  <c r="AN363" i="8"/>
  <c r="AN361" i="8"/>
  <c r="J9" i="6"/>
  <c r="G168" i="8"/>
  <c r="F168" i="8"/>
  <c r="AI168" i="8"/>
  <c r="AE168" i="8"/>
  <c r="E168" i="8" s="1"/>
  <c r="R197" i="8" l="1"/>
  <c r="R168" i="8"/>
  <c r="Q168" i="8"/>
  <c r="R198" i="8"/>
  <c r="Q197" i="8"/>
  <c r="Q198" i="8"/>
  <c r="B89" i="8" a="1"/>
  <c r="B89" i="8" s="1"/>
  <c r="AM89" i="8"/>
  <c r="E16" i="5" a="1"/>
  <c r="E16" i="5" s="1"/>
  <c r="T16" i="5" s="1"/>
  <c r="F16" i="5" a="1"/>
  <c r="F16" i="5" s="1"/>
  <c r="G16" i="5" a="1"/>
  <c r="G16" i="5" s="1"/>
  <c r="AI16" i="5" s="1"/>
  <c r="M16" i="5"/>
  <c r="Q16" i="5"/>
  <c r="S16" i="5"/>
  <c r="Y16" i="5"/>
  <c r="E127" i="5" a="1"/>
  <c r="E127" i="5" s="1"/>
  <c r="T127" i="5" s="1"/>
  <c r="F127" i="5" a="1"/>
  <c r="F127" i="5" s="1"/>
  <c r="G127" i="5" a="1"/>
  <c r="G127" i="5" s="1"/>
  <c r="M127" i="5"/>
  <c r="Q127" i="5"/>
  <c r="S127" i="5"/>
  <c r="Y127" i="5"/>
  <c r="B364" i="8" a="1"/>
  <c r="B364" i="8" s="1"/>
  <c r="M364" i="8" s="1" a="1"/>
  <c r="M364" i="8" s="1"/>
  <c r="D364" i="8" a="1"/>
  <c r="D364" i="8" s="1"/>
  <c r="AN364" i="8" s="1"/>
  <c r="J364" i="8" a="1"/>
  <c r="J364" i="8" s="1"/>
  <c r="K364" i="8" a="1"/>
  <c r="K364" i="8" s="1"/>
  <c r="E64" i="5" a="1"/>
  <c r="E64" i="5" s="1"/>
  <c r="T64" i="5" s="1"/>
  <c r="F64" i="5" a="1"/>
  <c r="F64" i="5" s="1"/>
  <c r="G64" i="5" a="1"/>
  <c r="G64" i="5" s="1"/>
  <c r="AI64" i="5" s="1"/>
  <c r="M64" i="5"/>
  <c r="Q64" i="5"/>
  <c r="S64" i="5"/>
  <c r="Y64" i="5"/>
  <c r="AM208" i="8"/>
  <c r="B208" i="8" a="1"/>
  <c r="B208" i="8" s="1"/>
  <c r="AM128" i="8"/>
  <c r="B128" i="8" a="1"/>
  <c r="B128" i="8" s="1"/>
  <c r="E267" i="5" a="1"/>
  <c r="E267" i="5" s="1"/>
  <c r="F267" i="5" a="1"/>
  <c r="F267" i="5" s="1"/>
  <c r="G267" i="5" a="1"/>
  <c r="G267" i="5" s="1"/>
  <c r="AI267" i="5" s="1"/>
  <c r="L267" i="5"/>
  <c r="M267" i="5" s="1"/>
  <c r="S267" i="5"/>
  <c r="J449" i="5"/>
  <c r="J370" i="8" a="1"/>
  <c r="J370" i="8" s="1"/>
  <c r="K370" i="8" a="1"/>
  <c r="K370" i="8" s="1"/>
  <c r="J366" i="8" a="1"/>
  <c r="J366" i="8" s="1"/>
  <c r="K366" i="8" a="1"/>
  <c r="K366" i="8" s="1"/>
  <c r="K368" i="8" a="1"/>
  <c r="K368" i="8" s="1"/>
  <c r="J368" i="8" a="1"/>
  <c r="J368" i="8" s="1"/>
  <c r="B368" i="8" a="1"/>
  <c r="B368" i="8" s="1"/>
  <c r="M368" i="8" s="1" a="1"/>
  <c r="M368" i="8" s="1"/>
  <c r="D368" i="8" a="1"/>
  <c r="D368" i="8" s="1"/>
  <c r="AJ368" i="8" s="1"/>
  <c r="B366" i="8" a="1"/>
  <c r="B366" i="8" s="1"/>
  <c r="M366" i="8" s="1" a="1"/>
  <c r="M366" i="8" s="1"/>
  <c r="D366" i="8" a="1"/>
  <c r="D366" i="8" s="1"/>
  <c r="AE366" i="8"/>
  <c r="AI366" i="8"/>
  <c r="AH59" i="8"/>
  <c r="B32" i="8" a="1"/>
  <c r="B32" i="8" s="1"/>
  <c r="AM32" i="8"/>
  <c r="D370" i="8" a="1"/>
  <c r="D370" i="8" s="1"/>
  <c r="AN370" i="8" s="1"/>
  <c r="B370" i="8" a="1"/>
  <c r="B370" i="8" s="1"/>
  <c r="M370" i="8" s="1" a="1"/>
  <c r="M370" i="8" s="1"/>
  <c r="B189" i="8" a="1"/>
  <c r="B189" i="8" s="1"/>
  <c r="AM189" i="8"/>
  <c r="AO208" i="8" l="1"/>
  <c r="AT208" i="8" s="1"/>
  <c r="AO189" i="8"/>
  <c r="AT189" i="8" s="1"/>
  <c r="AO128" i="8"/>
  <c r="AT128" i="8" s="1"/>
  <c r="AO89" i="8"/>
  <c r="AT89" i="8" s="1"/>
  <c r="AO32" i="8"/>
  <c r="AT32" i="8" s="1"/>
  <c r="N127" i="5"/>
  <c r="AI127" i="5"/>
  <c r="Q128" i="8"/>
  <c r="R128" i="8"/>
  <c r="Q189" i="8"/>
  <c r="R189" i="8"/>
  <c r="Q32" i="8"/>
  <c r="R32" i="8"/>
  <c r="Q208" i="8"/>
  <c r="R208" i="8"/>
  <c r="Q89" i="8"/>
  <c r="R89" i="8"/>
  <c r="AN189" i="8"/>
  <c r="N64" i="5"/>
  <c r="N16" i="5"/>
  <c r="AN89" i="8"/>
  <c r="AE89" i="8"/>
  <c r="E89" i="8" s="1"/>
  <c r="AI89" i="8"/>
  <c r="N267" i="5"/>
  <c r="V127" i="5"/>
  <c r="G128" i="8"/>
  <c r="AN128" i="8"/>
  <c r="AN32" i="8"/>
  <c r="G208" i="8"/>
  <c r="AE368" i="8"/>
  <c r="AN368" i="8"/>
  <c r="AG366" i="8"/>
  <c r="AN366" i="8"/>
  <c r="G89" i="8"/>
  <c r="F89" i="8"/>
  <c r="U16" i="5"/>
  <c r="AD16" i="5" s="1"/>
  <c r="U127" i="5"/>
  <c r="AD127" i="5" s="1"/>
  <c r="AE364" i="8"/>
  <c r="AI364" i="8"/>
  <c r="U64" i="5"/>
  <c r="AD64" i="5" s="1"/>
  <c r="F208" i="8"/>
  <c r="AI208" i="8"/>
  <c r="AE208" i="8"/>
  <c r="E208" i="8" s="1"/>
  <c r="U267" i="5"/>
  <c r="AD267" i="5" s="1"/>
  <c r="F128" i="8"/>
  <c r="AI128" i="8"/>
  <c r="AE128" i="8"/>
  <c r="E128" i="8" s="1"/>
  <c r="AI368" i="8"/>
  <c r="Z59" i="8"/>
  <c r="AC59" i="8"/>
  <c r="AD59" i="8" s="1"/>
  <c r="AE370" i="8"/>
  <c r="AB334" i="5"/>
  <c r="AH48" i="8"/>
  <c r="J183" i="4"/>
  <c r="AC189" i="8"/>
  <c r="AD189" i="8" s="1"/>
  <c r="R421" i="5"/>
  <c r="I189" i="8" l="1"/>
  <c r="I59" i="8"/>
  <c r="AB127" i="5"/>
  <c r="AG59" i="8"/>
  <c r="H59" i="8" s="1"/>
  <c r="AA59" i="8"/>
  <c r="AU59" i="8" s="1"/>
  <c r="AH32" i="8"/>
  <c r="AH189" i="8"/>
  <c r="Z48" i="8"/>
  <c r="AA48" i="8" s="1"/>
  <c r="AU48" i="8" s="1"/>
  <c r="AC48" i="8"/>
  <c r="AD48" i="8" s="1"/>
  <c r="I48" i="8" l="1"/>
  <c r="AG48" i="8"/>
  <c r="H48" i="8" s="1"/>
  <c r="Z32" i="8"/>
  <c r="AC32" i="8"/>
  <c r="AD32" i="8" s="1"/>
  <c r="I32" i="8" l="1"/>
  <c r="AG32" i="8"/>
  <c r="H32" i="8" s="1"/>
  <c r="AA32" i="8"/>
  <c r="AU32" i="8" s="1"/>
  <c r="AJ32" i="8"/>
  <c r="F32" i="8" s="1"/>
  <c r="AI32" i="8"/>
  <c r="AE32" i="8"/>
  <c r="E32" i="8" s="1"/>
  <c r="E213" i="5" a="1"/>
  <c r="E213" i="5" s="1"/>
  <c r="T213" i="5" s="1"/>
  <c r="G213" i="5" a="1"/>
  <c r="G213" i="5" s="1"/>
  <c r="AI213" i="5" s="1"/>
  <c r="M213" i="5"/>
  <c r="Q213" i="5"/>
  <c r="S213" i="5"/>
  <c r="W213" i="5"/>
  <c r="Y213" i="5"/>
  <c r="AM209" i="8"/>
  <c r="B209" i="8" a="1"/>
  <c r="B209" i="8" s="1"/>
  <c r="D360" i="8" a="1"/>
  <c r="D360" i="8" s="1"/>
  <c r="B360" i="8" a="1"/>
  <c r="B360" i="8" s="1"/>
  <c r="AH55" i="8"/>
  <c r="H9" i="6"/>
  <c r="AH155" i="8"/>
  <c r="AH34" i="8"/>
  <c r="AC34" i="8"/>
  <c r="AD34" i="8" s="1"/>
  <c r="Z34" i="8"/>
  <c r="AG34" i="8" s="1"/>
  <c r="H34" i="8" s="1"/>
  <c r="B34" i="8" a="1"/>
  <c r="B34" i="8" s="1"/>
  <c r="AM34" i="8"/>
  <c r="J446" i="5"/>
  <c r="AH28" i="8"/>
  <c r="B28" i="8" a="1"/>
  <c r="B28" i="8" s="1"/>
  <c r="AM28" i="8"/>
  <c r="AB324" i="5"/>
  <c r="G253" i="5" a="1"/>
  <c r="G253" i="5" s="1"/>
  <c r="E253" i="5" a="1"/>
  <c r="E253" i="5" s="1"/>
  <c r="T253" i="5" s="1"/>
  <c r="M253" i="5"/>
  <c r="Q253" i="5"/>
  <c r="S253" i="5"/>
  <c r="Y253" i="5"/>
  <c r="B210" i="8" a="1"/>
  <c r="B210" i="8" s="1"/>
  <c r="AM210" i="8"/>
  <c r="AC166" i="8"/>
  <c r="AD166" i="8" s="1"/>
  <c r="B166" i="8" a="1"/>
  <c r="B166" i="8" s="1"/>
  <c r="AM166" i="8"/>
  <c r="Z67" i="8"/>
  <c r="AJ67" i="8" s="1"/>
  <c r="AH67" i="8"/>
  <c r="B67" i="8" a="1"/>
  <c r="B67" i="8" s="1"/>
  <c r="AM67" i="8"/>
  <c r="AH103" i="8"/>
  <c r="AC103" i="8"/>
  <c r="Z103" i="8"/>
  <c r="AH158" i="8"/>
  <c r="AF158" i="8"/>
  <c r="AC158" i="8"/>
  <c r="AD158" i="8" s="1"/>
  <c r="Z158" i="8"/>
  <c r="Z157" i="8"/>
  <c r="AJ157" i="8" s="1"/>
  <c r="AH129" i="8"/>
  <c r="AF129" i="8"/>
  <c r="AC129" i="8"/>
  <c r="AD129" i="8" s="1"/>
  <c r="Z129" i="8"/>
  <c r="E289" i="5" a="1"/>
  <c r="E289" i="5" s="1"/>
  <c r="F289" i="5" a="1"/>
  <c r="F289" i="5" s="1"/>
  <c r="G289" i="5" a="1"/>
  <c r="G289" i="5" s="1"/>
  <c r="M289" i="5"/>
  <c r="S289" i="5"/>
  <c r="AO239" i="8" s="1"/>
  <c r="J443" i="5"/>
  <c r="J154" i="4"/>
  <c r="E50" i="5" a="1"/>
  <c r="E50" i="5" s="1"/>
  <c r="T50" i="5" s="1"/>
  <c r="F50" i="5" a="1"/>
  <c r="F50" i="5" s="1"/>
  <c r="G50" i="5" a="1"/>
  <c r="G50" i="5" s="1"/>
  <c r="AI50" i="5" s="1"/>
  <c r="M50" i="5"/>
  <c r="Q50" i="5"/>
  <c r="S50" i="5"/>
  <c r="Y50" i="5"/>
  <c r="E17" i="5" a="1"/>
  <c r="E17" i="5" s="1"/>
  <c r="T17" i="5" s="1"/>
  <c r="F17" i="5" a="1"/>
  <c r="F17" i="5" s="1"/>
  <c r="G17" i="5" a="1"/>
  <c r="G17" i="5" s="1"/>
  <c r="AI17" i="5" s="1"/>
  <c r="M17" i="5"/>
  <c r="Q17" i="5"/>
  <c r="S17" i="5"/>
  <c r="Y17" i="5"/>
  <c r="B19" i="8" a="1"/>
  <c r="B19" i="8" s="1"/>
  <c r="AM19" i="8"/>
  <c r="B176" i="8" a="1"/>
  <c r="B176" i="8" s="1"/>
  <c r="AM176" i="8"/>
  <c r="E197" i="5" a="1"/>
  <c r="E197" i="5" s="1"/>
  <c r="T197" i="5" s="1"/>
  <c r="G197" i="5" a="1"/>
  <c r="G197" i="5" s="1"/>
  <c r="M197" i="5"/>
  <c r="Q197" i="5"/>
  <c r="S197" i="5"/>
  <c r="Y197" i="5"/>
  <c r="B155" i="8" a="1"/>
  <c r="B155" i="8" s="1"/>
  <c r="AM155" i="8"/>
  <c r="E239" i="5" a="1"/>
  <c r="E239" i="5" s="1"/>
  <c r="T239" i="5" s="1"/>
  <c r="G239" i="5" a="1"/>
  <c r="G239" i="5" s="1"/>
  <c r="M239" i="5"/>
  <c r="Q239" i="5"/>
  <c r="S239" i="5"/>
  <c r="Y239" i="5"/>
  <c r="B150" i="8" a="1"/>
  <c r="B150" i="8" s="1"/>
  <c r="B18" i="8" a="1"/>
  <c r="B18" i="8" s="1"/>
  <c r="AM18" i="8"/>
  <c r="I34" i="8" l="1"/>
  <c r="I158" i="8"/>
  <c r="I129" i="8"/>
  <c r="AD103" i="8"/>
  <c r="I103" i="8"/>
  <c r="I166" i="8"/>
  <c r="AS239" i="8"/>
  <c r="AQ239" i="8"/>
  <c r="AA158" i="8"/>
  <c r="AJ158" i="8"/>
  <c r="AA129" i="8"/>
  <c r="AJ129" i="8"/>
  <c r="AO210" i="8"/>
  <c r="AT210" i="8" s="1"/>
  <c r="AO155" i="8"/>
  <c r="AT155" i="8" s="1"/>
  <c r="AO67" i="8"/>
  <c r="AT67" i="8" s="1"/>
  <c r="AO150" i="8"/>
  <c r="AT150" i="8" s="1"/>
  <c r="AO166" i="8"/>
  <c r="AT166" i="8" s="1"/>
  <c r="AO209" i="8"/>
  <c r="AT209" i="8" s="1"/>
  <c r="AO176" i="8"/>
  <c r="AT176" i="8" s="1"/>
  <c r="AO34" i="8"/>
  <c r="AT34" i="8" s="1"/>
  <c r="AO28" i="8"/>
  <c r="AT28" i="8" s="1"/>
  <c r="AO19" i="8"/>
  <c r="AT19" i="8" s="1"/>
  <c r="AG157" i="8"/>
  <c r="H157" i="8" s="1"/>
  <c r="AA157" i="8"/>
  <c r="AG103" i="8"/>
  <c r="H103" i="8" s="1"/>
  <c r="AA103" i="8"/>
  <c r="AU103" i="8" s="1"/>
  <c r="AG67" i="8"/>
  <c r="H67" i="8" s="1"/>
  <c r="AA67" i="8"/>
  <c r="AK32" i="8"/>
  <c r="G32" i="8" s="1"/>
  <c r="AG129" i="8"/>
  <c r="H129" i="8" s="1"/>
  <c r="AG158" i="8"/>
  <c r="H158" i="8" s="1"/>
  <c r="AO18" i="8"/>
  <c r="N289" i="5"/>
  <c r="AI289" i="5"/>
  <c r="N197" i="5"/>
  <c r="AI197" i="5"/>
  <c r="N253" i="5"/>
  <c r="AI253" i="5"/>
  <c r="N239" i="5"/>
  <c r="AI239" i="5"/>
  <c r="AN360" i="8"/>
  <c r="AJ360" i="8"/>
  <c r="Q166" i="8"/>
  <c r="R166" i="8"/>
  <c r="Q150" i="8"/>
  <c r="R150" i="8"/>
  <c r="Q210" i="8"/>
  <c r="R210" i="8"/>
  <c r="Q28" i="8"/>
  <c r="R28" i="8"/>
  <c r="Q34" i="8"/>
  <c r="R34" i="8"/>
  <c r="Q176" i="8"/>
  <c r="R176" i="8"/>
  <c r="Q67" i="8"/>
  <c r="R67" i="8"/>
  <c r="Q18" i="8"/>
  <c r="R18" i="8"/>
  <c r="Q155" i="8"/>
  <c r="R155" i="8"/>
  <c r="Q209" i="8"/>
  <c r="R209" i="8"/>
  <c r="Q19" i="8"/>
  <c r="R19" i="8"/>
  <c r="AE150" i="8"/>
  <c r="E150" i="8" s="1"/>
  <c r="AN67" i="8"/>
  <c r="AC147" i="8"/>
  <c r="AD147" i="8" s="1"/>
  <c r="AN150" i="8"/>
  <c r="AI150" i="8"/>
  <c r="F150" i="8"/>
  <c r="G150" i="8"/>
  <c r="N213" i="5"/>
  <c r="N50" i="5"/>
  <c r="N17" i="5"/>
  <c r="V253" i="5"/>
  <c r="V239" i="5"/>
  <c r="V197" i="5"/>
  <c r="V289" i="5"/>
  <c r="AN210" i="8"/>
  <c r="G209" i="8"/>
  <c r="AN209" i="8"/>
  <c r="AN176" i="8"/>
  <c r="AN166" i="8"/>
  <c r="AK28" i="8"/>
  <c r="G28" i="8" s="1"/>
  <c r="AN28" i="8"/>
  <c r="AN18" i="8"/>
  <c r="AN19" i="8"/>
  <c r="AN155" i="8"/>
  <c r="AK34" i="8"/>
  <c r="G34" i="8" s="1"/>
  <c r="AN34" i="8"/>
  <c r="AG360" i="8"/>
  <c r="U213" i="5"/>
  <c r="AD213" i="5" s="1"/>
  <c r="F209" i="8"/>
  <c r="AI209" i="8"/>
  <c r="AE209" i="8"/>
  <c r="E209" i="8" s="1"/>
  <c r="AI360" i="8"/>
  <c r="AE360" i="8"/>
  <c r="AH167" i="8"/>
  <c r="Z55" i="8"/>
  <c r="AJ55" i="8" s="1"/>
  <c r="AC55" i="8"/>
  <c r="AD55" i="8" s="1"/>
  <c r="Z167" i="8"/>
  <c r="AJ167" i="8" s="1"/>
  <c r="AK18" i="8"/>
  <c r="G18" i="8" s="1"/>
  <c r="AK19" i="8"/>
  <c r="G19" i="8" s="1"/>
  <c r="G176" i="8"/>
  <c r="Z155" i="8"/>
  <c r="AC155" i="8"/>
  <c r="AD155" i="8" s="1"/>
  <c r="AC167" i="8"/>
  <c r="AD167" i="8" s="1"/>
  <c r="AF155" i="8"/>
  <c r="AH165" i="8"/>
  <c r="AC165" i="8"/>
  <c r="AD165" i="8" s="1"/>
  <c r="AE34" i="8"/>
  <c r="E34" i="8" s="1"/>
  <c r="AI34" i="8"/>
  <c r="AJ34" i="8"/>
  <c r="F34" i="8" s="1"/>
  <c r="Z28" i="8"/>
  <c r="AG28" i="8" s="1"/>
  <c r="H28" i="8" s="1"/>
  <c r="AC28" i="8"/>
  <c r="AD28" i="8" s="1"/>
  <c r="AH166" i="8"/>
  <c r="U253" i="5"/>
  <c r="AD253" i="5" s="1"/>
  <c r="AH157" i="8"/>
  <c r="Z166" i="8"/>
  <c r="AJ166" i="8" s="1"/>
  <c r="AC157" i="8"/>
  <c r="AD157" i="8" s="1"/>
  <c r="AE67" i="8"/>
  <c r="E67" i="8" s="1"/>
  <c r="F67" i="8"/>
  <c r="AI67" i="8"/>
  <c r="U289" i="5"/>
  <c r="AD289" i="5" s="1"/>
  <c r="U17" i="5"/>
  <c r="AD17" i="5" s="1"/>
  <c r="U50" i="5"/>
  <c r="AD50" i="5" s="1"/>
  <c r="AJ19" i="8"/>
  <c r="F19" i="8" s="1"/>
  <c r="AI19" i="8"/>
  <c r="AE19" i="8"/>
  <c r="E19" i="8" s="1"/>
  <c r="F176" i="8"/>
  <c r="AI176" i="8"/>
  <c r="AE176" i="8"/>
  <c r="E176" i="8" s="1"/>
  <c r="U197" i="5"/>
  <c r="AD197" i="5" s="1"/>
  <c r="U239" i="5"/>
  <c r="AD239" i="5" s="1"/>
  <c r="AE18" i="8"/>
  <c r="E18" i="8" s="1"/>
  <c r="AI18" i="8"/>
  <c r="AJ18" i="8"/>
  <c r="F18" i="8" s="1"/>
  <c r="B50" i="8" a="1"/>
  <c r="B50" i="8" s="1"/>
  <c r="AM50" i="8"/>
  <c r="B163" i="8" a="1"/>
  <c r="B163" i="8" s="1"/>
  <c r="AM163" i="8"/>
  <c r="B359" i="8" a="1"/>
  <c r="B359" i="8" s="1"/>
  <c r="D359" i="8" a="1"/>
  <c r="D359" i="8" s="1"/>
  <c r="AN359" i="8" s="1"/>
  <c r="AE359" i="8"/>
  <c r="AI359" i="8"/>
  <c r="E66" i="5" a="1"/>
  <c r="E66" i="5" s="1"/>
  <c r="T66" i="5" s="1"/>
  <c r="F66" i="5" a="1"/>
  <c r="F66" i="5" s="1"/>
  <c r="G66" i="5" a="1"/>
  <c r="G66" i="5" s="1"/>
  <c r="M66" i="5"/>
  <c r="Q66" i="5"/>
  <c r="S66" i="5"/>
  <c r="Y66" i="5"/>
  <c r="B59" i="8" a="1"/>
  <c r="B59" i="8" s="1"/>
  <c r="AM59" i="8"/>
  <c r="Y157" i="8"/>
  <c r="B356" i="8" a="1"/>
  <c r="B356" i="8" s="1"/>
  <c r="D356" i="8" a="1"/>
  <c r="D356" i="8" s="1"/>
  <c r="AN356" i="8" s="1"/>
  <c r="AE356" i="8"/>
  <c r="AI356" i="8"/>
  <c r="B148" i="8" a="1"/>
  <c r="B148" i="8" s="1"/>
  <c r="AM148" i="8"/>
  <c r="B55" i="8" a="1"/>
  <c r="B55" i="8" s="1"/>
  <c r="AM55" i="8"/>
  <c r="B164" i="8" a="1"/>
  <c r="B164" i="8" s="1"/>
  <c r="AM164" i="8"/>
  <c r="S174" i="5"/>
  <c r="E174" i="5" a="1"/>
  <c r="E174" i="5" s="1"/>
  <c r="T174" i="5" s="1"/>
  <c r="G174" i="5" a="1"/>
  <c r="G174" i="5" s="1"/>
  <c r="AI174" i="5" s="1"/>
  <c r="M174" i="5"/>
  <c r="Q174" i="5"/>
  <c r="Y174" i="5"/>
  <c r="J440" i="5"/>
  <c r="B355" i="8" a="1"/>
  <c r="B355" i="8" s="1"/>
  <c r="D355" i="8" a="1"/>
  <c r="D355" i="8" s="1"/>
  <c r="AN355" i="8" s="1"/>
  <c r="AE355" i="8"/>
  <c r="AI355" i="8"/>
  <c r="B358" i="8" a="1"/>
  <c r="B358" i="8" s="1"/>
  <c r="D358" i="8" a="1"/>
  <c r="D358" i="8" s="1"/>
  <c r="AN358" i="8" s="1"/>
  <c r="AE358" i="8"/>
  <c r="AI358" i="8"/>
  <c r="B167" i="8" a="1"/>
  <c r="B167" i="8" s="1"/>
  <c r="AM167" i="8"/>
  <c r="B357" i="8" a="1"/>
  <c r="B357" i="8" s="1"/>
  <c r="D357" i="8" a="1"/>
  <c r="D357" i="8" s="1"/>
  <c r="AN357" i="8" s="1"/>
  <c r="AE357" i="8"/>
  <c r="AI357" i="8"/>
  <c r="E150" i="5" a="1"/>
  <c r="E150" i="5" s="1"/>
  <c r="T150" i="5" s="1"/>
  <c r="F150" i="5" a="1"/>
  <c r="F150" i="5" s="1"/>
  <c r="G150" i="5" a="1"/>
  <c r="G150" i="5" s="1"/>
  <c r="M150" i="5"/>
  <c r="Q150" i="5"/>
  <c r="S150" i="5"/>
  <c r="Y150" i="5"/>
  <c r="G9" i="6"/>
  <c r="Z162" i="8"/>
  <c r="AJ162" i="8" s="1"/>
  <c r="AC162" i="8"/>
  <c r="AD162" i="8" s="1"/>
  <c r="AH162" i="8"/>
  <c r="B71" i="8" a="1"/>
  <c r="B71" i="8" s="1"/>
  <c r="AM71" i="8"/>
  <c r="B103" i="8" a="1"/>
  <c r="B103" i="8" s="1"/>
  <c r="AM103" i="8"/>
  <c r="AB308" i="5"/>
  <c r="B134" i="8" a="1"/>
  <c r="B134" i="8" s="1"/>
  <c r="AM134" i="8"/>
  <c r="E137" i="5" a="1"/>
  <c r="E137" i="5" s="1"/>
  <c r="T137" i="5" s="1"/>
  <c r="F137" i="5" a="1"/>
  <c r="F137" i="5" s="1"/>
  <c r="G137" i="5" a="1"/>
  <c r="G137" i="5" s="1"/>
  <c r="AI137" i="5" s="1"/>
  <c r="M137" i="5"/>
  <c r="Q137" i="5"/>
  <c r="S137" i="5"/>
  <c r="Y137" i="5"/>
  <c r="B201" i="8" a="1"/>
  <c r="B201" i="8" s="1"/>
  <c r="AM201" i="8"/>
  <c r="Y255" i="5"/>
  <c r="M8" i="5"/>
  <c r="M9" i="5"/>
  <c r="M10" i="5"/>
  <c r="M11" i="5"/>
  <c r="M12" i="5"/>
  <c r="M13" i="5"/>
  <c r="M21" i="5"/>
  <c r="M22" i="5"/>
  <c r="M23" i="5"/>
  <c r="M27" i="5"/>
  <c r="M38" i="5"/>
  <c r="M39" i="5"/>
  <c r="M46" i="5"/>
  <c r="M53" i="5"/>
  <c r="M56" i="5"/>
  <c r="M65" i="5"/>
  <c r="M69" i="5"/>
  <c r="M86" i="5"/>
  <c r="M89" i="5"/>
  <c r="M301" i="5"/>
  <c r="M93" i="5"/>
  <c r="M94" i="5"/>
  <c r="M95" i="5"/>
  <c r="M96" i="5"/>
  <c r="M97" i="5"/>
  <c r="M98" i="5"/>
  <c r="M99" i="5"/>
  <c r="M100" i="5"/>
  <c r="M101" i="5"/>
  <c r="M102" i="5"/>
  <c r="M103" i="5"/>
  <c r="M107" i="5"/>
  <c r="M108" i="5"/>
  <c r="M109" i="5"/>
  <c r="M114" i="5"/>
  <c r="M118" i="5"/>
  <c r="M125" i="5"/>
  <c r="M126" i="5"/>
  <c r="M130" i="5"/>
  <c r="M131" i="5"/>
  <c r="M132" i="5"/>
  <c r="M133" i="5"/>
  <c r="M134" i="5"/>
  <c r="M151" i="5"/>
  <c r="M157" i="5"/>
  <c r="M159" i="5"/>
  <c r="M163" i="5"/>
  <c r="M173" i="5"/>
  <c r="M176" i="5"/>
  <c r="M180" i="5"/>
  <c r="M188" i="5"/>
  <c r="M189" i="5"/>
  <c r="M190" i="5"/>
  <c r="M191" i="5"/>
  <c r="M195" i="5"/>
  <c r="M203" i="5"/>
  <c r="M206" i="5"/>
  <c r="M208" i="5"/>
  <c r="M211" i="5"/>
  <c r="M215" i="5"/>
  <c r="M217" i="5"/>
  <c r="M220" i="5"/>
  <c r="M221" i="5"/>
  <c r="M222" i="5"/>
  <c r="M223" i="5"/>
  <c r="M224" i="5"/>
  <c r="M231" i="5"/>
  <c r="M232" i="5"/>
  <c r="M233" i="5"/>
  <c r="M234" i="5"/>
  <c r="M236" i="5"/>
  <c r="M241" i="5"/>
  <c r="M244" i="5"/>
  <c r="M245" i="5"/>
  <c r="M246" i="5"/>
  <c r="M255" i="5"/>
  <c r="Y8" i="5"/>
  <c r="Y9" i="5"/>
  <c r="Y10" i="5"/>
  <c r="Y11" i="5"/>
  <c r="Y12" i="5"/>
  <c r="Y13" i="5"/>
  <c r="Y21" i="5"/>
  <c r="Y22" i="5"/>
  <c r="Y23" i="5"/>
  <c r="Y24" i="5"/>
  <c r="Y27" i="5"/>
  <c r="Y38" i="5"/>
  <c r="Y39" i="5"/>
  <c r="Y46" i="5"/>
  <c r="Y53" i="5"/>
  <c r="Y56" i="5"/>
  <c r="Y65" i="5"/>
  <c r="Y69" i="5"/>
  <c r="Y81" i="5"/>
  <c r="Y86" i="5"/>
  <c r="Y89" i="5"/>
  <c r="Y93" i="5"/>
  <c r="Y94" i="5"/>
  <c r="Y95" i="5"/>
  <c r="Y96" i="5"/>
  <c r="Y97" i="5"/>
  <c r="Y98" i="5"/>
  <c r="Y99" i="5"/>
  <c r="Y100" i="5"/>
  <c r="Y101" i="5"/>
  <c r="Y102" i="5"/>
  <c r="Y103" i="5"/>
  <c r="Y107" i="5"/>
  <c r="Y108" i="5"/>
  <c r="Y109" i="5"/>
  <c r="Y114" i="5"/>
  <c r="Y116" i="5"/>
  <c r="Y118" i="5"/>
  <c r="Y119" i="5"/>
  <c r="Y125" i="5"/>
  <c r="Y126" i="5"/>
  <c r="Y130" i="5"/>
  <c r="Y131" i="5"/>
  <c r="Y132" i="5"/>
  <c r="Y133" i="5"/>
  <c r="Y134" i="5"/>
  <c r="Y151" i="5"/>
  <c r="Y157" i="5"/>
  <c r="Y159" i="5"/>
  <c r="Y163" i="5"/>
  <c r="Y173" i="5"/>
  <c r="Y176" i="5"/>
  <c r="Y180" i="5"/>
  <c r="Y182" i="5"/>
  <c r="Y188" i="5"/>
  <c r="Y189" i="5"/>
  <c r="Y190" i="5"/>
  <c r="Y191" i="5"/>
  <c r="Y195" i="5"/>
  <c r="Y196" i="5"/>
  <c r="Y202" i="5"/>
  <c r="Y203" i="5"/>
  <c r="Y206" i="5"/>
  <c r="Y208" i="5"/>
  <c r="Y211" i="5"/>
  <c r="Y215" i="5"/>
  <c r="Y217" i="5"/>
  <c r="Y220" i="5"/>
  <c r="Y221" i="5"/>
  <c r="Y222" i="5"/>
  <c r="Y223" i="5"/>
  <c r="Y224" i="5"/>
  <c r="Y231" i="5"/>
  <c r="Y232" i="5"/>
  <c r="Y233" i="5"/>
  <c r="Y234" i="5"/>
  <c r="Y236" i="5"/>
  <c r="Y241" i="5"/>
  <c r="Y244" i="5"/>
  <c r="Y245" i="5"/>
  <c r="Y246" i="5"/>
  <c r="J437" i="5"/>
  <c r="B350" i="8" a="1"/>
  <c r="B350" i="8" s="1"/>
  <c r="D350" i="8" a="1"/>
  <c r="D350" i="8" s="1"/>
  <c r="AN350" i="8" s="1"/>
  <c r="AE350" i="8"/>
  <c r="AI350" i="8"/>
  <c r="B27" i="8" a="1"/>
  <c r="B27" i="8" s="1"/>
  <c r="AM27" i="8"/>
  <c r="B12" i="8" a="1"/>
  <c r="B12" i="8" s="1"/>
  <c r="AM12" i="8"/>
  <c r="B157" i="8" a="1"/>
  <c r="B157" i="8" s="1"/>
  <c r="AM157" i="8"/>
  <c r="J111" i="4"/>
  <c r="J72" i="4"/>
  <c r="J57" i="4"/>
  <c r="J34" i="4"/>
  <c r="J276" i="4" s="1"/>
  <c r="P34" i="4" s="1"/>
  <c r="I157" i="8" l="1"/>
  <c r="I162" i="8"/>
  <c r="I55" i="8"/>
  <c r="I167" i="8"/>
  <c r="I155" i="8"/>
  <c r="I165" i="8"/>
  <c r="I28" i="8"/>
  <c r="I147" i="8"/>
  <c r="AT239" i="8"/>
  <c r="Y289" i="5"/>
  <c r="AU67" i="8"/>
  <c r="AK67" i="8"/>
  <c r="G67" i="8" s="1"/>
  <c r="AU157" i="8"/>
  <c r="AK157" i="8"/>
  <c r="G157" i="8" s="1"/>
  <c r="AA155" i="8"/>
  <c r="AJ155" i="8"/>
  <c r="F155" i="8" s="1"/>
  <c r="AU129" i="8"/>
  <c r="AK129" i="8"/>
  <c r="AU158" i="8"/>
  <c r="AK158" i="8"/>
  <c r="AO201" i="8"/>
  <c r="AT201" i="8" s="1"/>
  <c r="AO55" i="8"/>
  <c r="AT55" i="8" s="1"/>
  <c r="AO163" i="8"/>
  <c r="AT163" i="8" s="1"/>
  <c r="AO167" i="8"/>
  <c r="AT167" i="8" s="1"/>
  <c r="AO157" i="8"/>
  <c r="AT157" i="8" s="1"/>
  <c r="AO164" i="8"/>
  <c r="AT164" i="8" s="1"/>
  <c r="AO50" i="8"/>
  <c r="AT50" i="8" s="1"/>
  <c r="AO134" i="8"/>
  <c r="AT134" i="8" s="1"/>
  <c r="AO59" i="8"/>
  <c r="AT59" i="8" s="1"/>
  <c r="AO12" i="8"/>
  <c r="AT12" i="8" s="1"/>
  <c r="AO27" i="8"/>
  <c r="AT27" i="8" s="1"/>
  <c r="AO71" i="8"/>
  <c r="AT71" i="8" s="1"/>
  <c r="AO148" i="8"/>
  <c r="AT148" i="8" s="1"/>
  <c r="AB253" i="5"/>
  <c r="AB197" i="5"/>
  <c r="AB239" i="5"/>
  <c r="AB289" i="5"/>
  <c r="AG162" i="8"/>
  <c r="H162" i="8" s="1"/>
  <c r="AA162" i="8"/>
  <c r="AG167" i="8"/>
  <c r="H167" i="8" s="1"/>
  <c r="AA167" i="8"/>
  <c r="AG55" i="8"/>
  <c r="H55" i="8" s="1"/>
  <c r="AA55" i="8"/>
  <c r="AG166" i="8"/>
  <c r="H166" i="8" s="1"/>
  <c r="AA166" i="8"/>
  <c r="AG155" i="8"/>
  <c r="H155" i="8" s="1"/>
  <c r="AT18" i="8"/>
  <c r="N66" i="5"/>
  <c r="AI66" i="5"/>
  <c r="N150" i="5"/>
  <c r="AI150" i="5"/>
  <c r="AE166" i="8"/>
  <c r="E166" i="8" s="1"/>
  <c r="R59" i="8"/>
  <c r="Q59" i="8"/>
  <c r="Q71" i="8"/>
  <c r="R71" i="8"/>
  <c r="Q55" i="8"/>
  <c r="R55" i="8"/>
  <c r="Q167" i="8"/>
  <c r="R167" i="8"/>
  <c r="Q103" i="8"/>
  <c r="R103" i="8"/>
  <c r="Q157" i="8"/>
  <c r="R157" i="8"/>
  <c r="Q134" i="8"/>
  <c r="R134" i="8"/>
  <c r="Q201" i="8"/>
  <c r="R201" i="8"/>
  <c r="Q163" i="8"/>
  <c r="R163" i="8"/>
  <c r="Q12" i="8"/>
  <c r="R12" i="8"/>
  <c r="Q148" i="8"/>
  <c r="R148" i="8"/>
  <c r="Q27" i="8"/>
  <c r="R27" i="8"/>
  <c r="Q164" i="8"/>
  <c r="R164" i="8"/>
  <c r="Q50" i="8"/>
  <c r="R50" i="8"/>
  <c r="AN167" i="8"/>
  <c r="G201" i="8"/>
  <c r="AN27" i="8"/>
  <c r="AF147" i="8"/>
  <c r="Z147" i="8"/>
  <c r="AJ147" i="8" s="1"/>
  <c r="AH147" i="8"/>
  <c r="N137" i="5"/>
  <c r="N174" i="5"/>
  <c r="AH37" i="8"/>
  <c r="AC37" i="8"/>
  <c r="AD37" i="8" s="1"/>
  <c r="Z37" i="8"/>
  <c r="AE28" i="8"/>
  <c r="E28" i="8" s="1"/>
  <c r="V66" i="5"/>
  <c r="V150" i="5"/>
  <c r="AJ28" i="8"/>
  <c r="F28" i="8" s="1"/>
  <c r="AK12" i="8"/>
  <c r="G12" i="8" s="1"/>
  <c r="AN12" i="8"/>
  <c r="AN163" i="8"/>
  <c r="G134" i="8"/>
  <c r="AN134" i="8"/>
  <c r="G50" i="8"/>
  <c r="AN50" i="8"/>
  <c r="G164" i="8"/>
  <c r="AN164" i="8"/>
  <c r="AK148" i="8"/>
  <c r="G148" i="8" s="1"/>
  <c r="AN148" i="8"/>
  <c r="AK103" i="8"/>
  <c r="G103" i="8" s="1"/>
  <c r="AN103" i="8"/>
  <c r="AN157" i="8"/>
  <c r="AK59" i="8"/>
  <c r="G59" i="8" s="1"/>
  <c r="AN59" i="8"/>
  <c r="AN55" i="8"/>
  <c r="AK71" i="8"/>
  <c r="G71" i="8" s="1"/>
  <c r="AN71" i="8"/>
  <c r="AG350" i="8"/>
  <c r="AG359" i="8"/>
  <c r="AG358" i="8"/>
  <c r="AG357" i="8"/>
  <c r="AG355" i="8"/>
  <c r="AG356" i="8"/>
  <c r="AK27" i="8"/>
  <c r="G27" i="8" s="1"/>
  <c r="AE155" i="8"/>
  <c r="E155" i="8" s="1"/>
  <c r="AI155" i="8"/>
  <c r="AI28" i="8"/>
  <c r="AI166" i="8"/>
  <c r="F166" i="8"/>
  <c r="AE50" i="8"/>
  <c r="E50" i="8" s="1"/>
  <c r="F50" i="8"/>
  <c r="U66" i="5"/>
  <c r="AD66" i="5" s="1"/>
  <c r="AE59" i="8"/>
  <c r="E59" i="8" s="1"/>
  <c r="AI59" i="8"/>
  <c r="AJ59" i="8"/>
  <c r="F59" i="8" s="1"/>
  <c r="AE148" i="8"/>
  <c r="E148" i="8" s="1"/>
  <c r="AJ148" i="8"/>
  <c r="F148" i="8" s="1"/>
  <c r="AE55" i="8"/>
  <c r="E55" i="8" s="1"/>
  <c r="AI55" i="8"/>
  <c r="F55" i="8"/>
  <c r="AE164" i="8"/>
  <c r="E164" i="8" s="1"/>
  <c r="F164" i="8"/>
  <c r="F167" i="8"/>
  <c r="AI167" i="8"/>
  <c r="AE167" i="8"/>
  <c r="E167" i="8" s="1"/>
  <c r="U174" i="5"/>
  <c r="AD174" i="5" s="1"/>
  <c r="U150" i="5"/>
  <c r="AD150" i="5" s="1"/>
  <c r="AE71" i="8"/>
  <c r="E71" i="8" s="1"/>
  <c r="AJ71" i="8"/>
  <c r="F71" i="8" s="1"/>
  <c r="AE103" i="8"/>
  <c r="E103" i="8" s="1"/>
  <c r="AI103" i="8"/>
  <c r="AJ103" i="8"/>
  <c r="F103" i="8" s="1"/>
  <c r="AE134" i="8"/>
  <c r="E134" i="8" s="1"/>
  <c r="AI134" i="8"/>
  <c r="F134" i="8"/>
  <c r="F201" i="8"/>
  <c r="AI201" i="8"/>
  <c r="AE201" i="8"/>
  <c r="E201" i="8" s="1"/>
  <c r="U137" i="5"/>
  <c r="AD137" i="5" s="1"/>
  <c r="AE157" i="8"/>
  <c r="E157" i="8" s="1"/>
  <c r="AI157" i="8"/>
  <c r="F157" i="8"/>
  <c r="E101" i="5" a="1"/>
  <c r="E101" i="5" s="1"/>
  <c r="T101" i="5" s="1"/>
  <c r="F101" i="5" a="1"/>
  <c r="F101" i="5" s="1"/>
  <c r="G101" i="5" a="1"/>
  <c r="G101" i="5" s="1"/>
  <c r="Q101" i="5"/>
  <c r="S101" i="5"/>
  <c r="E102" i="5" a="1"/>
  <c r="E102" i="5" s="1"/>
  <c r="T102" i="5" s="1"/>
  <c r="F102" i="5" a="1"/>
  <c r="F102" i="5" s="1"/>
  <c r="G102" i="5" a="1"/>
  <c r="G102" i="5" s="1"/>
  <c r="Q102" i="5"/>
  <c r="S102" i="5"/>
  <c r="E103" i="5" a="1"/>
  <c r="E103" i="5" s="1"/>
  <c r="T103" i="5" s="1"/>
  <c r="F103" i="5" a="1"/>
  <c r="F103" i="5" s="1"/>
  <c r="G103" i="5" a="1"/>
  <c r="G103" i="5" s="1"/>
  <c r="Q103" i="5"/>
  <c r="S103" i="5"/>
  <c r="W94" i="5"/>
  <c r="W95" i="5"/>
  <c r="W96" i="5"/>
  <c r="W97" i="5"/>
  <c r="W98" i="5"/>
  <c r="W99" i="5"/>
  <c r="S100" i="5"/>
  <c r="Q96" i="5"/>
  <c r="Q97" i="5"/>
  <c r="E95" i="5" a="1"/>
  <c r="E95" i="5" s="1"/>
  <c r="T95" i="5" s="1"/>
  <c r="F95" i="5" a="1"/>
  <c r="F95" i="5" s="1"/>
  <c r="G95" i="5" a="1"/>
  <c r="G95" i="5" s="1"/>
  <c r="Q95" i="5"/>
  <c r="S95" i="5"/>
  <c r="E96" i="5" a="1"/>
  <c r="E96" i="5" s="1"/>
  <c r="T96" i="5" s="1"/>
  <c r="F96" i="5" a="1"/>
  <c r="F96" i="5" s="1"/>
  <c r="G96" i="5" a="1"/>
  <c r="G96" i="5" s="1"/>
  <c r="S96" i="5"/>
  <c r="E97" i="5" a="1"/>
  <c r="E97" i="5" s="1"/>
  <c r="T97" i="5" s="1"/>
  <c r="F97" i="5" a="1"/>
  <c r="F97" i="5" s="1"/>
  <c r="G97" i="5" a="1"/>
  <c r="G97" i="5" s="1"/>
  <c r="S97" i="5"/>
  <c r="E98" i="5" a="1"/>
  <c r="E98" i="5" s="1"/>
  <c r="T98" i="5" s="1"/>
  <c r="F98" i="5" a="1"/>
  <c r="F98" i="5" s="1"/>
  <c r="G98" i="5" a="1"/>
  <c r="G98" i="5" s="1"/>
  <c r="Q98" i="5"/>
  <c r="S98" i="5"/>
  <c r="E99" i="5" a="1"/>
  <c r="E99" i="5" s="1"/>
  <c r="T99" i="5" s="1"/>
  <c r="F99" i="5" a="1"/>
  <c r="F99" i="5" s="1"/>
  <c r="G99" i="5" a="1"/>
  <c r="G99" i="5" s="1"/>
  <c r="Q99" i="5"/>
  <c r="S99" i="5"/>
  <c r="E100" i="5" a="1"/>
  <c r="E100" i="5" s="1"/>
  <c r="T100" i="5" s="1"/>
  <c r="F100" i="5" a="1"/>
  <c r="F100" i="5" s="1"/>
  <c r="G100" i="5" a="1"/>
  <c r="G100" i="5" s="1"/>
  <c r="Q100" i="5"/>
  <c r="E94" i="5" a="1"/>
  <c r="E94" i="5" s="1"/>
  <c r="T94" i="5" s="1"/>
  <c r="F94" i="5" a="1"/>
  <c r="F94" i="5" s="1"/>
  <c r="G94" i="5" a="1"/>
  <c r="G94" i="5" s="1"/>
  <c r="Q94" i="5"/>
  <c r="S94" i="5"/>
  <c r="J434" i="5"/>
  <c r="B354" i="8" a="1"/>
  <c r="B354" i="8" s="1"/>
  <c r="D354" i="8" a="1"/>
  <c r="D354" i="8" s="1"/>
  <c r="AN354" i="8" s="1"/>
  <c r="AE354" i="8"/>
  <c r="AI354" i="8"/>
  <c r="B353" i="8" a="1"/>
  <c r="B353" i="8" s="1"/>
  <c r="D353" i="8" a="1"/>
  <c r="D353" i="8" s="1"/>
  <c r="AN353" i="8" s="1"/>
  <c r="AE353" i="8"/>
  <c r="AI353" i="8"/>
  <c r="I37" i="8" l="1"/>
  <c r="AU55" i="8"/>
  <c r="AK55" i="8"/>
  <c r="G55" i="8" s="1"/>
  <c r="AU167" i="8"/>
  <c r="AK167" i="8"/>
  <c r="G167" i="8" s="1"/>
  <c r="AU162" i="8"/>
  <c r="AK162" i="8"/>
  <c r="AU155" i="8"/>
  <c r="AK155" i="8"/>
  <c r="G155" i="8" s="1"/>
  <c r="AU166" i="8"/>
  <c r="AK166" i="8"/>
  <c r="G166" i="8" s="1"/>
  <c r="AB150" i="5"/>
  <c r="AB66" i="5"/>
  <c r="AG147" i="8"/>
  <c r="H147" i="8" s="1"/>
  <c r="AA147" i="8"/>
  <c r="AG37" i="8"/>
  <c r="H37" i="8" s="1"/>
  <c r="AA37" i="8"/>
  <c r="AU37" i="8" s="1"/>
  <c r="N95" i="5"/>
  <c r="AI95" i="5"/>
  <c r="N100" i="5"/>
  <c r="AI100" i="5"/>
  <c r="N94" i="5"/>
  <c r="AI94" i="5"/>
  <c r="N101" i="5"/>
  <c r="AI101" i="5"/>
  <c r="N103" i="5"/>
  <c r="AI103" i="5"/>
  <c r="N97" i="5"/>
  <c r="AI97" i="5"/>
  <c r="N98" i="5"/>
  <c r="AI98" i="5"/>
  <c r="N99" i="5"/>
  <c r="AI99" i="5"/>
  <c r="N96" i="5"/>
  <c r="AI96" i="5"/>
  <c r="N102" i="5"/>
  <c r="AI102" i="5"/>
  <c r="AH14" i="8"/>
  <c r="AC14" i="8"/>
  <c r="Z14" i="8"/>
  <c r="AG14" i="8" s="1"/>
  <c r="H14" i="8" s="1"/>
  <c r="AJ37" i="8"/>
  <c r="F37" i="8" s="1"/>
  <c r="AE37" i="8"/>
  <c r="E37" i="8" s="1"/>
  <c r="AI37" i="8"/>
  <c r="V95" i="5"/>
  <c r="V101" i="5"/>
  <c r="V103" i="5"/>
  <c r="V98" i="5"/>
  <c r="V100" i="5"/>
  <c r="V97" i="5"/>
  <c r="V99" i="5"/>
  <c r="V96" i="5"/>
  <c r="V102" i="5"/>
  <c r="V94" i="5"/>
  <c r="AG353" i="8"/>
  <c r="AG354" i="8"/>
  <c r="U100" i="5"/>
  <c r="U95" i="5"/>
  <c r="U98" i="5"/>
  <c r="U94" i="5"/>
  <c r="U102" i="5"/>
  <c r="AD102" i="5" s="1"/>
  <c r="U101" i="5"/>
  <c r="U103" i="5"/>
  <c r="U97" i="5"/>
  <c r="U99" i="5"/>
  <c r="U96" i="5"/>
  <c r="I72" i="4"/>
  <c r="B203" i="8" a="1"/>
  <c r="B203" i="8" s="1"/>
  <c r="AM203" i="8"/>
  <c r="AC163" i="8"/>
  <c r="AD163" i="8" s="1"/>
  <c r="L1" i="5"/>
  <c r="AB297" i="5"/>
  <c r="Y14" i="8"/>
  <c r="E301" i="5" a="1"/>
  <c r="E301" i="5" s="1"/>
  <c r="F301" i="5" a="1"/>
  <c r="F301" i="5" s="1"/>
  <c r="G301" i="5" a="1"/>
  <c r="G301" i="5" s="1"/>
  <c r="S301" i="5"/>
  <c r="AO246" i="8" s="1"/>
  <c r="G236" i="5" a="1"/>
  <c r="G236" i="5" s="1"/>
  <c r="E236" i="5" a="1"/>
  <c r="E236" i="5" s="1"/>
  <c r="T236" i="5" s="1"/>
  <c r="Q236" i="5"/>
  <c r="S236" i="5"/>
  <c r="B181" i="8" a="1"/>
  <c r="B181" i="8" s="1"/>
  <c r="AM181" i="8"/>
  <c r="S157" i="5"/>
  <c r="S163" i="5"/>
  <c r="G163" i="5" a="1"/>
  <c r="G163" i="5" s="1"/>
  <c r="E163" i="5" a="1"/>
  <c r="E163" i="5" s="1"/>
  <c r="T163" i="5" s="1"/>
  <c r="F163" i="5" a="1"/>
  <c r="F163" i="5" s="1"/>
  <c r="Q163" i="5"/>
  <c r="AQ246" i="8" l="1"/>
  <c r="AS246" i="8"/>
  <c r="AD14" i="8"/>
  <c r="I14" i="8"/>
  <c r="I163" i="8"/>
  <c r="AU147" i="8"/>
  <c r="AK147" i="8"/>
  <c r="AO203" i="8"/>
  <c r="AT203" i="8" s="1"/>
  <c r="AO181" i="8"/>
  <c r="AT181" i="8" s="1"/>
  <c r="AB99" i="5"/>
  <c r="AB100" i="5"/>
  <c r="AB96" i="5"/>
  <c r="AB97" i="5"/>
  <c r="AB103" i="5"/>
  <c r="AB94" i="5"/>
  <c r="AB102" i="5"/>
  <c r="AB98" i="5"/>
  <c r="AB101" i="5"/>
  <c r="AB95" i="5"/>
  <c r="AK37" i="8"/>
  <c r="G37" i="8" s="1"/>
  <c r="N236" i="5"/>
  <c r="AI236" i="5"/>
  <c r="N163" i="5"/>
  <c r="AI163" i="5"/>
  <c r="N301" i="5"/>
  <c r="R397" i="5" s="1"/>
  <c r="AI301" i="5"/>
  <c r="Q203" i="8"/>
  <c r="R203" i="8"/>
  <c r="Q181" i="8"/>
  <c r="R181" i="8"/>
  <c r="AN181" i="8"/>
  <c r="V236" i="5"/>
  <c r="V301" i="5"/>
  <c r="Z163" i="8"/>
  <c r="AJ163" i="8" s="1"/>
  <c r="G203" i="8"/>
  <c r="AN203" i="8"/>
  <c r="F181" i="8"/>
  <c r="G181" i="8"/>
  <c r="U236" i="5"/>
  <c r="AD236" i="5" s="1"/>
  <c r="U301" i="5"/>
  <c r="U163" i="5"/>
  <c r="AD101" i="5"/>
  <c r="AD103" i="5"/>
  <c r="AD99" i="5"/>
  <c r="AD100" i="5"/>
  <c r="AD98" i="5"/>
  <c r="AD96" i="5"/>
  <c r="AD95" i="5"/>
  <c r="AD97" i="5"/>
  <c r="AD94" i="5"/>
  <c r="AI203" i="8"/>
  <c r="F203" i="8"/>
  <c r="AE203" i="8"/>
  <c r="E203" i="8" s="1"/>
  <c r="AE181" i="8"/>
  <c r="E181" i="8" s="1"/>
  <c r="AI181" i="8"/>
  <c r="E217" i="5" a="1"/>
  <c r="E217" i="5" s="1"/>
  <c r="T217" i="5" s="1"/>
  <c r="G217" i="5" a="1"/>
  <c r="G217" i="5" s="1"/>
  <c r="Q217" i="5"/>
  <c r="S217" i="5"/>
  <c r="AM165" i="8"/>
  <c r="B351" i="8" a="1"/>
  <c r="B351" i="8" s="1"/>
  <c r="D351" i="8" a="1"/>
  <c r="D351" i="8" s="1"/>
  <c r="AN351" i="8" s="1"/>
  <c r="AE351" i="8"/>
  <c r="AI351" i="8"/>
  <c r="B165" i="8" a="1"/>
  <c r="B165" i="8" s="1"/>
  <c r="B352" i="8" a="1"/>
  <c r="B352" i="8" s="1"/>
  <c r="D352" i="8" a="1"/>
  <c r="D352" i="8" s="1"/>
  <c r="AN352" i="8" s="1"/>
  <c r="AE352" i="8"/>
  <c r="AI352" i="8"/>
  <c r="D9" i="6"/>
  <c r="D8" i="6"/>
  <c r="AI346" i="8"/>
  <c r="B346" i="8" a="1"/>
  <c r="B346" i="8" s="1"/>
  <c r="D346" i="8" a="1"/>
  <c r="D346" i="8" s="1"/>
  <c r="AN346" i="8" s="1"/>
  <c r="AE346" i="8"/>
  <c r="AM162" i="8"/>
  <c r="AM14" i="8"/>
  <c r="AM207" i="8"/>
  <c r="AM170" i="8"/>
  <c r="AM147" i="8"/>
  <c r="AM158" i="8"/>
  <c r="AM129" i="8"/>
  <c r="AM48" i="8"/>
  <c r="B14" i="8" a="1"/>
  <c r="B14" i="8" s="1"/>
  <c r="R14" i="8"/>
  <c r="B162" i="8" a="1"/>
  <c r="B162" i="8" s="1"/>
  <c r="E53" i="5" a="1"/>
  <c r="E53" i="5" s="1"/>
  <c r="T53" i="5" s="1"/>
  <c r="F53" i="5" a="1"/>
  <c r="F53" i="5" s="1"/>
  <c r="G53" i="5" a="1"/>
  <c r="G53" i="5" s="1"/>
  <c r="Q53" i="5"/>
  <c r="S53" i="5"/>
  <c r="AI347" i="8"/>
  <c r="AI349" i="8"/>
  <c r="AI348" i="8"/>
  <c r="AI344" i="8"/>
  <c r="AI345" i="8"/>
  <c r="B207" i="8" a="1"/>
  <c r="B207" i="8" s="1"/>
  <c r="B347" i="8" a="1"/>
  <c r="B347" i="8" s="1"/>
  <c r="D347" i="8" a="1"/>
  <c r="D347" i="8" s="1"/>
  <c r="AN347" i="8" s="1"/>
  <c r="AE347" i="8"/>
  <c r="AE349" i="8"/>
  <c r="AE345" i="8"/>
  <c r="AE348" i="8"/>
  <c r="AE344" i="8"/>
  <c r="G11" i="5" a="1"/>
  <c r="G11" i="5" s="1"/>
  <c r="G12" i="5" a="1"/>
  <c r="G12" i="5" s="1"/>
  <c r="G13" i="5" a="1"/>
  <c r="G13" i="5" s="1"/>
  <c r="G21" i="5" a="1"/>
  <c r="G21" i="5" s="1"/>
  <c r="G22" i="5" a="1"/>
  <c r="G22" i="5" s="1"/>
  <c r="G23" i="5" a="1"/>
  <c r="G23" i="5" s="1"/>
  <c r="G24" i="5" a="1"/>
  <c r="G24" i="5" s="1"/>
  <c r="AI24" i="5" s="1"/>
  <c r="G27" i="5" a="1"/>
  <c r="G27" i="5" s="1"/>
  <c r="G38" i="5" a="1"/>
  <c r="G38" i="5" s="1"/>
  <c r="G39" i="5" a="1"/>
  <c r="G39" i="5" s="1"/>
  <c r="G46" i="5" a="1"/>
  <c r="G46" i="5" s="1"/>
  <c r="G56" i="5" a="1"/>
  <c r="G56" i="5" s="1"/>
  <c r="G65" i="5" a="1"/>
  <c r="G65" i="5" s="1"/>
  <c r="G69" i="5" a="1"/>
  <c r="G69" i="5" s="1"/>
  <c r="G224" i="5" a="1"/>
  <c r="G224" i="5" s="1"/>
  <c r="G81" i="5" a="1"/>
  <c r="G81" i="5" s="1"/>
  <c r="AI81" i="5" s="1"/>
  <c r="G86" i="5" a="1"/>
  <c r="G86" i="5" s="1"/>
  <c r="G89" i="5" a="1"/>
  <c r="G89" i="5" s="1"/>
  <c r="G93" i="5" a="1"/>
  <c r="G93" i="5" s="1"/>
  <c r="G107" i="5" a="1"/>
  <c r="G107" i="5" s="1"/>
  <c r="G108" i="5" a="1"/>
  <c r="G108" i="5" s="1"/>
  <c r="G109" i="5" a="1"/>
  <c r="G109" i="5" s="1"/>
  <c r="G114" i="5" a="1"/>
  <c r="G114" i="5" s="1"/>
  <c r="G116" i="5" a="1"/>
  <c r="G116" i="5" s="1"/>
  <c r="G118" i="5" a="1"/>
  <c r="G118" i="5" s="1"/>
  <c r="G119" i="5" a="1"/>
  <c r="G119" i="5" s="1"/>
  <c r="AI119" i="5" s="1"/>
  <c r="G125" i="5" a="1"/>
  <c r="G125" i="5" s="1"/>
  <c r="G126" i="5" a="1"/>
  <c r="G126" i="5" s="1"/>
  <c r="G130" i="5" a="1"/>
  <c r="G130" i="5" s="1"/>
  <c r="G131" i="5" a="1"/>
  <c r="G131" i="5" s="1"/>
  <c r="G132" i="5" a="1"/>
  <c r="G132" i="5" s="1"/>
  <c r="G133" i="5" a="1"/>
  <c r="G133" i="5" s="1"/>
  <c r="G134" i="5" a="1"/>
  <c r="G134" i="5" s="1"/>
  <c r="G151" i="5" a="1"/>
  <c r="G151" i="5" s="1"/>
  <c r="G157" i="5" a="1"/>
  <c r="G157" i="5" s="1"/>
  <c r="G159" i="5" a="1"/>
  <c r="G159" i="5" s="1"/>
  <c r="G173" i="5" a="1"/>
  <c r="G173" i="5" s="1"/>
  <c r="G180" i="5" a="1"/>
  <c r="G180" i="5" s="1"/>
  <c r="G182" i="5" a="1"/>
  <c r="G182" i="5" s="1"/>
  <c r="AI182" i="5" s="1"/>
  <c r="G188" i="5" a="1"/>
  <c r="G188" i="5" s="1"/>
  <c r="G189" i="5" a="1"/>
  <c r="G189" i="5" s="1"/>
  <c r="G190" i="5" a="1"/>
  <c r="G190" i="5" s="1"/>
  <c r="G191" i="5" a="1"/>
  <c r="G191" i="5" s="1"/>
  <c r="G195" i="5" a="1"/>
  <c r="G195" i="5" s="1"/>
  <c r="G196" i="5" a="1"/>
  <c r="G196" i="5" s="1"/>
  <c r="AI196" i="5" s="1"/>
  <c r="G202" i="5" a="1"/>
  <c r="G202" i="5" s="1"/>
  <c r="G203" i="5" a="1"/>
  <c r="G203" i="5" s="1"/>
  <c r="G206" i="5" a="1"/>
  <c r="G206" i="5" s="1"/>
  <c r="G208" i="5" a="1"/>
  <c r="G208" i="5" s="1"/>
  <c r="G211" i="5" a="1"/>
  <c r="G211" i="5" s="1"/>
  <c r="G215" i="5" a="1"/>
  <c r="G215" i="5" s="1"/>
  <c r="G220" i="5" a="1"/>
  <c r="G220" i="5" s="1"/>
  <c r="G221" i="5" a="1"/>
  <c r="G221" i="5" s="1"/>
  <c r="G222" i="5" a="1"/>
  <c r="G222" i="5" s="1"/>
  <c r="G223" i="5" a="1"/>
  <c r="G223" i="5" s="1"/>
  <c r="G231" i="5" a="1"/>
  <c r="G231" i="5" s="1"/>
  <c r="G232" i="5" a="1"/>
  <c r="G232" i="5" s="1"/>
  <c r="G233" i="5" a="1"/>
  <c r="G233" i="5" s="1"/>
  <c r="AI233" i="5" s="1"/>
  <c r="G234" i="5" a="1"/>
  <c r="G234" i="5" s="1"/>
  <c r="G241" i="5" a="1"/>
  <c r="G241" i="5" s="1"/>
  <c r="G244" i="5" a="1"/>
  <c r="G244" i="5" s="1"/>
  <c r="G245" i="5" a="1"/>
  <c r="G245" i="5" s="1"/>
  <c r="G246" i="5" a="1"/>
  <c r="G246" i="5" s="1"/>
  <c r="G255" i="5" a="1"/>
  <c r="G255" i="5" s="1"/>
  <c r="G8" i="5" a="1"/>
  <c r="G8" i="5" s="1"/>
  <c r="G9" i="5" a="1"/>
  <c r="G9" i="5" s="1"/>
  <c r="G10" i="5" a="1"/>
  <c r="G10" i="5" s="1"/>
  <c r="B129" i="8" a="1"/>
  <c r="B129" i="8" s="1"/>
  <c r="B48" i="8" a="1"/>
  <c r="B48" i="8" s="1"/>
  <c r="E224" i="5" a="1"/>
  <c r="E224" i="5" s="1"/>
  <c r="T224" i="5" s="1"/>
  <c r="Q224" i="5"/>
  <c r="S224" i="5"/>
  <c r="J431" i="5"/>
  <c r="B170" i="8" a="1"/>
  <c r="B170" i="8" s="1"/>
  <c r="AI343" i="8"/>
  <c r="E114" i="5" a="1"/>
  <c r="E114" i="5" s="1"/>
  <c r="T114" i="5" s="1"/>
  <c r="F114" i="5" a="1"/>
  <c r="F114" i="5" s="1"/>
  <c r="Q114" i="5"/>
  <c r="S114" i="5"/>
  <c r="M550" i="5" a="1"/>
  <c r="M550" i="5" s="1"/>
  <c r="V403" i="5" s="1"/>
  <c r="J428" i="5"/>
  <c r="B147" i="8" a="1"/>
  <c r="B147" i="8" s="1"/>
  <c r="J425" i="5"/>
  <c r="J422" i="5"/>
  <c r="B345" i="8" a="1"/>
  <c r="B345" i="8" s="1"/>
  <c r="D345" i="8" a="1"/>
  <c r="D345" i="8" s="1"/>
  <c r="AN345" i="8" s="1"/>
  <c r="B344" i="8" a="1"/>
  <c r="B344" i="8" s="1"/>
  <c r="D344" i="8" a="1"/>
  <c r="D344" i="8" s="1"/>
  <c r="AN344" i="8" s="1"/>
  <c r="B348" i="8" a="1"/>
  <c r="B348" i="8" s="1"/>
  <c r="D348" i="8" a="1"/>
  <c r="D348" i="8" s="1"/>
  <c r="AN348" i="8" s="1"/>
  <c r="AM194" i="8"/>
  <c r="AM198" i="8"/>
  <c r="B349" i="8" a="1"/>
  <c r="B349" i="8" s="1"/>
  <c r="B343" i="8" a="1"/>
  <c r="B343" i="8" s="1"/>
  <c r="B130" i="8" a="1"/>
  <c r="B130" i="8" s="1"/>
  <c r="B154" i="8" a="1"/>
  <c r="B154" i="8" s="1"/>
  <c r="B158" i="8" a="1"/>
  <c r="B158" i="8" s="1"/>
  <c r="B194" i="8" a="1"/>
  <c r="B194" i="8" s="1"/>
  <c r="B198" i="8" a="1"/>
  <c r="B198" i="8" s="1"/>
  <c r="B188" i="8" a="1"/>
  <c r="B188" i="8" s="1"/>
  <c r="J416" i="5"/>
  <c r="J419" i="5"/>
  <c r="E202" i="5" a="1"/>
  <c r="E202" i="5" s="1"/>
  <c r="T202" i="5" s="1"/>
  <c r="Q202" i="5"/>
  <c r="S202" i="5"/>
  <c r="W202" i="5"/>
  <c r="E173" i="5" a="1"/>
  <c r="E173" i="5" s="1"/>
  <c r="T173" i="5" s="1"/>
  <c r="S173" i="5"/>
  <c r="E108" i="5" a="1"/>
  <c r="E108" i="5" s="1"/>
  <c r="T108" i="5" s="1"/>
  <c r="U108" i="5" s="1"/>
  <c r="F108" i="5" a="1"/>
  <c r="F108" i="5" s="1"/>
  <c r="Q108" i="5"/>
  <c r="AM154" i="8"/>
  <c r="AM188" i="8"/>
  <c r="D349" i="8" a="1"/>
  <c r="D349" i="8" s="1"/>
  <c r="AN349" i="8" s="1"/>
  <c r="E255" i="5" a="1"/>
  <c r="E255" i="5" s="1"/>
  <c r="T255" i="5" s="1"/>
  <c r="Q255" i="5"/>
  <c r="S255" i="5"/>
  <c r="J413" i="5"/>
  <c r="E69" i="5" a="1"/>
  <c r="E69" i="5" s="1"/>
  <c r="T69" i="5" s="1"/>
  <c r="F69" i="5" a="1"/>
  <c r="F69" i="5" s="1"/>
  <c r="Q69" i="5"/>
  <c r="S69" i="5"/>
  <c r="E223" i="5" a="1"/>
  <c r="E223" i="5" s="1"/>
  <c r="T223" i="5" s="1"/>
  <c r="Q223" i="5"/>
  <c r="S223" i="5"/>
  <c r="AM130" i="8"/>
  <c r="J410" i="5"/>
  <c r="J407" i="5"/>
  <c r="J404" i="5"/>
  <c r="J401" i="5"/>
  <c r="J398" i="5"/>
  <c r="AB287" i="5"/>
  <c r="S246" i="5"/>
  <c r="Q246" i="5"/>
  <c r="E246" i="5" a="1"/>
  <c r="E246" i="5" s="1"/>
  <c r="T246" i="5" s="1"/>
  <c r="S245" i="5"/>
  <c r="Q245" i="5"/>
  <c r="E245" i="5" a="1"/>
  <c r="E245" i="5" s="1"/>
  <c r="T245" i="5" s="1"/>
  <c r="S244" i="5"/>
  <c r="Q244" i="5"/>
  <c r="E244" i="5" a="1"/>
  <c r="E244" i="5" s="1"/>
  <c r="T244" i="5" s="1"/>
  <c r="S241" i="5"/>
  <c r="Q241" i="5"/>
  <c r="E241" i="5" a="1"/>
  <c r="E241" i="5" s="1"/>
  <c r="T241" i="5" s="1"/>
  <c r="S234" i="5"/>
  <c r="Q234" i="5"/>
  <c r="E234" i="5" a="1"/>
  <c r="E234" i="5" s="1"/>
  <c r="T234" i="5" s="1"/>
  <c r="S233" i="5"/>
  <c r="Q233" i="5"/>
  <c r="E233" i="5" a="1"/>
  <c r="E233" i="5" s="1"/>
  <c r="T233" i="5" s="1"/>
  <c r="S232" i="5"/>
  <c r="Q232" i="5"/>
  <c r="E232" i="5" a="1"/>
  <c r="E232" i="5" s="1"/>
  <c r="T232" i="5" s="1"/>
  <c r="S231" i="5"/>
  <c r="Q231" i="5"/>
  <c r="E231" i="5" a="1"/>
  <c r="E231" i="5" s="1"/>
  <c r="T231" i="5" s="1"/>
  <c r="S222" i="5"/>
  <c r="Q222" i="5"/>
  <c r="E222" i="5" a="1"/>
  <c r="E222" i="5" s="1"/>
  <c r="T222" i="5" s="1"/>
  <c r="S221" i="5"/>
  <c r="Q221" i="5"/>
  <c r="E221" i="5" a="1"/>
  <c r="E221" i="5" s="1"/>
  <c r="T221" i="5" s="1"/>
  <c r="S220" i="5"/>
  <c r="Q220" i="5"/>
  <c r="E220" i="5" a="1"/>
  <c r="E220" i="5" s="1"/>
  <c r="T220" i="5" s="1"/>
  <c r="S215" i="5"/>
  <c r="Q215" i="5"/>
  <c r="E215" i="5" a="1"/>
  <c r="E215" i="5" s="1"/>
  <c r="T215" i="5" s="1"/>
  <c r="S211" i="5"/>
  <c r="Q211" i="5"/>
  <c r="E211" i="5" a="1"/>
  <c r="E211" i="5" s="1"/>
  <c r="T211" i="5" s="1"/>
  <c r="W208" i="5"/>
  <c r="S208" i="5"/>
  <c r="Q208" i="5"/>
  <c r="E208" i="5" a="1"/>
  <c r="E208" i="5" s="1"/>
  <c r="T208" i="5" s="1"/>
  <c r="T206" i="5"/>
  <c r="S206" i="5"/>
  <c r="Q206" i="5"/>
  <c r="S203" i="5"/>
  <c r="Q203" i="5"/>
  <c r="E203" i="5" a="1"/>
  <c r="E203" i="5" s="1"/>
  <c r="T203" i="5" s="1"/>
  <c r="Q196" i="5"/>
  <c r="M196" i="5"/>
  <c r="E196" i="5" a="1"/>
  <c r="E196" i="5" s="1"/>
  <c r="T196" i="5" s="1"/>
  <c r="S195" i="5"/>
  <c r="Q195" i="5"/>
  <c r="E195" i="5" a="1"/>
  <c r="E195" i="5" s="1"/>
  <c r="T195" i="5" s="1"/>
  <c r="S191" i="5"/>
  <c r="Q191" i="5"/>
  <c r="E191" i="5" a="1"/>
  <c r="E191" i="5" s="1"/>
  <c r="T191" i="5" s="1"/>
  <c r="S190" i="5"/>
  <c r="Q190" i="5"/>
  <c r="E190" i="5" a="1"/>
  <c r="E190" i="5" s="1"/>
  <c r="T190" i="5" s="1"/>
  <c r="S189" i="5"/>
  <c r="Q189" i="5"/>
  <c r="E189" i="5" a="1"/>
  <c r="E189" i="5" s="1"/>
  <c r="T189" i="5" s="1"/>
  <c r="S188" i="5"/>
  <c r="Q188" i="5"/>
  <c r="E188" i="5" a="1"/>
  <c r="E188" i="5" s="1"/>
  <c r="T188" i="5" s="1"/>
  <c r="S182" i="5"/>
  <c r="Q182" i="5"/>
  <c r="M182" i="5"/>
  <c r="E182" i="5" a="1"/>
  <c r="E182" i="5" s="1"/>
  <c r="T182" i="5" s="1"/>
  <c r="S180" i="5"/>
  <c r="Q180" i="5"/>
  <c r="E180" i="5" a="1"/>
  <c r="E180" i="5" s="1"/>
  <c r="T180" i="5" s="1"/>
  <c r="S176" i="5"/>
  <c r="Q176" i="5"/>
  <c r="E176" i="5" a="1"/>
  <c r="E176" i="5" s="1"/>
  <c r="T176" i="5" s="1"/>
  <c r="S159" i="5"/>
  <c r="Q159" i="5"/>
  <c r="F159" i="5" a="1"/>
  <c r="F159" i="5" s="1"/>
  <c r="E159" i="5" a="1"/>
  <c r="E159" i="5" s="1"/>
  <c r="T159" i="5" s="1"/>
  <c r="Q157" i="5"/>
  <c r="F157" i="5" a="1"/>
  <c r="F157" i="5" s="1"/>
  <c r="E157" i="5" a="1"/>
  <c r="E157" i="5" s="1"/>
  <c r="T157" i="5" s="1"/>
  <c r="S151" i="5"/>
  <c r="Q151" i="5"/>
  <c r="F151" i="5" a="1"/>
  <c r="F151" i="5" s="1"/>
  <c r="E151" i="5" a="1"/>
  <c r="E151" i="5" s="1"/>
  <c r="T151" i="5" s="1"/>
  <c r="S134" i="5"/>
  <c r="Q134" i="5"/>
  <c r="F134" i="5" a="1"/>
  <c r="F134" i="5" s="1"/>
  <c r="E134" i="5" a="1"/>
  <c r="E134" i="5" s="1"/>
  <c r="T134" i="5" s="1"/>
  <c r="S133" i="5"/>
  <c r="Q133" i="5"/>
  <c r="F133" i="5" a="1"/>
  <c r="F133" i="5" s="1"/>
  <c r="E133" i="5" a="1"/>
  <c r="E133" i="5" s="1"/>
  <c r="T133" i="5" s="1"/>
  <c r="S132" i="5"/>
  <c r="Q132" i="5"/>
  <c r="F132" i="5" a="1"/>
  <c r="F132" i="5" s="1"/>
  <c r="E132" i="5" a="1"/>
  <c r="E132" i="5" s="1"/>
  <c r="T132" i="5" s="1"/>
  <c r="S131" i="5"/>
  <c r="Q131" i="5"/>
  <c r="F131" i="5" a="1"/>
  <c r="F131" i="5" s="1"/>
  <c r="E131" i="5" a="1"/>
  <c r="E131" i="5" s="1"/>
  <c r="T131" i="5" s="1"/>
  <c r="S130" i="5"/>
  <c r="Q130" i="5"/>
  <c r="F130" i="5" a="1"/>
  <c r="F130" i="5" s="1"/>
  <c r="E130" i="5" a="1"/>
  <c r="E130" i="5" s="1"/>
  <c r="T130" i="5" s="1"/>
  <c r="S126" i="5"/>
  <c r="Q126" i="5"/>
  <c r="F126" i="5" a="1"/>
  <c r="F126" i="5" s="1"/>
  <c r="E126" i="5" a="1"/>
  <c r="E126" i="5" s="1"/>
  <c r="T126" i="5" s="1"/>
  <c r="S125" i="5"/>
  <c r="Q125" i="5"/>
  <c r="F125" i="5" a="1"/>
  <c r="F125" i="5" s="1"/>
  <c r="E125" i="5" a="1"/>
  <c r="E125" i="5" s="1"/>
  <c r="T125" i="5" s="1"/>
  <c r="S119" i="5"/>
  <c r="Q119" i="5"/>
  <c r="O119" i="5"/>
  <c r="M119" i="5" s="1"/>
  <c r="F119" i="5" a="1"/>
  <c r="F119" i="5" s="1"/>
  <c r="E119" i="5" a="1"/>
  <c r="E119" i="5" s="1"/>
  <c r="T119" i="5" s="1"/>
  <c r="S118" i="5"/>
  <c r="Q118" i="5"/>
  <c r="F118" i="5" a="1"/>
  <c r="F118" i="5" s="1"/>
  <c r="E118" i="5" a="1"/>
  <c r="E118" i="5" s="1"/>
  <c r="T118" i="5" s="1"/>
  <c r="S116" i="5"/>
  <c r="Q116" i="5"/>
  <c r="M116" i="5"/>
  <c r="F116" i="5" a="1"/>
  <c r="F116" i="5" s="1"/>
  <c r="E116" i="5" a="1"/>
  <c r="E116" i="5" s="1"/>
  <c r="T116" i="5" s="1"/>
  <c r="S109" i="5"/>
  <c r="Q109" i="5"/>
  <c r="F109" i="5" a="1"/>
  <c r="F109" i="5" s="1"/>
  <c r="E109" i="5" a="1"/>
  <c r="E109" i="5" s="1"/>
  <c r="T109" i="5" s="1"/>
  <c r="S107" i="5"/>
  <c r="Q107" i="5"/>
  <c r="F107" i="5" a="1"/>
  <c r="F107" i="5" s="1"/>
  <c r="E107" i="5" a="1"/>
  <c r="E107" i="5" s="1"/>
  <c r="T107" i="5" s="1"/>
  <c r="S93" i="5"/>
  <c r="Q93" i="5"/>
  <c r="F93" i="5" a="1"/>
  <c r="F93" i="5" s="1"/>
  <c r="E93" i="5" a="1"/>
  <c r="E93" i="5" s="1"/>
  <c r="T93" i="5" s="1"/>
  <c r="S89" i="5"/>
  <c r="Q89" i="5"/>
  <c r="F89" i="5" a="1"/>
  <c r="F89" i="5" s="1"/>
  <c r="E89" i="5" a="1"/>
  <c r="E89" i="5" s="1"/>
  <c r="T89" i="5" s="1"/>
  <c r="S86" i="5"/>
  <c r="Q86" i="5"/>
  <c r="F86" i="5" a="1"/>
  <c r="F86" i="5" s="1"/>
  <c r="E86" i="5" a="1"/>
  <c r="E86" i="5" s="1"/>
  <c r="T86" i="5" s="1"/>
  <c r="Q81" i="5"/>
  <c r="K81" i="5"/>
  <c r="AO103" i="8" s="1"/>
  <c r="AT103" i="8" s="1"/>
  <c r="F81" i="5" a="1"/>
  <c r="F81" i="5" s="1"/>
  <c r="E81" i="5" a="1"/>
  <c r="E81" i="5" s="1"/>
  <c r="T81" i="5" s="1"/>
  <c r="S65" i="5"/>
  <c r="Q65" i="5"/>
  <c r="F65" i="5" a="1"/>
  <c r="F65" i="5" s="1"/>
  <c r="E65" i="5" a="1"/>
  <c r="E65" i="5" s="1"/>
  <c r="T65" i="5" s="1"/>
  <c r="S56" i="5"/>
  <c r="Q56" i="5"/>
  <c r="F56" i="5" a="1"/>
  <c r="F56" i="5" s="1"/>
  <c r="E56" i="5" a="1"/>
  <c r="E56" i="5" s="1"/>
  <c r="T56" i="5" s="1"/>
  <c r="S46" i="5"/>
  <c r="Q46" i="5"/>
  <c r="F46" i="5" a="1"/>
  <c r="F46" i="5" s="1"/>
  <c r="E46" i="5" a="1"/>
  <c r="E46" i="5" s="1"/>
  <c r="T46" i="5" s="1"/>
  <c r="S39" i="5"/>
  <c r="Q39" i="5"/>
  <c r="F39" i="5" a="1"/>
  <c r="F39" i="5" s="1"/>
  <c r="E39" i="5" a="1"/>
  <c r="E39" i="5" s="1"/>
  <c r="T39" i="5" s="1"/>
  <c r="S38" i="5"/>
  <c r="Q38" i="5"/>
  <c r="F38" i="5" a="1"/>
  <c r="F38" i="5" s="1"/>
  <c r="E38" i="5" a="1"/>
  <c r="E38" i="5" s="1"/>
  <c r="T38" i="5" s="1"/>
  <c r="W27" i="5"/>
  <c r="S27" i="5"/>
  <c r="Q27" i="5"/>
  <c r="F27" i="5" a="1"/>
  <c r="F27" i="5" s="1"/>
  <c r="E27" i="5" a="1"/>
  <c r="E27" i="5" s="1"/>
  <c r="T27" i="5" s="1"/>
  <c r="Q24" i="5"/>
  <c r="K24" i="5"/>
  <c r="M24" i="5" s="1"/>
  <c r="F24" i="5" a="1"/>
  <c r="F24" i="5" s="1"/>
  <c r="E24" i="5" a="1"/>
  <c r="E24" i="5" s="1"/>
  <c r="T24" i="5" s="1"/>
  <c r="S23" i="5"/>
  <c r="Q23" i="5"/>
  <c r="F23" i="5" a="1"/>
  <c r="F23" i="5" s="1"/>
  <c r="E23" i="5" a="1"/>
  <c r="E23" i="5" s="1"/>
  <c r="T23" i="5" s="1"/>
  <c r="S22" i="5"/>
  <c r="Q22" i="5"/>
  <c r="F22" i="5" a="1"/>
  <c r="F22" i="5" s="1"/>
  <c r="E22" i="5" a="1"/>
  <c r="E22" i="5" s="1"/>
  <c r="T22" i="5" s="1"/>
  <c r="S21" i="5"/>
  <c r="Q21" i="5"/>
  <c r="F21" i="5" a="1"/>
  <c r="F21" i="5" s="1"/>
  <c r="E21" i="5" a="1"/>
  <c r="E21" i="5" s="1"/>
  <c r="T21" i="5" s="1"/>
  <c r="S13" i="5"/>
  <c r="Q13" i="5"/>
  <c r="F13" i="5" a="1"/>
  <c r="F13" i="5" s="1"/>
  <c r="E13" i="5" a="1"/>
  <c r="E13" i="5" s="1"/>
  <c r="T13" i="5" s="1"/>
  <c r="S12" i="5"/>
  <c r="Q12" i="5"/>
  <c r="F12" i="5" a="1"/>
  <c r="F12" i="5" s="1"/>
  <c r="E12" i="5" a="1"/>
  <c r="E12" i="5" s="1"/>
  <c r="T12" i="5" s="1"/>
  <c r="S11" i="5"/>
  <c r="Q11" i="5"/>
  <c r="F11" i="5" a="1"/>
  <c r="F11" i="5" s="1"/>
  <c r="E11" i="5" a="1"/>
  <c r="E11" i="5" s="1"/>
  <c r="T11" i="5" s="1"/>
  <c r="S10" i="5"/>
  <c r="Q10" i="5"/>
  <c r="F10" i="5" a="1"/>
  <c r="F10" i="5" s="1"/>
  <c r="E10" i="5" a="1"/>
  <c r="E10" i="5" s="1"/>
  <c r="T10" i="5" s="1"/>
  <c r="S9" i="5"/>
  <c r="Q9" i="5"/>
  <c r="F9" i="5" a="1"/>
  <c r="F9" i="5" s="1"/>
  <c r="E9" i="5" a="1"/>
  <c r="E9" i="5" s="1"/>
  <c r="T9" i="5" s="1"/>
  <c r="S8" i="5"/>
  <c r="Q8" i="5"/>
  <c r="F8" i="5" a="1"/>
  <c r="F8" i="5" s="1"/>
  <c r="E8" i="5" a="1"/>
  <c r="E8" i="5" s="1"/>
  <c r="T8" i="5" s="1"/>
  <c r="AE343" i="8"/>
  <c r="AT246" i="8" l="1"/>
  <c r="Y301" i="5"/>
  <c r="J537" i="5"/>
  <c r="M547" i="5" s="1"/>
  <c r="AO158" i="8"/>
  <c r="AT158" i="8" s="1"/>
  <c r="AO154" i="8"/>
  <c r="AT154" i="8" s="1"/>
  <c r="AO130" i="8"/>
  <c r="AT130" i="8" s="1"/>
  <c r="AO147" i="8"/>
  <c r="AT147" i="8" s="1"/>
  <c r="AO48" i="8"/>
  <c r="AT48" i="8" s="1"/>
  <c r="AO165" i="8"/>
  <c r="AT165" i="8" s="1"/>
  <c r="AO129" i="8"/>
  <c r="AT129" i="8" s="1"/>
  <c r="AO162" i="8"/>
  <c r="AT162" i="8" s="1"/>
  <c r="AO207" i="8"/>
  <c r="AT207" i="8" s="1"/>
  <c r="AO188" i="8"/>
  <c r="AT188" i="8" s="1"/>
  <c r="AO194" i="8"/>
  <c r="AT194" i="8" s="1"/>
  <c r="AO170" i="8"/>
  <c r="AT170" i="8" s="1"/>
  <c r="AO198" i="8"/>
  <c r="AT198" i="8" s="1"/>
  <c r="AO14" i="8"/>
  <c r="AT14" i="8" s="1"/>
  <c r="AB301" i="5"/>
  <c r="AB236" i="5"/>
  <c r="AG163" i="8"/>
  <c r="H163" i="8" s="1"/>
  <c r="AA163" i="8"/>
  <c r="AO424" i="8"/>
  <c r="N9" i="5"/>
  <c r="AI9" i="5"/>
  <c r="N195" i="5"/>
  <c r="AI195" i="5"/>
  <c r="N151" i="5"/>
  <c r="AI151" i="5"/>
  <c r="N8" i="5"/>
  <c r="AI8" i="5"/>
  <c r="N223" i="5"/>
  <c r="AI223" i="5"/>
  <c r="N191" i="5"/>
  <c r="AI191" i="5"/>
  <c r="N118" i="5"/>
  <c r="AI118" i="5"/>
  <c r="N224" i="5"/>
  <c r="AI224" i="5"/>
  <c r="N23" i="5"/>
  <c r="AI23" i="5"/>
  <c r="N255" i="5"/>
  <c r="AI255" i="5"/>
  <c r="N222" i="5"/>
  <c r="AI222" i="5"/>
  <c r="N190" i="5"/>
  <c r="AI190" i="5"/>
  <c r="N116" i="5"/>
  <c r="AI116" i="5"/>
  <c r="N69" i="5"/>
  <c r="AI69" i="5"/>
  <c r="N22" i="5"/>
  <c r="AI22" i="5"/>
  <c r="N221" i="5"/>
  <c r="AI221" i="5"/>
  <c r="N189" i="5"/>
  <c r="AI189" i="5"/>
  <c r="N114" i="5"/>
  <c r="AI114" i="5"/>
  <c r="N21" i="5"/>
  <c r="AI21" i="5"/>
  <c r="N246" i="5"/>
  <c r="AI246" i="5"/>
  <c r="N220" i="5"/>
  <c r="AI220" i="5"/>
  <c r="N188" i="5"/>
  <c r="AI188" i="5"/>
  <c r="N65" i="5"/>
  <c r="AI65" i="5"/>
  <c r="N13" i="5"/>
  <c r="AI13" i="5"/>
  <c r="N245" i="5"/>
  <c r="AI245" i="5"/>
  <c r="N215" i="5"/>
  <c r="AI215" i="5"/>
  <c r="N134" i="5"/>
  <c r="AI134" i="5"/>
  <c r="N109" i="5"/>
  <c r="AI109" i="5"/>
  <c r="N56" i="5"/>
  <c r="AI56" i="5"/>
  <c r="N12" i="5"/>
  <c r="AI12" i="5"/>
  <c r="N244" i="5"/>
  <c r="AI244" i="5"/>
  <c r="N211" i="5"/>
  <c r="AI211" i="5"/>
  <c r="N180" i="5"/>
  <c r="AI180" i="5"/>
  <c r="N133" i="5"/>
  <c r="AI133" i="5"/>
  <c r="N108" i="5"/>
  <c r="AI108" i="5"/>
  <c r="N11" i="5"/>
  <c r="AI11" i="5"/>
  <c r="N217" i="5"/>
  <c r="AI217" i="5"/>
  <c r="N241" i="5"/>
  <c r="AI241" i="5"/>
  <c r="N208" i="5"/>
  <c r="AI208" i="5"/>
  <c r="N132" i="5"/>
  <c r="AI132" i="5"/>
  <c r="N107" i="5"/>
  <c r="AI107" i="5"/>
  <c r="N46" i="5"/>
  <c r="AI46" i="5"/>
  <c r="N234" i="5"/>
  <c r="AI234" i="5"/>
  <c r="N206" i="5"/>
  <c r="AI206" i="5"/>
  <c r="N173" i="5"/>
  <c r="AI173" i="5"/>
  <c r="N131" i="5"/>
  <c r="AI131" i="5"/>
  <c r="N93" i="5"/>
  <c r="AI93" i="5"/>
  <c r="N39" i="5"/>
  <c r="AI39" i="5"/>
  <c r="N203" i="5"/>
  <c r="AI203" i="5"/>
  <c r="N159" i="5"/>
  <c r="AI159" i="5"/>
  <c r="N130" i="5"/>
  <c r="AI130" i="5"/>
  <c r="N38" i="5"/>
  <c r="AI38" i="5"/>
  <c r="N232" i="5"/>
  <c r="AI232" i="5"/>
  <c r="N202" i="5"/>
  <c r="AI202" i="5"/>
  <c r="N157" i="5"/>
  <c r="AI157" i="5"/>
  <c r="N126" i="5"/>
  <c r="AI126" i="5"/>
  <c r="N89" i="5"/>
  <c r="AI89" i="5"/>
  <c r="N53" i="5"/>
  <c r="AI53" i="5"/>
  <c r="N10" i="5"/>
  <c r="AI10" i="5"/>
  <c r="N231" i="5"/>
  <c r="AI231" i="5"/>
  <c r="N125" i="5"/>
  <c r="AI125" i="5"/>
  <c r="N86" i="5"/>
  <c r="AI86" i="5"/>
  <c r="N27" i="5"/>
  <c r="AI27" i="5"/>
  <c r="AI163" i="8"/>
  <c r="R162" i="8"/>
  <c r="Q162" i="8"/>
  <c r="Q194" i="8"/>
  <c r="R194" i="8"/>
  <c r="Q207" i="8"/>
  <c r="R207" i="8"/>
  <c r="Q130" i="8"/>
  <c r="R130" i="8"/>
  <c r="Q154" i="8"/>
  <c r="R154" i="8"/>
  <c r="Q158" i="8"/>
  <c r="R158" i="8"/>
  <c r="Q188" i="8"/>
  <c r="R188" i="8"/>
  <c r="Q147" i="8"/>
  <c r="R147" i="8"/>
  <c r="Q129" i="8"/>
  <c r="R129" i="8"/>
  <c r="Q14" i="8"/>
  <c r="Q170" i="8"/>
  <c r="R170" i="8"/>
  <c r="Q165" i="8"/>
  <c r="R165" i="8"/>
  <c r="AN188" i="8"/>
  <c r="AE147" i="8"/>
  <c r="E147" i="8" s="1"/>
  <c r="AN170" i="8"/>
  <c r="AN165" i="8"/>
  <c r="AN130" i="8"/>
  <c r="AN198" i="8"/>
  <c r="AN207" i="8"/>
  <c r="AN162" i="8"/>
  <c r="AE154" i="8"/>
  <c r="E154" i="8" s="1"/>
  <c r="M81" i="5"/>
  <c r="M259" i="5" s="1"/>
  <c r="AN154" i="8"/>
  <c r="AN14" i="8"/>
  <c r="AE14" i="8"/>
  <c r="E14" i="8" s="1"/>
  <c r="N81" i="5"/>
  <c r="N196" i="5"/>
  <c r="N24" i="5"/>
  <c r="U233" i="5"/>
  <c r="AD233" i="5" s="1"/>
  <c r="N182" i="5"/>
  <c r="N119" i="5"/>
  <c r="V233" i="5"/>
  <c r="N233" i="5"/>
  <c r="V189" i="5"/>
  <c r="V126" i="5"/>
  <c r="V10" i="5"/>
  <c r="V234" i="5"/>
  <c r="V215" i="5"/>
  <c r="V188" i="5"/>
  <c r="V125" i="5"/>
  <c r="V56" i="5"/>
  <c r="V9" i="5"/>
  <c r="V211" i="5"/>
  <c r="V93" i="5"/>
  <c r="V8" i="5"/>
  <c r="V232" i="5"/>
  <c r="V180" i="5"/>
  <c r="V27" i="5"/>
  <c r="V231" i="5"/>
  <c r="V89" i="5"/>
  <c r="V255" i="5"/>
  <c r="V206" i="5"/>
  <c r="V118" i="5"/>
  <c r="V86" i="5"/>
  <c r="V23" i="5"/>
  <c r="V203" i="5"/>
  <c r="V116" i="5"/>
  <c r="V22" i="5"/>
  <c r="V246" i="5"/>
  <c r="V223" i="5"/>
  <c r="V134" i="5"/>
  <c r="V21" i="5"/>
  <c r="V245" i="5"/>
  <c r="V222" i="5"/>
  <c r="V173" i="5"/>
  <c r="V133" i="5"/>
  <c r="V244" i="5"/>
  <c r="V221" i="5"/>
  <c r="V195" i="5"/>
  <c r="V159" i="5"/>
  <c r="V132" i="5"/>
  <c r="V109" i="5"/>
  <c r="V13" i="5"/>
  <c r="V191" i="5"/>
  <c r="V131" i="5"/>
  <c r="V39" i="5"/>
  <c r="V12" i="5"/>
  <c r="V241" i="5"/>
  <c r="V190" i="5"/>
  <c r="V130" i="5"/>
  <c r="V38" i="5"/>
  <c r="V11" i="5"/>
  <c r="V217" i="5"/>
  <c r="M72" i="4"/>
  <c r="AE163" i="8"/>
  <c r="E163" i="8" s="1"/>
  <c r="F163" i="8"/>
  <c r="G147" i="8"/>
  <c r="AN147" i="8"/>
  <c r="G158" i="8"/>
  <c r="AN158" i="8"/>
  <c r="AK48" i="8"/>
  <c r="G48" i="8" s="1"/>
  <c r="AN48" i="8"/>
  <c r="G129" i="8"/>
  <c r="AN129" i="8"/>
  <c r="G194" i="8"/>
  <c r="AN194" i="8"/>
  <c r="AG344" i="8"/>
  <c r="AG351" i="8"/>
  <c r="AG352" i="8"/>
  <c r="S196" i="5"/>
  <c r="U196" i="5" s="1"/>
  <c r="AI207" i="8"/>
  <c r="G207" i="8"/>
  <c r="AI188" i="8"/>
  <c r="G188" i="8"/>
  <c r="AE198" i="8"/>
  <c r="E198" i="8" s="1"/>
  <c r="G198" i="8"/>
  <c r="F130" i="8"/>
  <c r="G130" i="8"/>
  <c r="S24" i="5"/>
  <c r="U24" i="5" s="1"/>
  <c r="F194" i="8"/>
  <c r="F162" i="8"/>
  <c r="G162" i="8"/>
  <c r="AI129" i="8"/>
  <c r="AJ14" i="8"/>
  <c r="F14" i="8" s="1"/>
  <c r="AK14" i="8"/>
  <c r="G14" i="8" s="1"/>
  <c r="G154" i="8"/>
  <c r="F170" i="8"/>
  <c r="G170" i="8"/>
  <c r="U223" i="5"/>
  <c r="AD223" i="5" s="1"/>
  <c r="U69" i="5"/>
  <c r="U38" i="5"/>
  <c r="AD38" i="5" s="1"/>
  <c r="U56" i="5"/>
  <c r="AD56" i="5" s="1"/>
  <c r="U89" i="5"/>
  <c r="AD89" i="5" s="1"/>
  <c r="U126" i="5"/>
  <c r="AD126" i="5" s="1"/>
  <c r="U132" i="5"/>
  <c r="AD132" i="5" s="1"/>
  <c r="U21" i="5"/>
  <c r="U173" i="5"/>
  <c r="AD173" i="5" s="1"/>
  <c r="U202" i="5"/>
  <c r="U116" i="5"/>
  <c r="U255" i="5"/>
  <c r="U130" i="5"/>
  <c r="AD130" i="5" s="1"/>
  <c r="U133" i="5"/>
  <c r="AD133" i="5" s="1"/>
  <c r="U125" i="5"/>
  <c r="AD125" i="5" s="1"/>
  <c r="U176" i="5"/>
  <c r="U182" i="5"/>
  <c r="U189" i="5"/>
  <c r="AD189" i="5" s="1"/>
  <c r="U195" i="5"/>
  <c r="U211" i="5"/>
  <c r="AD211" i="5" s="1"/>
  <c r="U221" i="5"/>
  <c r="AD221" i="5" s="1"/>
  <c r="U10" i="5"/>
  <c r="AD10" i="5" s="1"/>
  <c r="U13" i="5"/>
  <c r="AD13" i="5" s="1"/>
  <c r="U151" i="5"/>
  <c r="U215" i="5"/>
  <c r="U222" i="5"/>
  <c r="AD222" i="5" s="1"/>
  <c r="U119" i="5"/>
  <c r="U107" i="5"/>
  <c r="U53" i="5"/>
  <c r="U23" i="5"/>
  <c r="AD23" i="5" s="1"/>
  <c r="U180" i="5"/>
  <c r="AD180" i="5" s="1"/>
  <c r="U188" i="5"/>
  <c r="U39" i="5"/>
  <c r="AD39" i="5" s="1"/>
  <c r="U65" i="5"/>
  <c r="U232" i="5"/>
  <c r="AD232" i="5" s="1"/>
  <c r="U241" i="5"/>
  <c r="U246" i="5"/>
  <c r="AD246" i="5" s="1"/>
  <c r="U224" i="5"/>
  <c r="U109" i="5"/>
  <c r="AD109" i="5" s="1"/>
  <c r="U118" i="5"/>
  <c r="AD118" i="5" s="1"/>
  <c r="U131" i="5"/>
  <c r="AD131" i="5" s="1"/>
  <c r="U134" i="5"/>
  <c r="AD134" i="5" s="1"/>
  <c r="U114" i="5"/>
  <c r="U8" i="5"/>
  <c r="AD8" i="5" s="1"/>
  <c r="U11" i="5"/>
  <c r="U220" i="5"/>
  <c r="U9" i="5"/>
  <c r="AD9" i="5" s="1"/>
  <c r="U12" i="5"/>
  <c r="U86" i="5"/>
  <c r="AD86" i="5" s="1"/>
  <c r="U244" i="5"/>
  <c r="AD244" i="5" s="1"/>
  <c r="U46" i="5"/>
  <c r="U93" i="5"/>
  <c r="U22" i="5"/>
  <c r="U27" i="5"/>
  <c r="AD27" i="5" s="1"/>
  <c r="U159" i="5"/>
  <c r="U190" i="5"/>
  <c r="AD190" i="5" s="1"/>
  <c r="U206" i="5"/>
  <c r="AD206" i="5" s="1"/>
  <c r="U231" i="5"/>
  <c r="U234" i="5"/>
  <c r="AD234" i="5" s="1"/>
  <c r="U245" i="5"/>
  <c r="AD245" i="5" s="1"/>
  <c r="U217" i="5"/>
  <c r="AD217" i="5" s="1"/>
  <c r="U191" i="5"/>
  <c r="AD191" i="5" s="1"/>
  <c r="U203" i="5"/>
  <c r="U208" i="5"/>
  <c r="U157" i="5"/>
  <c r="AI14" i="8"/>
  <c r="AE162" i="8"/>
  <c r="E162" i="8" s="1"/>
  <c r="S81" i="5"/>
  <c r="V81" i="5" s="1"/>
  <c r="E9" i="6"/>
  <c r="AE129" i="8"/>
  <c r="E129" i="8" s="1"/>
  <c r="F129" i="8"/>
  <c r="F207" i="8"/>
  <c r="AE207" i="8"/>
  <c r="E207" i="8" s="1"/>
  <c r="AI198" i="8"/>
  <c r="F198" i="8"/>
  <c r="AD301" i="5"/>
  <c r="AD393" i="5" s="1"/>
  <c r="AI154" i="8"/>
  <c r="AI170" i="8"/>
  <c r="AI162" i="8"/>
  <c r="F188" i="8"/>
  <c r="AE188" i="8"/>
  <c r="E188" i="8" s="1"/>
  <c r="AI130" i="8"/>
  <c r="AE170" i="8"/>
  <c r="E170" i="8" s="1"/>
  <c r="F147" i="8"/>
  <c r="AI147" i="8"/>
  <c r="AE130" i="8"/>
  <c r="E130" i="8" s="1"/>
  <c r="AI194" i="8"/>
  <c r="F154" i="8"/>
  <c r="AE194" i="8"/>
  <c r="E194" i="8" s="1"/>
  <c r="AI48" i="8"/>
  <c r="AE48" i="8"/>
  <c r="AJ48" i="8"/>
  <c r="F48" i="8" s="1"/>
  <c r="E8" i="6"/>
  <c r="AT253" i="8" l="1"/>
  <c r="AU251" i="8" s="1"/>
  <c r="Y297" i="5"/>
  <c r="AC398" i="5"/>
  <c r="AU163" i="8"/>
  <c r="AK163" i="8"/>
  <c r="G163" i="8" s="1"/>
  <c r="AB232" i="5"/>
  <c r="AB203" i="5"/>
  <c r="AB221" i="5"/>
  <c r="AB159" i="5"/>
  <c r="AB223" i="5"/>
  <c r="AB21" i="5"/>
  <c r="AB189" i="5"/>
  <c r="AB241" i="5"/>
  <c r="AB191" i="5"/>
  <c r="AB56" i="5"/>
  <c r="AB244" i="5"/>
  <c r="AB23" i="5"/>
  <c r="AB118" i="5"/>
  <c r="AB133" i="5"/>
  <c r="AB231" i="5"/>
  <c r="AB81" i="5"/>
  <c r="AB134" i="5"/>
  <c r="AB234" i="5"/>
  <c r="AB180" i="5"/>
  <c r="AB222" i="5"/>
  <c r="AB89" i="5"/>
  <c r="AB86" i="5"/>
  <c r="AB93" i="5"/>
  <c r="AB173" i="5"/>
  <c r="AB38" i="5"/>
  <c r="AB39" i="5"/>
  <c r="AB217" i="5"/>
  <c r="AB109" i="5"/>
  <c r="AB188" i="5"/>
  <c r="AB125" i="5"/>
  <c r="AB27" i="5"/>
  <c r="AB132" i="5"/>
  <c r="AB246" i="5"/>
  <c r="AB215" i="5"/>
  <c r="AB22" i="5"/>
  <c r="AB130" i="5"/>
  <c r="AB195" i="5"/>
  <c r="AB116" i="5"/>
  <c r="AB190" i="5"/>
  <c r="AB126" i="5"/>
  <c r="AB233" i="5"/>
  <c r="AB206" i="5"/>
  <c r="AB211" i="5"/>
  <c r="AB131" i="5"/>
  <c r="AB245" i="5"/>
  <c r="AB255" i="5"/>
  <c r="M388" i="5"/>
  <c r="M393" i="5" s="1"/>
  <c r="AI167" i="5"/>
  <c r="V167" i="5"/>
  <c r="AB167" i="5" s="1"/>
  <c r="N259" i="5"/>
  <c r="AF115" i="5" s="1"/>
  <c r="J551" i="5"/>
  <c r="V67" i="5"/>
  <c r="AB67" i="5" s="1"/>
  <c r="V24" i="5"/>
  <c r="AB24" i="5" s="1"/>
  <c r="V196" i="5"/>
  <c r="AB196" i="5" s="1"/>
  <c r="V46" i="5"/>
  <c r="AB46" i="5" s="1"/>
  <c r="V220" i="5"/>
  <c r="AB220" i="5" s="1"/>
  <c r="V238" i="5"/>
  <c r="AB238" i="5" s="1"/>
  <c r="V50" i="5"/>
  <c r="AB50" i="5" s="1"/>
  <c r="V119" i="5"/>
  <c r="AB119" i="5" s="1"/>
  <c r="V151" i="5"/>
  <c r="AB151" i="5" s="1"/>
  <c r="V53" i="5"/>
  <c r="AB53" i="5" s="1"/>
  <c r="V202" i="5"/>
  <c r="AB202" i="5" s="1"/>
  <c r="V182" i="5"/>
  <c r="AB182" i="5" s="1"/>
  <c r="V224" i="5"/>
  <c r="AB224" i="5" s="1"/>
  <c r="V107" i="5"/>
  <c r="AB107" i="5" s="1"/>
  <c r="V158" i="5"/>
  <c r="AB158" i="5" s="1"/>
  <c r="V64" i="5"/>
  <c r="AB64" i="5" s="1"/>
  <c r="V137" i="5"/>
  <c r="AB137" i="5" s="1"/>
  <c r="V157" i="5"/>
  <c r="AB157" i="5" s="1"/>
  <c r="V65" i="5"/>
  <c r="AB65" i="5" s="1"/>
  <c r="V108" i="5"/>
  <c r="AB108" i="5" s="1"/>
  <c r="V267" i="5"/>
  <c r="V208" i="5"/>
  <c r="AB208" i="5" s="1"/>
  <c r="V163" i="5"/>
  <c r="AB163" i="5" s="1"/>
  <c r="V16" i="5"/>
  <c r="V213" i="5"/>
  <c r="AB213" i="5" s="1"/>
  <c r="V17" i="5"/>
  <c r="AB17" i="5" s="1"/>
  <c r="V69" i="5"/>
  <c r="AB69" i="5" s="1"/>
  <c r="V114" i="5"/>
  <c r="AB114" i="5" s="1"/>
  <c r="V143" i="5"/>
  <c r="AB143" i="5" s="1"/>
  <c r="V51" i="5"/>
  <c r="AB51" i="5" s="1"/>
  <c r="V174" i="5"/>
  <c r="AB174" i="5" s="1"/>
  <c r="AH27" i="8"/>
  <c r="AC27" i="8"/>
  <c r="AD27" i="8" s="1"/>
  <c r="AH12" i="8"/>
  <c r="AG12" i="8"/>
  <c r="H12" i="8" s="1"/>
  <c r="AD12" i="8"/>
  <c r="AB10" i="5"/>
  <c r="U81" i="5"/>
  <c r="AD81" i="5" s="1"/>
  <c r="AB9" i="5"/>
  <c r="AB13" i="5"/>
  <c r="AB11" i="5"/>
  <c r="AB8" i="5"/>
  <c r="AB12" i="5"/>
  <c r="AD220" i="5"/>
  <c r="AD114" i="5"/>
  <c r="AD163" i="5"/>
  <c r="AD151" i="5"/>
  <c r="I276" i="4"/>
  <c r="AE158" i="8"/>
  <c r="E158" i="8" s="1"/>
  <c r="F158" i="8"/>
  <c r="AI158" i="8"/>
  <c r="AD255" i="5"/>
  <c r="AD69" i="5"/>
  <c r="AD116" i="5"/>
  <c r="AD196" i="5"/>
  <c r="AD24" i="5"/>
  <c r="AD202" i="5"/>
  <c r="AD208" i="5"/>
  <c r="AD53" i="5"/>
  <c r="AD195" i="5"/>
  <c r="AD46" i="5"/>
  <c r="AD108" i="5"/>
  <c r="AD182" i="5"/>
  <c r="AD176" i="5"/>
  <c r="AD107" i="5"/>
  <c r="AD119" i="5"/>
  <c r="F8" i="6"/>
  <c r="AD65" i="5"/>
  <c r="AD241" i="5"/>
  <c r="AD224" i="5"/>
  <c r="AD157" i="5"/>
  <c r="AD21" i="5"/>
  <c r="AD159" i="5"/>
  <c r="AD188" i="5"/>
  <c r="AD215" i="5"/>
  <c r="AD203" i="5"/>
  <c r="AD11" i="5"/>
  <c r="AD22" i="5"/>
  <c r="AD12" i="5"/>
  <c r="AD231" i="5"/>
  <c r="AD93" i="5"/>
  <c r="AU225" i="8" l="1"/>
  <c r="AU226" i="8"/>
  <c r="AU238" i="8"/>
  <c r="AU236" i="8"/>
  <c r="AU232" i="8"/>
  <c r="AU240" i="8"/>
  <c r="AU239" i="8"/>
  <c r="AU241" i="8"/>
  <c r="AU235" i="8"/>
  <c r="AU242" i="8"/>
  <c r="AU233" i="8"/>
  <c r="AU227" i="8"/>
  <c r="AU245" i="8"/>
  <c r="AU229" i="8"/>
  <c r="AU228" i="8"/>
  <c r="AU246" i="8"/>
  <c r="AU234" i="8"/>
  <c r="AU244" i="8"/>
  <c r="AU231" i="8"/>
  <c r="AU247" i="8"/>
  <c r="AU230" i="8"/>
  <c r="AU249" i="8"/>
  <c r="AU237" i="8"/>
  <c r="AU243" i="8"/>
  <c r="AU248" i="8"/>
  <c r="AU250" i="8"/>
  <c r="AF175" i="5"/>
  <c r="AF166" i="5"/>
  <c r="AF212" i="5"/>
  <c r="AF6" i="5"/>
  <c r="AF124" i="5"/>
  <c r="AF256" i="5"/>
  <c r="AF19" i="5"/>
  <c r="AF237" i="5"/>
  <c r="AF192" i="5"/>
  <c r="AF193" i="5"/>
  <c r="AF205" i="5"/>
  <c r="AF303" i="5"/>
  <c r="AF254" i="5"/>
  <c r="AF52" i="5"/>
  <c r="AF168" i="5"/>
  <c r="AF92" i="5"/>
  <c r="AF305" i="5"/>
  <c r="AF76" i="5"/>
  <c r="AE398" i="5"/>
  <c r="AF292" i="5"/>
  <c r="AF228" i="5"/>
  <c r="AF162" i="5"/>
  <c r="AF54" i="5"/>
  <c r="AE400" i="5"/>
  <c r="AE399" i="5"/>
  <c r="I27" i="8"/>
  <c r="AF82" i="5"/>
  <c r="AF68" i="5"/>
  <c r="AF91" i="5"/>
  <c r="AF146" i="5"/>
  <c r="AF58" i="5"/>
  <c r="AF57" i="5"/>
  <c r="AF214" i="5"/>
  <c r="AF219" i="5"/>
  <c r="AF290" i="5"/>
  <c r="AF279" i="5"/>
  <c r="AF145" i="5"/>
  <c r="AF15" i="5"/>
  <c r="J556" i="5"/>
  <c r="J557" i="5" s="1"/>
  <c r="S403" i="5" s="1"/>
  <c r="J562" i="5"/>
  <c r="AF230" i="5"/>
  <c r="AF281" i="5"/>
  <c r="AF44" i="5"/>
  <c r="AF75" i="5"/>
  <c r="AF106" i="5"/>
  <c r="AF85" i="5"/>
  <c r="AF153" i="5"/>
  <c r="AF28" i="5"/>
  <c r="AF161" i="5"/>
  <c r="AF262" i="5"/>
  <c r="AB267" i="5"/>
  <c r="Y267" i="5"/>
  <c r="AF140" i="5"/>
  <c r="AF144" i="5"/>
  <c r="AF302" i="5"/>
  <c r="AF306" i="5"/>
  <c r="AF178" i="5"/>
  <c r="AF274" i="5"/>
  <c r="AF37" i="5"/>
  <c r="AF251" i="5"/>
  <c r="AF154" i="5"/>
  <c r="AF40" i="5"/>
  <c r="AF250" i="5"/>
  <c r="Y324" i="5"/>
  <c r="Y308" i="5"/>
  <c r="AF177" i="5"/>
  <c r="AF243" i="5"/>
  <c r="AF41" i="5"/>
  <c r="AF113" i="5"/>
  <c r="AF278" i="5"/>
  <c r="AF227" i="5"/>
  <c r="AF248" i="5"/>
  <c r="AF110" i="5"/>
  <c r="AF141" i="5"/>
  <c r="AF7" i="5"/>
  <c r="AF35" i="5"/>
  <c r="AF123" i="5"/>
  <c r="AF276" i="5"/>
  <c r="AF49" i="5"/>
  <c r="AF293" i="5"/>
  <c r="AF74" i="5"/>
  <c r="AF72" i="5"/>
  <c r="AF179" i="5"/>
  <c r="AF73" i="5"/>
  <c r="AF147" i="5"/>
  <c r="T388" i="5"/>
  <c r="Q388" i="5" s="1"/>
  <c r="Q390" i="5" s="1"/>
  <c r="AF165" i="5"/>
  <c r="AF300" i="5"/>
  <c r="AF210" i="5"/>
  <c r="AF83" i="5"/>
  <c r="AF70" i="5"/>
  <c r="AF184" i="5"/>
  <c r="AF264" i="5"/>
  <c r="AF169" i="5"/>
  <c r="AF117" i="5"/>
  <c r="AF247" i="5"/>
  <c r="AF61" i="5"/>
  <c r="AF32" i="5"/>
  <c r="AF152" i="5"/>
  <c r="AF186" i="5"/>
  <c r="AF31" i="5"/>
  <c r="AF167" i="5"/>
  <c r="AF34" i="5"/>
  <c r="AF183" i="5"/>
  <c r="AF88" i="5"/>
  <c r="AF30" i="5"/>
  <c r="AF87" i="5"/>
  <c r="AF268" i="5"/>
  <c r="AF29" i="5"/>
  <c r="AF63" i="5"/>
  <c r="AF198" i="5"/>
  <c r="AF187" i="5"/>
  <c r="AF226" i="5"/>
  <c r="AF149" i="5"/>
  <c r="AF277" i="5"/>
  <c r="AF42" i="5"/>
  <c r="AF14" i="5"/>
  <c r="AF204" i="5"/>
  <c r="AF121" i="5"/>
  <c r="AF18" i="5"/>
  <c r="AF79" i="5"/>
  <c r="B2" i="13"/>
  <c r="AF199" i="5"/>
  <c r="AF62" i="5"/>
  <c r="T403" i="5"/>
  <c r="AF273" i="5"/>
  <c r="AF235" i="5"/>
  <c r="N393" i="5"/>
  <c r="AF265" i="5"/>
  <c r="AF172" i="5"/>
  <c r="AF280" i="5"/>
  <c r="AF120" i="5"/>
  <c r="AF155" i="5"/>
  <c r="AF33" i="5"/>
  <c r="AF43" i="5"/>
  <c r="AF136" i="5"/>
  <c r="AF218" i="5"/>
  <c r="AF59" i="5"/>
  <c r="AF60" i="5"/>
  <c r="AF84" i="5"/>
  <c r="AF148" i="5"/>
  <c r="AF104" i="5"/>
  <c r="AF275" i="5"/>
  <c r="AG27" i="8"/>
  <c r="H27" i="8" s="1"/>
  <c r="AF249" i="5"/>
  <c r="AF25" i="5"/>
  <c r="AF142" i="5"/>
  <c r="AF48" i="5"/>
  <c r="AF201" i="5"/>
  <c r="AF122" i="5"/>
  <c r="AF263" i="5"/>
  <c r="AF129" i="5"/>
  <c r="AF304" i="5"/>
  <c r="V176" i="5"/>
  <c r="AB176" i="5" s="1"/>
  <c r="AF207" i="5"/>
  <c r="AF171" i="5"/>
  <c r="AF55" i="5"/>
  <c r="AF112" i="5"/>
  <c r="AF209" i="5"/>
  <c r="AF80" i="5"/>
  <c r="AF139" i="5"/>
  <c r="AF200" i="5"/>
  <c r="AF138" i="5"/>
  <c r="AF240" i="5"/>
  <c r="AF26" i="5"/>
  <c r="AF185" i="5"/>
  <c r="AF216" i="5"/>
  <c r="AF90" i="5"/>
  <c r="AF242" i="5"/>
  <c r="AF291" i="5"/>
  <c r="AF164" i="5"/>
  <c r="AF105" i="5"/>
  <c r="AF36" i="5"/>
  <c r="AF111" i="5"/>
  <c r="AF299" i="5"/>
  <c r="AF119" i="5"/>
  <c r="AF181" i="5"/>
  <c r="AF24" i="5"/>
  <c r="AF182" i="5"/>
  <c r="AF176" i="5"/>
  <c r="AF45" i="5"/>
  <c r="AF194" i="5"/>
  <c r="AF160" i="5"/>
  <c r="AF135" i="5"/>
  <c r="AF128" i="5"/>
  <c r="AF5" i="5"/>
  <c r="AF156" i="5"/>
  <c r="AF229" i="5"/>
  <c r="AF266" i="5"/>
  <c r="AF252" i="5"/>
  <c r="AF77" i="5"/>
  <c r="AF78" i="5"/>
  <c r="AF225" i="5"/>
  <c r="AF170" i="5"/>
  <c r="AF20" i="5"/>
  <c r="AF47" i="5"/>
  <c r="AF67" i="5"/>
  <c r="AF71" i="5"/>
  <c r="AF158" i="5"/>
  <c r="AF51" i="5"/>
  <c r="AF143" i="5"/>
  <c r="AF238" i="5"/>
  <c r="AF127" i="5"/>
  <c r="AF16" i="5"/>
  <c r="AF64" i="5"/>
  <c r="AF267" i="5"/>
  <c r="AF289" i="5"/>
  <c r="AF239" i="5"/>
  <c r="AF197" i="5"/>
  <c r="AF253" i="5"/>
  <c r="AF17" i="5"/>
  <c r="AF50" i="5"/>
  <c r="AF213" i="5"/>
  <c r="AF150" i="5"/>
  <c r="AF66" i="5"/>
  <c r="AF100" i="5"/>
  <c r="AF95" i="5"/>
  <c r="AF103" i="5"/>
  <c r="AF101" i="5"/>
  <c r="AF97" i="5"/>
  <c r="AF99" i="5"/>
  <c r="AF96" i="5"/>
  <c r="AF102" i="5"/>
  <c r="AF174" i="5"/>
  <c r="AF94" i="5"/>
  <c r="AF137" i="5"/>
  <c r="AF98" i="5"/>
  <c r="AF301" i="5"/>
  <c r="AF236" i="5"/>
  <c r="AF163" i="5"/>
  <c r="AF244" i="5"/>
  <c r="AF108" i="5"/>
  <c r="AF107" i="5"/>
  <c r="AF46" i="5"/>
  <c r="AF53" i="5"/>
  <c r="AF133" i="5"/>
  <c r="AF221" i="5"/>
  <c r="AF38" i="5"/>
  <c r="AF65" i="5"/>
  <c r="AF9" i="5"/>
  <c r="AF231" i="5"/>
  <c r="AF195" i="5"/>
  <c r="AF11" i="5"/>
  <c r="AF189" i="5"/>
  <c r="AF211" i="5"/>
  <c r="AF208" i="5"/>
  <c r="AF203" i="5"/>
  <c r="AF245" i="5"/>
  <c r="AF157" i="5"/>
  <c r="AF118" i="5"/>
  <c r="AF222" i="5"/>
  <c r="AF131" i="5"/>
  <c r="AF217" i="5"/>
  <c r="AF125" i="5"/>
  <c r="AF86" i="5"/>
  <c r="AF134" i="5"/>
  <c r="AF159" i="5"/>
  <c r="AF56" i="5"/>
  <c r="AF23" i="5"/>
  <c r="AF114" i="5"/>
  <c r="AF132" i="5"/>
  <c r="AF39" i="5"/>
  <c r="AF10" i="5"/>
  <c r="AF255" i="5"/>
  <c r="AF224" i="5"/>
  <c r="AF109" i="5"/>
  <c r="AF12" i="5"/>
  <c r="AF234" i="5"/>
  <c r="AF27" i="5"/>
  <c r="AF21" i="5"/>
  <c r="AF69" i="5"/>
  <c r="AF220" i="5"/>
  <c r="AF241" i="5"/>
  <c r="AF215" i="5"/>
  <c r="AF8" i="5"/>
  <c r="AF206" i="5"/>
  <c r="AF246" i="5"/>
  <c r="AF13" i="5"/>
  <c r="AF191" i="5"/>
  <c r="AF190" i="5"/>
  <c r="AF188" i="5"/>
  <c r="AF232" i="5"/>
  <c r="AF223" i="5"/>
  <c r="AF151" i="5"/>
  <c r="AF180" i="5"/>
  <c r="AF116" i="5"/>
  <c r="AF202" i="5"/>
  <c r="AF130" i="5"/>
  <c r="AF126" i="5"/>
  <c r="AF93" i="5"/>
  <c r="AF89" i="5"/>
  <c r="AF22" i="5"/>
  <c r="AF173" i="5"/>
  <c r="AF81" i="5"/>
  <c r="AF233" i="5"/>
  <c r="AF196" i="5"/>
  <c r="U393" i="5"/>
  <c r="V78" i="5"/>
  <c r="AB78" i="5" s="1"/>
  <c r="AB16" i="5"/>
  <c r="AJ12" i="8"/>
  <c r="F12" i="8" s="1"/>
  <c r="AE12" i="8"/>
  <c r="E12" i="8" s="1"/>
  <c r="AI12" i="8"/>
  <c r="AJ27" i="8"/>
  <c r="F27" i="8" s="1"/>
  <c r="AI27" i="8"/>
  <c r="AE27" i="8"/>
  <c r="E27" i="8" s="1"/>
  <c r="C9" i="6"/>
  <c r="F9" i="6"/>
  <c r="AG115" i="5" l="1"/>
  <c r="AH115" i="5" s="1"/>
  <c r="AG166" i="5"/>
  <c r="AH166" i="5" s="1"/>
  <c r="AG175" i="5"/>
  <c r="AH175" i="5" s="1"/>
  <c r="AG6" i="5"/>
  <c r="AH6" i="5" s="1"/>
  <c r="AG212" i="5"/>
  <c r="AH212" i="5" s="1"/>
  <c r="AB393" i="5"/>
  <c r="S412" i="5" s="1"/>
  <c r="AG256" i="5"/>
  <c r="AH256" i="5" s="1"/>
  <c r="AG124" i="5"/>
  <c r="AH124" i="5" s="1"/>
  <c r="AG237" i="5"/>
  <c r="AH237" i="5" s="1"/>
  <c r="AG19" i="5"/>
  <c r="AH19" i="5" s="1"/>
  <c r="AG193" i="5"/>
  <c r="AH193" i="5" s="1"/>
  <c r="AG192" i="5"/>
  <c r="AH192" i="5" s="1"/>
  <c r="AG303" i="5"/>
  <c r="AH303" i="5" s="1"/>
  <c r="AG205" i="5"/>
  <c r="AH205" i="5" s="1"/>
  <c r="AG52" i="5"/>
  <c r="AH52" i="5" s="1"/>
  <c r="AG254" i="5"/>
  <c r="AH254" i="5" s="1"/>
  <c r="AG92" i="5"/>
  <c r="AH92" i="5" s="1"/>
  <c r="AG168" i="5"/>
  <c r="AH168" i="5" s="1"/>
  <c r="AG76" i="5"/>
  <c r="AH76" i="5" s="1"/>
  <c r="AG305" i="5"/>
  <c r="AH305" i="5" s="1"/>
  <c r="AG228" i="5"/>
  <c r="AH228" i="5" s="1"/>
  <c r="AG292" i="5"/>
  <c r="AH292" i="5" s="1"/>
  <c r="AG54" i="5"/>
  <c r="AH54" i="5" s="1"/>
  <c r="AG162" i="5"/>
  <c r="AH162" i="5" s="1"/>
  <c r="AG68" i="5"/>
  <c r="AH68" i="5" s="1"/>
  <c r="AG82" i="5"/>
  <c r="AH82" i="5" s="1"/>
  <c r="AG146" i="5"/>
  <c r="AH146" i="5" s="1"/>
  <c r="AG91" i="5"/>
  <c r="AH91" i="5" s="1"/>
  <c r="AG57" i="5"/>
  <c r="AH57" i="5" s="1"/>
  <c r="AG58" i="5"/>
  <c r="AH58" i="5" s="1"/>
  <c r="AG219" i="5"/>
  <c r="AH219" i="5" s="1"/>
  <c r="AG214" i="5"/>
  <c r="AH214" i="5" s="1"/>
  <c r="AG279" i="5"/>
  <c r="AH279" i="5" s="1"/>
  <c r="AG290" i="5"/>
  <c r="AH290" i="5" s="1"/>
  <c r="Y261" i="5"/>
  <c r="AL267" i="5"/>
  <c r="AG15" i="5"/>
  <c r="AH15" i="5" s="1"/>
  <c r="AG145" i="5"/>
  <c r="AH145" i="5" s="1"/>
  <c r="AG281" i="5"/>
  <c r="AH281" i="5" s="1"/>
  <c r="AG230" i="5"/>
  <c r="AH230" i="5" s="1"/>
  <c r="AG75" i="5"/>
  <c r="AH75" i="5" s="1"/>
  <c r="AG44" i="5"/>
  <c r="AH44" i="5" s="1"/>
  <c r="AG85" i="5"/>
  <c r="AH85" i="5" s="1"/>
  <c r="AG106" i="5"/>
  <c r="AH106" i="5" s="1"/>
  <c r="AG28" i="5"/>
  <c r="AH28" i="5" s="1"/>
  <c r="AG153" i="5"/>
  <c r="AH153" i="5" s="1"/>
  <c r="AG161" i="5"/>
  <c r="AH161" i="5" s="1"/>
  <c r="AG140" i="5"/>
  <c r="AH140" i="5" s="1"/>
  <c r="AG302" i="5"/>
  <c r="AH302" i="5" s="1"/>
  <c r="AG144" i="5"/>
  <c r="AH144" i="5" s="1"/>
  <c r="AG178" i="5"/>
  <c r="AH178" i="5" s="1"/>
  <c r="AG306" i="5"/>
  <c r="AH306" i="5" s="1"/>
  <c r="AG37" i="5"/>
  <c r="AH37" i="5" s="1"/>
  <c r="AG274" i="5"/>
  <c r="AH274" i="5" s="1"/>
  <c r="AG154" i="5"/>
  <c r="AH154" i="5" s="1"/>
  <c r="AG251" i="5"/>
  <c r="AH251" i="5" s="1"/>
  <c r="AG250" i="5"/>
  <c r="AH250" i="5" s="1"/>
  <c r="Y363" i="5"/>
  <c r="AG40" i="5"/>
  <c r="AH40" i="5" s="1"/>
  <c r="AG177" i="5"/>
  <c r="AH177" i="5" s="1"/>
  <c r="AG243" i="5"/>
  <c r="AH243" i="5" s="1"/>
  <c r="AG113" i="5"/>
  <c r="AH113" i="5" s="1"/>
  <c r="AG41" i="5"/>
  <c r="AH41" i="5" s="1"/>
  <c r="AG227" i="5"/>
  <c r="AH227" i="5" s="1"/>
  <c r="AG278" i="5"/>
  <c r="AH278" i="5" s="1"/>
  <c r="AG110" i="5"/>
  <c r="AH110" i="5" s="1"/>
  <c r="AG248" i="5"/>
  <c r="AH248" i="5" s="1"/>
  <c r="AG7" i="5"/>
  <c r="AH7" i="5" s="1"/>
  <c r="AG141" i="5"/>
  <c r="AH141" i="5" s="1"/>
  <c r="AG123" i="5"/>
  <c r="AH123" i="5" s="1"/>
  <c r="AG35" i="5"/>
  <c r="AH35" i="5" s="1"/>
  <c r="AG276" i="5"/>
  <c r="AH276" i="5" s="1"/>
  <c r="AG293" i="5"/>
  <c r="AH293" i="5" s="1"/>
  <c r="AG49" i="5"/>
  <c r="AH49" i="5" s="1"/>
  <c r="AG72" i="5"/>
  <c r="AH72" i="5" s="1"/>
  <c r="AG74" i="5"/>
  <c r="AH74" i="5" s="1"/>
  <c r="AG73" i="5"/>
  <c r="AH73" i="5" s="1"/>
  <c r="AG179" i="5"/>
  <c r="AH179" i="5" s="1"/>
  <c r="AG147" i="5"/>
  <c r="AH147" i="5" s="1"/>
  <c r="AG165" i="5"/>
  <c r="AH165" i="5" s="1"/>
  <c r="AG300" i="5"/>
  <c r="AH300" i="5" s="1"/>
  <c r="AG210" i="5"/>
  <c r="AH210" i="5" s="1"/>
  <c r="AG70" i="5"/>
  <c r="AH70" i="5" s="1"/>
  <c r="AG83" i="5"/>
  <c r="AH83" i="5" s="1"/>
  <c r="AG264" i="5"/>
  <c r="AH264" i="5" s="1"/>
  <c r="AG184" i="5"/>
  <c r="AG169" i="5"/>
  <c r="AH169" i="5" s="1"/>
  <c r="AG117" i="5"/>
  <c r="AH117" i="5" s="1"/>
  <c r="AG61" i="5"/>
  <c r="AH61" i="5" s="1"/>
  <c r="AG247" i="5"/>
  <c r="AH247" i="5" s="1"/>
  <c r="AG152" i="5"/>
  <c r="AH152" i="5" s="1"/>
  <c r="AG32" i="5"/>
  <c r="AH32" i="5" s="1"/>
  <c r="AG31" i="5"/>
  <c r="AH31" i="5" s="1"/>
  <c r="AG186" i="5"/>
  <c r="AH186" i="5" s="1"/>
  <c r="AG167" i="5"/>
  <c r="AH167" i="5" s="1"/>
  <c r="AG183" i="5"/>
  <c r="AH183" i="5" s="1"/>
  <c r="AG34" i="5"/>
  <c r="AH34" i="5" s="1"/>
  <c r="AG30" i="5"/>
  <c r="AH30" i="5" s="1"/>
  <c r="AG88" i="5"/>
  <c r="AH88" i="5" s="1"/>
  <c r="AG87" i="5"/>
  <c r="AH87" i="5" s="1"/>
  <c r="AG29" i="5"/>
  <c r="AH29" i="5" s="1"/>
  <c r="AG268" i="5"/>
  <c r="AH268" i="5" s="1"/>
  <c r="AG198" i="5"/>
  <c r="AH198" i="5" s="1"/>
  <c r="AG63" i="5"/>
  <c r="AH63" i="5" s="1"/>
  <c r="AG226" i="5"/>
  <c r="AH226" i="5" s="1"/>
  <c r="AG187" i="5"/>
  <c r="AH187" i="5" s="1"/>
  <c r="AG277" i="5"/>
  <c r="AH277" i="5" s="1"/>
  <c r="AG149" i="5"/>
  <c r="AH149" i="5" s="1"/>
  <c r="AG14" i="5"/>
  <c r="AH14" i="5" s="1"/>
  <c r="AG42" i="5"/>
  <c r="AH42" i="5" s="1"/>
  <c r="AG204" i="5"/>
  <c r="AH204" i="5" s="1"/>
  <c r="AG121" i="5"/>
  <c r="AH121" i="5" s="1"/>
  <c r="AG79" i="5"/>
  <c r="AH79" i="5" s="1"/>
  <c r="AG18" i="5"/>
  <c r="AH18" i="5" s="1"/>
  <c r="AG62" i="5"/>
  <c r="AH62" i="5" s="1"/>
  <c r="AG199" i="5"/>
  <c r="AH199" i="5" s="1"/>
  <c r="AG273" i="5"/>
  <c r="AH273" i="5" s="1"/>
  <c r="AG235" i="5"/>
  <c r="AH235" i="5" s="1"/>
  <c r="V393" i="5"/>
  <c r="AG265" i="5"/>
  <c r="AH265" i="5" s="1"/>
  <c r="AG172" i="5"/>
  <c r="AH172" i="5" s="1"/>
  <c r="AG280" i="5"/>
  <c r="AH280" i="5" s="1"/>
  <c r="AG120" i="5"/>
  <c r="AH120" i="5" s="1"/>
  <c r="AG155" i="5"/>
  <c r="AH155" i="5" s="1"/>
  <c r="AG33" i="5"/>
  <c r="AH33" i="5" s="1"/>
  <c r="AG136" i="5"/>
  <c r="AH136" i="5" s="1"/>
  <c r="AG43" i="5"/>
  <c r="AH43" i="5" s="1"/>
  <c r="R399" i="5"/>
  <c r="R400" i="5" s="1"/>
  <c r="AG218" i="5"/>
  <c r="AH218" i="5" s="1"/>
  <c r="AG59" i="5"/>
  <c r="AH59" i="5" s="1"/>
  <c r="AG21" i="5"/>
  <c r="AG39" i="5"/>
  <c r="AG53" i="5"/>
  <c r="AG77" i="5"/>
  <c r="AG102" i="5"/>
  <c r="AG118" i="5"/>
  <c r="AG130" i="5"/>
  <c r="AG143" i="5"/>
  <c r="AG160" i="5"/>
  <c r="AG176" i="5"/>
  <c r="AG195" i="5"/>
  <c r="AG208" i="5"/>
  <c r="AG223" i="5"/>
  <c r="AG236" i="5"/>
  <c r="AG249" i="5"/>
  <c r="AG5" i="5"/>
  <c r="AG22" i="5"/>
  <c r="AG78" i="5"/>
  <c r="AG90" i="5"/>
  <c r="AG103" i="5"/>
  <c r="AG119" i="5"/>
  <c r="AG131" i="5"/>
  <c r="AG180" i="5"/>
  <c r="AG196" i="5"/>
  <c r="AG209" i="5"/>
  <c r="AG238" i="5"/>
  <c r="AG252" i="5"/>
  <c r="AG8" i="5"/>
  <c r="AG23" i="5"/>
  <c r="AG55" i="5"/>
  <c r="AG80" i="5"/>
  <c r="AG104" i="5"/>
  <c r="AG132" i="5"/>
  <c r="AG148" i="5"/>
  <c r="AG163" i="5"/>
  <c r="AG181" i="5"/>
  <c r="AG224" i="5"/>
  <c r="AG239" i="5"/>
  <c r="AG253" i="5"/>
  <c r="AG9" i="5"/>
  <c r="AG24" i="5"/>
  <c r="AG56" i="5"/>
  <c r="AG304" i="5"/>
  <c r="AG93" i="5"/>
  <c r="AG105" i="5"/>
  <c r="AG122" i="5"/>
  <c r="AG133" i="5"/>
  <c r="AG150" i="5"/>
  <c r="AG164" i="5"/>
  <c r="AG197" i="5"/>
  <c r="AG211" i="5"/>
  <c r="AG255" i="5"/>
  <c r="AG10" i="5"/>
  <c r="AG25" i="5"/>
  <c r="AG45" i="5"/>
  <c r="AG60" i="5"/>
  <c r="AG81" i="5"/>
  <c r="AG94" i="5"/>
  <c r="AG267" i="5"/>
  <c r="AG134" i="5"/>
  <c r="AG182" i="5"/>
  <c r="AG213" i="5"/>
  <c r="AG225" i="5"/>
  <c r="AG240" i="5"/>
  <c r="AG11" i="5"/>
  <c r="AG26" i="5"/>
  <c r="AG46" i="5"/>
  <c r="AG64" i="5"/>
  <c r="AG266" i="5"/>
  <c r="AG95" i="5"/>
  <c r="AG107" i="5"/>
  <c r="AG125" i="5"/>
  <c r="AG135" i="5"/>
  <c r="AG151" i="5"/>
  <c r="AG185" i="5"/>
  <c r="AG200" i="5"/>
  <c r="AG215" i="5"/>
  <c r="AG291" i="5"/>
  <c r="AG12" i="5"/>
  <c r="AG27" i="5"/>
  <c r="AG47" i="5"/>
  <c r="AG65" i="5"/>
  <c r="AG84" i="5"/>
  <c r="AG96" i="5"/>
  <c r="AG108" i="5"/>
  <c r="AG126" i="5"/>
  <c r="AG137" i="5"/>
  <c r="AG188" i="5"/>
  <c r="AG201" i="5"/>
  <c r="AG216" i="5"/>
  <c r="AG229" i="5"/>
  <c r="AG241" i="5"/>
  <c r="AG13" i="5"/>
  <c r="AG48" i="5"/>
  <c r="AG66" i="5"/>
  <c r="AG86" i="5"/>
  <c r="AG97" i="5"/>
  <c r="AG109" i="5"/>
  <c r="AG138" i="5"/>
  <c r="AG170" i="5"/>
  <c r="AG189" i="5"/>
  <c r="AG202" i="5"/>
  <c r="AG299" i="5"/>
  <c r="AG16" i="5"/>
  <c r="AG262" i="5"/>
  <c r="AG67" i="5"/>
  <c r="AG89" i="5"/>
  <c r="AG98" i="5"/>
  <c r="AG111" i="5"/>
  <c r="AG127" i="5"/>
  <c r="AG139" i="5"/>
  <c r="AG156" i="5"/>
  <c r="AG171" i="5"/>
  <c r="AG190" i="5"/>
  <c r="AG203" i="5"/>
  <c r="AG217" i="5"/>
  <c r="AG231" i="5"/>
  <c r="AG242" i="5"/>
  <c r="AG17" i="5"/>
  <c r="AG50" i="5"/>
  <c r="AG99" i="5"/>
  <c r="AG112" i="5"/>
  <c r="AG128" i="5"/>
  <c r="AG142" i="5"/>
  <c r="AG157" i="5"/>
  <c r="AG173" i="5"/>
  <c r="AG191" i="5"/>
  <c r="AG220" i="5"/>
  <c r="AG232" i="5"/>
  <c r="AG244" i="5"/>
  <c r="AG263" i="5"/>
  <c r="AG36" i="5"/>
  <c r="AG69" i="5"/>
  <c r="AG301" i="5"/>
  <c r="AG100" i="5"/>
  <c r="AG114" i="5"/>
  <c r="AG129" i="5"/>
  <c r="AG158" i="5"/>
  <c r="AG194" i="5"/>
  <c r="AG206" i="5"/>
  <c r="AG221" i="5"/>
  <c r="AG233" i="5"/>
  <c r="AG245" i="5"/>
  <c r="AG20" i="5"/>
  <c r="AG38" i="5"/>
  <c r="AG51" i="5"/>
  <c r="AG71" i="5"/>
  <c r="AG289" i="5"/>
  <c r="AG101" i="5"/>
  <c r="AG116" i="5"/>
  <c r="AG275" i="5"/>
  <c r="AG159" i="5"/>
  <c r="AG174" i="5"/>
  <c r="AG207" i="5"/>
  <c r="AG222" i="5"/>
  <c r="AG234" i="5"/>
  <c r="AG246" i="5"/>
  <c r="Y355" i="5"/>
  <c r="Y373" i="5" s="1"/>
  <c r="Y287" i="5" s="1"/>
  <c r="AH184" i="5" l="1"/>
  <c r="R393" i="5"/>
  <c r="L5" i="6"/>
  <c r="L18" i="6" s="1"/>
  <c r="E5" i="6" l="1"/>
  <c r="E18" i="6" l="1"/>
  <c r="G5" i="6" l="1"/>
  <c r="H8" i="6" l="1"/>
  <c r="Y334" i="5" l="1"/>
  <c r="Y271" i="5" s="1"/>
  <c r="D5" i="6" l="1"/>
  <c r="Y380" i="5" l="1"/>
  <c r="N5" i="6" s="1"/>
  <c r="C5" i="6"/>
  <c r="Y346" i="5"/>
  <c r="F5" i="6" s="1"/>
  <c r="F18" i="6" s="1"/>
  <c r="D18" i="6"/>
  <c r="H5" i="6" l="1"/>
  <c r="H18" i="6" l="1"/>
  <c r="I8" i="6" l="1"/>
  <c r="I9" i="6" l="1"/>
  <c r="O9" i="6" s="1"/>
  <c r="U407" i="5"/>
  <c r="I5" i="6" l="1"/>
  <c r="I18" i="6" s="1"/>
  <c r="J5" i="6" l="1"/>
  <c r="J18" i="6" l="1"/>
  <c r="K5" i="6" l="1"/>
  <c r="K18" i="6" l="1"/>
  <c r="Y393" i="5" l="1"/>
  <c r="M5" i="6" l="1"/>
  <c r="O5" i="6" s="1"/>
  <c r="S397" i="5"/>
  <c r="M18" i="6" l="1"/>
  <c r="U397" i="5"/>
  <c r="S406" i="5"/>
  <c r="AH9" i="5" l="1"/>
  <c r="AH5" i="5"/>
  <c r="AH8" i="5" l="1"/>
  <c r="AH10" i="5" l="1"/>
  <c r="AH11" i="5"/>
  <c r="AH263" i="5" l="1"/>
  <c r="AH12" i="5"/>
  <c r="AH25" i="5" l="1"/>
  <c r="AH13" i="5"/>
  <c r="AH16" i="5" l="1"/>
  <c r="AH26" i="5" l="1"/>
  <c r="AH17" i="5"/>
  <c r="AH20" i="5" l="1"/>
  <c r="AH21" i="5" l="1"/>
  <c r="AH22" i="5" l="1"/>
  <c r="AH23" i="5" l="1"/>
  <c r="AH24" i="5" l="1"/>
  <c r="AH27" i="5" l="1"/>
  <c r="M23" i="4" l="1"/>
  <c r="C8" i="6" l="1"/>
  <c r="AH129" i="5" l="1"/>
  <c r="AH275" i="5"/>
  <c r="C18" i="6"/>
  <c r="C23" i="6" l="1"/>
  <c r="AH138" i="5" l="1"/>
  <c r="C28" i="6"/>
  <c r="D23" i="6"/>
  <c r="AH139" i="5" l="1"/>
  <c r="E23" i="6"/>
  <c r="D28" i="6"/>
  <c r="AH142" i="5" l="1"/>
  <c r="F23" i="6"/>
  <c r="E28" i="6"/>
  <c r="F28" i="6" l="1"/>
  <c r="AH137" i="5" l="1"/>
  <c r="AH135" i="5"/>
  <c r="AH134" i="5"/>
  <c r="AH133" i="5"/>
  <c r="AH132" i="5"/>
  <c r="AH131" i="5"/>
  <c r="AH130" i="5"/>
  <c r="AH128" i="5"/>
  <c r="AH127" i="5"/>
  <c r="AH39" i="5"/>
  <c r="AH38" i="5"/>
  <c r="AH36" i="5"/>
  <c r="AH240" i="5" l="1"/>
  <c r="AH291" i="5" l="1"/>
  <c r="AH241" i="5" l="1"/>
  <c r="AH242" i="5" l="1"/>
  <c r="AH244" i="5" l="1"/>
  <c r="AH245" i="5" l="1"/>
  <c r="AH246" i="5" l="1"/>
  <c r="AH255" i="5" l="1"/>
  <c r="AH253" i="5"/>
  <c r="AH252" i="5"/>
  <c r="AH249" i="5"/>
  <c r="AH301" i="5"/>
  <c r="AH67" i="5"/>
  <c r="AH105" i="5"/>
  <c r="AH102" i="5"/>
  <c r="AH45" i="5"/>
  <c r="AH66" i="5"/>
  <c r="AH46" i="5"/>
  <c r="AH94" i="5"/>
  <c r="AH119" i="5"/>
  <c r="AH90" i="5"/>
  <c r="AH93" i="5"/>
  <c r="AH125" i="5"/>
  <c r="AH71" i="5"/>
  <c r="AH95" i="5"/>
  <c r="AH126" i="5"/>
  <c r="AH51" i="5"/>
  <c r="AH114" i="5"/>
  <c r="AH98" i="5"/>
  <c r="AH108" i="5"/>
  <c r="AH101" i="5"/>
  <c r="AH69" i="5"/>
  <c r="AH267" i="5"/>
  <c r="AH50" i="5"/>
  <c r="AH78" i="5"/>
  <c r="AH112" i="5"/>
  <c r="AH53" i="5"/>
  <c r="AH97" i="5"/>
  <c r="AH86" i="5"/>
  <c r="AH99" i="5"/>
  <c r="AH109" i="5"/>
  <c r="AH107" i="5"/>
  <c r="AH116" i="5"/>
  <c r="AH96" i="5"/>
  <c r="AH266" i="5"/>
  <c r="AH64" i="5"/>
  <c r="AH89" i="5"/>
  <c r="AH100" i="5"/>
  <c r="AH118" i="5"/>
  <c r="AH111" i="5"/>
  <c r="AH122" i="5"/>
  <c r="AH103" i="5"/>
  <c r="AH104" i="5"/>
  <c r="AH289" i="5"/>
  <c r="AH81" i="5"/>
  <c r="AH84" i="5"/>
  <c r="AH77" i="5"/>
  <c r="AH304" i="5"/>
  <c r="AH80" i="5"/>
  <c r="AH56" i="5"/>
  <c r="AH65" i="5"/>
  <c r="AH60" i="5"/>
  <c r="AH48" i="5"/>
  <c r="AH262" i="5"/>
  <c r="AH55" i="5"/>
  <c r="AH47" i="5"/>
  <c r="AH209" i="5"/>
  <c r="AH217" i="5"/>
  <c r="AH181" i="5"/>
  <c r="AH200" i="5"/>
  <c r="AH202" i="5"/>
  <c r="AH233" i="5"/>
  <c r="AH159" i="5"/>
  <c r="AH196" i="5"/>
  <c r="AH232" i="5"/>
  <c r="AH176" i="5"/>
  <c r="AH160" i="5"/>
  <c r="AH299" i="5"/>
  <c r="AH143" i="5"/>
  <c r="AH188" i="5"/>
  <c r="AH221" i="5"/>
  <c r="AH215" i="5"/>
  <c r="AH189" i="5"/>
  <c r="AH225" i="5"/>
  <c r="AH211" i="5"/>
  <c r="AH151" i="5"/>
  <c r="AH182" i="5"/>
  <c r="AH216" i="5"/>
  <c r="AH180" i="5"/>
  <c r="AH156" i="5"/>
  <c r="AH201" i="5"/>
  <c r="AH173" i="5"/>
  <c r="AH238" i="5"/>
  <c r="AH206" i="5"/>
  <c r="AH185" i="5"/>
  <c r="AH231" i="5"/>
  <c r="AH224" i="5"/>
  <c r="AH229" i="5"/>
  <c r="AH208" i="5"/>
  <c r="AH170" i="5"/>
  <c r="AH163" i="5"/>
  <c r="AH148" i="5"/>
  <c r="AH197" i="5"/>
  <c r="AH191" i="5"/>
  <c r="AH190" i="5"/>
  <c r="AH213" i="5"/>
  <c r="AH220" i="5"/>
  <c r="AH239" i="5"/>
  <c r="AH157" i="5"/>
  <c r="AH236" i="5"/>
  <c r="AH223" i="5"/>
  <c r="AH234" i="5"/>
  <c r="AH203" i="5"/>
  <c r="AH150" i="5"/>
  <c r="AH222" i="5"/>
  <c r="AH195" i="5"/>
  <c r="AH171" i="5"/>
  <c r="AH158" i="5"/>
  <c r="AH194" i="5"/>
  <c r="AH174" i="5"/>
  <c r="AH207" i="5"/>
  <c r="AH164" i="5"/>
  <c r="AC31" i="8" l="1"/>
  <c r="M111" i="4"/>
  <c r="I31" i="8" l="1"/>
  <c r="AD31" i="8"/>
  <c r="AB211" i="8"/>
  <c r="AH31" i="8"/>
  <c r="Z31" i="8"/>
  <c r="G8" i="6"/>
  <c r="AG31" i="8" l="1"/>
  <c r="H31" i="8" s="1"/>
  <c r="AA31" i="8"/>
  <c r="AU31" i="8" s="1"/>
  <c r="AE31" i="8"/>
  <c r="E31" i="8" s="1"/>
  <c r="AI31" i="8"/>
  <c r="AJ31" i="8"/>
  <c r="F31" i="8" s="1"/>
  <c r="G18" i="6"/>
  <c r="AK31" i="8" l="1"/>
  <c r="G31" i="8" s="1"/>
  <c r="G23" i="6"/>
  <c r="H23" i="6" l="1"/>
  <c r="G28" i="6"/>
  <c r="I23" i="6" l="1"/>
  <c r="H28" i="6"/>
  <c r="I28" i="6" l="1"/>
  <c r="J23" i="6"/>
  <c r="K23" i="6" l="1"/>
  <c r="J28" i="6"/>
  <c r="K28" i="6" l="1"/>
  <c r="L23" i="6"/>
  <c r="M23" i="6" l="1"/>
  <c r="L28" i="6"/>
  <c r="M28" i="6" l="1"/>
  <c r="AG165" i="8" l="1"/>
  <c r="H165" i="8" s="1"/>
  <c r="AE165" i="8"/>
  <c r="E165" i="8" s="1"/>
  <c r="AI165" i="8"/>
  <c r="AA165" i="8"/>
  <c r="F165" i="8"/>
  <c r="AU165" i="8" l="1"/>
  <c r="AK165" i="8"/>
  <c r="G165" i="8" s="1"/>
  <c r="AE189" i="8"/>
  <c r="E189" i="8" s="1"/>
  <c r="AG189" i="8"/>
  <c r="H189" i="8" s="1"/>
  <c r="AI189" i="8"/>
  <c r="F189" i="8"/>
  <c r="AA189" i="8"/>
  <c r="F210" i="8"/>
  <c r="AE210" i="8"/>
  <c r="E210" i="8" s="1"/>
  <c r="AI210" i="8"/>
  <c r="AA210" i="8"/>
  <c r="AK210" i="8" s="1"/>
  <c r="AG210" i="8"/>
  <c r="H210" i="8" s="1"/>
  <c r="AU189" i="8" l="1"/>
  <c r="AK189" i="8"/>
  <c r="G189" i="8" s="1"/>
  <c r="G210" i="8"/>
  <c r="AU210" i="8"/>
  <c r="Z401" i="5"/>
  <c r="U408" i="5" s="1"/>
  <c r="M274" i="4"/>
  <c r="M276" i="4" s="1"/>
  <c r="D36" i="11" l="1"/>
  <c r="S20" i="6" s="1"/>
  <c r="H276" i="4" l="1"/>
  <c r="S407" i="5" s="1"/>
  <c r="S398" i="5" s="1"/>
  <c r="N8" i="6"/>
  <c r="O8" i="6" l="1"/>
  <c r="A20" i="11" s="1"/>
  <c r="A30" i="11" s="1"/>
  <c r="N18" i="6"/>
  <c r="S409" i="5"/>
  <c r="S415" i="5" s="1"/>
  <c r="U398" i="5"/>
  <c r="F30" i="11" l="1"/>
  <c r="A25" i="11"/>
  <c r="F25" i="11" s="1"/>
  <c r="S399" i="5"/>
  <c r="S400" i="5" s="1"/>
  <c r="U399" i="5"/>
  <c r="U400" i="5"/>
  <c r="O18" i="6"/>
  <c r="R13" i="6" s="1"/>
  <c r="N23" i="6"/>
  <c r="N28" i="6" s="1"/>
  <c r="A42" i="11" l="1"/>
  <c r="K25" i="11"/>
  <c r="M25" i="11" s="1"/>
  <c r="K30" i="11"/>
  <c r="M30" i="11" s="1"/>
  <c r="J35" i="11"/>
  <c r="D34" i="11"/>
  <c r="J34" i="11"/>
  <c r="D35" i="11" l="1"/>
  <c r="J36" i="11"/>
  <c r="M32" i="11"/>
  <c r="S19" i="6" l="1"/>
  <c r="S13" i="6" s="1"/>
  <c r="F35" i="11"/>
  <c r="AA1" i="5" s="1"/>
  <c r="D37" i="11"/>
  <c r="Z400" i="5"/>
  <c r="Z403" i="5" s="1"/>
  <c r="J38" i="11"/>
  <c r="J40" i="11" s="1"/>
  <c r="Z115" i="5" l="1"/>
  <c r="AC115" i="5"/>
  <c r="Z166" i="5"/>
  <c r="AC166" i="5"/>
  <c r="Z175" i="5"/>
  <c r="AC175" i="5"/>
  <c r="Z6" i="5"/>
  <c r="AC6" i="5"/>
  <c r="Z212" i="5"/>
  <c r="AC212" i="5"/>
  <c r="Z256" i="5"/>
  <c r="AC256" i="5"/>
  <c r="Z124" i="5"/>
  <c r="AC124" i="5"/>
  <c r="Z237" i="5"/>
  <c r="AC237" i="5"/>
  <c r="Z19" i="5"/>
  <c r="AC19" i="5"/>
  <c r="Z193" i="5"/>
  <c r="AC193" i="5"/>
  <c r="Z192" i="5"/>
  <c r="AC192" i="5"/>
  <c r="Z303" i="5"/>
  <c r="AC303" i="5"/>
  <c r="Z205" i="5"/>
  <c r="AC205" i="5"/>
  <c r="Z52" i="5"/>
  <c r="AC52" i="5"/>
  <c r="Z254" i="5"/>
  <c r="AC254" i="5"/>
  <c r="Z92" i="5"/>
  <c r="AC92" i="5"/>
  <c r="S22" i="6"/>
  <c r="Z168" i="5"/>
  <c r="AC168" i="5"/>
  <c r="Z76" i="5"/>
  <c r="AC76" i="5"/>
  <c r="Z305" i="5"/>
  <c r="AC305" i="5"/>
  <c r="Z54" i="5"/>
  <c r="Z162" i="5"/>
  <c r="Z68" i="5"/>
  <c r="Z228" i="5"/>
  <c r="Z91" i="5"/>
  <c r="Z82" i="5"/>
  <c r="Z219" i="5"/>
  <c r="Z58" i="5"/>
  <c r="Z214" i="5"/>
  <c r="Z146" i="5"/>
  <c r="Z57" i="5"/>
  <c r="AC54" i="5"/>
  <c r="AC292" i="5"/>
  <c r="Z15" i="5"/>
  <c r="Z145" i="5"/>
  <c r="Z230" i="5"/>
  <c r="Z292" i="5"/>
  <c r="Z279" i="5"/>
  <c r="AC91" i="5"/>
  <c r="AC82" i="5"/>
  <c r="AC279" i="5"/>
  <c r="AC219" i="5"/>
  <c r="AC15" i="5"/>
  <c r="AP122" i="8" s="1"/>
  <c r="Z85" i="5"/>
  <c r="Z75" i="5"/>
  <c r="Z161" i="5"/>
  <c r="Z302" i="5"/>
  <c r="Z28" i="5"/>
  <c r="Z140" i="5"/>
  <c r="Z106" i="5"/>
  <c r="Z153" i="5"/>
  <c r="Z44" i="5"/>
  <c r="Z144" i="5"/>
  <c r="AC153" i="5"/>
  <c r="AP51" i="8" s="1"/>
  <c r="AC75" i="5"/>
  <c r="AP65" i="8" s="1"/>
  <c r="AC106" i="5"/>
  <c r="AP142" i="8" s="1"/>
  <c r="Z178" i="5"/>
  <c r="Z306" i="5"/>
  <c r="Z37" i="5"/>
  <c r="Z154" i="5"/>
  <c r="AC154" i="5"/>
  <c r="AP64" i="8" s="1"/>
  <c r="AC37" i="5"/>
  <c r="AP119" i="8" s="1"/>
  <c r="AC145" i="5"/>
  <c r="AC228" i="5"/>
  <c r="AC28" i="5"/>
  <c r="AP127" i="8" s="1"/>
  <c r="AC161" i="5"/>
  <c r="AP99" i="8" s="1"/>
  <c r="AC214" i="5"/>
  <c r="AC281" i="5"/>
  <c r="AC144" i="5"/>
  <c r="AC306" i="5"/>
  <c r="AC230" i="5"/>
  <c r="AP86" i="8" s="1"/>
  <c r="AC85" i="5"/>
  <c r="AP45" i="8" s="1"/>
  <c r="AC146" i="5"/>
  <c r="AC58" i="5"/>
  <c r="AC178" i="5"/>
  <c r="AP183" i="8" s="1"/>
  <c r="AC44" i="5"/>
  <c r="AC57" i="5"/>
  <c r="AC140" i="5"/>
  <c r="AP113" i="8" s="1"/>
  <c r="AC162" i="5"/>
  <c r="AC302" i="5"/>
  <c r="AC68" i="5"/>
  <c r="Z281" i="5"/>
  <c r="AM281" i="5" s="1"/>
  <c r="AN281" i="5" s="1"/>
  <c r="AC274" i="5"/>
  <c r="Z290" i="5"/>
  <c r="AC290" i="5"/>
  <c r="Z274" i="5"/>
  <c r="AM274" i="5" s="1"/>
  <c r="AN274" i="5" s="1"/>
  <c r="Z251" i="5"/>
  <c r="AC251" i="5"/>
  <c r="AP174" i="8" s="1"/>
  <c r="Z250" i="5"/>
  <c r="AC250" i="5"/>
  <c r="AP151" i="8" s="1"/>
  <c r="Z300" i="5"/>
  <c r="Z201" i="5"/>
  <c r="Z190" i="5"/>
  <c r="Z94" i="5"/>
  <c r="Z88" i="5"/>
  <c r="Z238" i="5"/>
  <c r="Z41" i="5"/>
  <c r="Z266" i="5"/>
  <c r="AM266" i="5" s="1"/>
  <c r="AN266" i="5" s="1"/>
  <c r="Z179" i="5"/>
  <c r="AC8" i="5"/>
  <c r="AC22" i="5"/>
  <c r="AC66" i="5"/>
  <c r="AP59" i="8" s="1"/>
  <c r="AC33" i="5"/>
  <c r="AC150" i="5"/>
  <c r="AP155" i="8" s="1"/>
  <c r="AC122" i="5"/>
  <c r="AP200" i="8" s="1"/>
  <c r="AC190" i="5"/>
  <c r="AC276" i="5"/>
  <c r="AC217" i="5"/>
  <c r="AP165" i="8" s="1"/>
  <c r="AC264" i="5"/>
  <c r="Z56" i="5"/>
  <c r="Z141" i="5"/>
  <c r="Z50" i="5"/>
  <c r="Z189" i="5"/>
  <c r="Z108" i="5"/>
  <c r="Z301" i="5"/>
  <c r="Z233" i="5"/>
  <c r="Z61" i="5"/>
  <c r="Z218" i="5"/>
  <c r="Z134" i="5"/>
  <c r="Z40" i="5"/>
  <c r="Z8" i="5"/>
  <c r="Z213" i="5"/>
  <c r="Z123" i="5"/>
  <c r="Z101" i="5"/>
  <c r="Z135" i="5"/>
  <c r="Z255" i="5"/>
  <c r="Z17" i="5"/>
  <c r="Z216" i="5"/>
  <c r="Z35" i="5"/>
  <c r="Z150" i="5"/>
  <c r="Z33" i="5"/>
  <c r="Z25" i="5"/>
  <c r="AC287" i="5"/>
  <c r="AC211" i="5"/>
  <c r="Z293" i="5"/>
  <c r="Z204" i="5"/>
  <c r="Z217" i="5"/>
  <c r="Z113" i="5"/>
  <c r="Z191" i="5"/>
  <c r="Z55" i="5"/>
  <c r="Z277" i="5"/>
  <c r="AM277" i="5" s="1"/>
  <c r="AN277" i="5" s="1"/>
  <c r="Z119" i="5"/>
  <c r="Z116" i="5"/>
  <c r="Z138" i="5"/>
  <c r="Z78" i="5"/>
  <c r="Z7" i="5"/>
  <c r="AC5" i="5"/>
  <c r="AP139" i="8" s="1"/>
  <c r="AC324" i="5"/>
  <c r="AC11" i="5"/>
  <c r="AC117" i="5"/>
  <c r="AP36" i="8" s="1"/>
  <c r="AC204" i="5"/>
  <c r="AP116" i="8" s="1"/>
  <c r="AC202" i="5"/>
  <c r="AP188" i="8" s="1"/>
  <c r="AC80" i="5"/>
  <c r="AP82" i="8" s="1"/>
  <c r="AC59" i="5"/>
  <c r="AP42" i="8" s="1"/>
  <c r="Z291" i="5"/>
  <c r="Z207" i="5"/>
  <c r="Z105" i="5"/>
  <c r="Z273" i="5"/>
  <c r="AM273" i="5" s="1"/>
  <c r="AN273" i="5" s="1"/>
  <c r="Z96" i="5"/>
  <c r="Z126" i="5"/>
  <c r="Z171" i="5"/>
  <c r="Z165" i="5"/>
  <c r="Z22" i="5"/>
  <c r="Z34" i="5"/>
  <c r="Z107" i="5"/>
  <c r="Z156" i="5"/>
  <c r="Z172" i="5"/>
  <c r="Z155" i="5"/>
  <c r="Z93" i="5"/>
  <c r="Z206" i="5"/>
  <c r="Z208" i="5"/>
  <c r="Z182" i="5"/>
  <c r="Z186" i="5"/>
  <c r="Z243" i="5"/>
  <c r="Z249" i="5"/>
  <c r="Z60" i="5"/>
  <c r="Z289" i="5"/>
  <c r="Z185" i="5"/>
  <c r="Z79" i="5"/>
  <c r="Z268" i="5"/>
  <c r="AM268" i="5" s="1"/>
  <c r="AN268" i="5" s="1"/>
  <c r="AC118" i="5"/>
  <c r="AC94" i="5"/>
  <c r="Z74" i="5"/>
  <c r="Z248" i="5"/>
  <c r="Z170" i="5"/>
  <c r="Z59" i="5"/>
  <c r="Z174" i="5"/>
  <c r="Z43" i="5"/>
  <c r="Z222" i="5"/>
  <c r="Z111" i="5"/>
  <c r="Z30" i="5"/>
  <c r="Z197" i="5"/>
  <c r="Z221" i="5"/>
  <c r="Z177" i="5"/>
  <c r="Z13" i="5"/>
  <c r="Z234" i="5"/>
  <c r="Z42" i="5"/>
  <c r="Z200" i="5"/>
  <c r="Z211" i="5"/>
  <c r="Z23" i="5"/>
  <c r="Z64" i="5"/>
  <c r="Z120" i="5"/>
  <c r="Z98" i="5"/>
  <c r="Z11" i="5"/>
  <c r="Z253" i="5"/>
  <c r="Z244" i="5"/>
  <c r="Z20" i="5"/>
  <c r="Z67" i="5"/>
  <c r="Z220" i="5"/>
  <c r="Z10" i="5"/>
  <c r="Z104" i="5"/>
  <c r="Z160" i="5"/>
  <c r="Z109" i="5"/>
  <c r="Z267" i="5"/>
  <c r="AM267" i="5" s="1"/>
  <c r="AN267" i="5" s="1"/>
  <c r="Z83" i="5"/>
  <c r="Z97" i="5"/>
  <c r="Z241" i="5"/>
  <c r="Z173" i="5"/>
  <c r="Z130" i="5"/>
  <c r="Z71" i="5"/>
  <c r="Z133" i="5"/>
  <c r="Z114" i="5"/>
  <c r="Z198" i="5"/>
  <c r="Z32" i="5"/>
  <c r="Z5" i="5"/>
  <c r="AC72" i="5"/>
  <c r="AC130" i="5"/>
  <c r="Z110" i="5"/>
  <c r="Z246" i="5"/>
  <c r="Z47" i="5"/>
  <c r="Z129" i="5"/>
  <c r="Z49" i="5"/>
  <c r="Z143" i="5"/>
  <c r="Z65" i="5"/>
  <c r="Z117" i="5"/>
  <c r="Z229" i="5"/>
  <c r="Z80" i="5"/>
  <c r="AC86" i="5"/>
  <c r="AP56" i="8" s="1"/>
  <c r="AC111" i="5"/>
  <c r="AP199" i="8" s="1"/>
  <c r="Z225" i="5"/>
  <c r="Z31" i="5"/>
  <c r="Z158" i="5"/>
  <c r="Z95" i="5"/>
  <c r="Z77" i="5"/>
  <c r="Z199" i="5"/>
  <c r="Z278" i="5"/>
  <c r="AM278" i="5" s="1"/>
  <c r="AN278" i="5" s="1"/>
  <c r="Z240" i="5"/>
  <c r="Z163" i="5"/>
  <c r="Z195" i="5"/>
  <c r="Z102" i="5"/>
  <c r="Z252" i="5"/>
  <c r="Z226" i="5"/>
  <c r="Z164" i="5"/>
  <c r="Z18" i="5"/>
  <c r="Z209" i="5"/>
  <c r="Z139" i="5"/>
  <c r="Z148" i="5"/>
  <c r="Z202" i="5"/>
  <c r="Z53" i="5"/>
  <c r="Z27" i="5"/>
  <c r="Z223" i="5"/>
  <c r="Z167" i="5"/>
  <c r="Z70" i="5"/>
  <c r="Z39" i="5"/>
  <c r="Z103" i="5"/>
  <c r="Z89" i="5"/>
  <c r="Z62" i="5"/>
  <c r="Z227" i="5"/>
  <c r="Z24" i="5"/>
  <c r="Z280" i="5"/>
  <c r="Z66" i="5"/>
  <c r="Z188" i="5"/>
  <c r="Z147" i="5"/>
  <c r="Z90" i="5"/>
  <c r="Z69" i="5"/>
  <c r="Z131" i="5"/>
  <c r="Z38" i="5"/>
  <c r="Z181" i="5"/>
  <c r="Z247" i="5"/>
  <c r="Z231" i="5"/>
  <c r="Z176" i="5"/>
  <c r="Z9" i="5"/>
  <c r="Z14" i="5"/>
  <c r="Z128" i="5"/>
  <c r="Z48" i="5"/>
  <c r="Z86" i="5"/>
  <c r="Z137" i="5"/>
  <c r="Z304" i="5"/>
  <c r="Z100" i="5"/>
  <c r="Z183" i="5"/>
  <c r="Z262" i="5"/>
  <c r="Z157" i="5"/>
  <c r="Z63" i="5"/>
  <c r="Z236" i="5"/>
  <c r="Z99" i="5"/>
  <c r="Z265" i="5"/>
  <c r="AM265" i="5" s="1"/>
  <c r="AN265" i="5" s="1"/>
  <c r="Z127" i="5"/>
  <c r="Z232" i="5"/>
  <c r="Z46" i="5"/>
  <c r="Z45" i="5"/>
  <c r="Z264" i="5"/>
  <c r="AC176" i="5"/>
  <c r="AP117" i="8" s="1"/>
  <c r="AC69" i="5"/>
  <c r="Z224" i="5"/>
  <c r="Z16" i="5"/>
  <c r="Z112" i="5"/>
  <c r="Z203" i="5"/>
  <c r="Z149" i="5"/>
  <c r="Z152" i="5"/>
  <c r="Z187" i="5"/>
  <c r="Z276" i="5"/>
  <c r="AM276" i="5" s="1"/>
  <c r="AN276" i="5" s="1"/>
  <c r="Z299" i="5"/>
  <c r="Z159" i="5"/>
  <c r="Z122" i="5"/>
  <c r="Z194" i="5"/>
  <c r="Z72" i="5"/>
  <c r="Z196" i="5"/>
  <c r="Z180" i="5"/>
  <c r="Z210" i="5"/>
  <c r="Z136" i="5"/>
  <c r="Z132" i="5"/>
  <c r="Z263" i="5"/>
  <c r="Z245" i="5"/>
  <c r="Z87" i="5"/>
  <c r="Z242" i="5"/>
  <c r="Z215" i="5"/>
  <c r="Z151" i="5"/>
  <c r="Z142" i="5"/>
  <c r="Z21" i="5"/>
  <c r="Z51" i="5"/>
  <c r="Z275" i="5"/>
  <c r="Z84" i="5"/>
  <c r="Z118" i="5"/>
  <c r="Z184" i="5"/>
  <c r="Z239" i="5"/>
  <c r="Z125" i="5"/>
  <c r="Z121" i="5"/>
  <c r="Z29" i="5"/>
  <c r="Z169" i="5"/>
  <c r="Z36" i="5"/>
  <c r="Z81" i="5"/>
  <c r="Z12" i="5"/>
  <c r="Z26" i="5"/>
  <c r="Z73" i="5"/>
  <c r="Z235" i="5"/>
  <c r="AC185" i="5"/>
  <c r="AP63" i="8" s="1"/>
  <c r="AC97" i="5"/>
  <c r="AC248" i="5"/>
  <c r="AP144" i="8" s="1"/>
  <c r="AC36" i="5"/>
  <c r="AP60" i="8" s="1"/>
  <c r="AC242" i="5"/>
  <c r="AC49" i="5"/>
  <c r="AP152" i="8" s="1"/>
  <c r="AC131" i="5"/>
  <c r="AC267" i="5"/>
  <c r="AC149" i="5"/>
  <c r="AP126" i="8" s="1"/>
  <c r="AC123" i="5"/>
  <c r="AP159" i="8" s="1"/>
  <c r="AC95" i="5"/>
  <c r="AC231" i="5"/>
  <c r="AP153" i="8" s="1"/>
  <c r="AC105" i="5"/>
  <c r="AP48" i="8" s="1"/>
  <c r="AC65" i="5"/>
  <c r="AP38" i="8" s="1"/>
  <c r="AC133" i="5"/>
  <c r="AC90" i="5"/>
  <c r="AP203" i="8" s="1"/>
  <c r="AC56" i="5"/>
  <c r="AP14" i="8" s="1"/>
  <c r="AC70" i="5"/>
  <c r="AC234" i="5"/>
  <c r="AC48" i="5"/>
  <c r="AP85" i="8" s="1"/>
  <c r="AC265" i="5"/>
  <c r="AC221" i="5"/>
  <c r="AC79" i="5"/>
  <c r="AC71" i="5"/>
  <c r="AP57" i="8" s="1"/>
  <c r="AC280" i="5"/>
  <c r="AC363" i="5"/>
  <c r="AC207" i="5"/>
  <c r="AP140" i="8" s="1"/>
  <c r="AC46" i="5"/>
  <c r="AP189" i="8" s="1"/>
  <c r="AC252" i="5"/>
  <c r="AP185" i="8" s="1"/>
  <c r="AC346" i="5"/>
  <c r="AC215" i="5"/>
  <c r="AC128" i="5"/>
  <c r="AP74" i="8" s="1"/>
  <c r="AC206" i="5"/>
  <c r="AP67" i="8" s="1"/>
  <c r="AC143" i="5"/>
  <c r="AP145" i="8" s="1"/>
  <c r="AC262" i="5"/>
  <c r="AC16" i="5"/>
  <c r="AP89" i="8" s="1"/>
  <c r="AC100" i="5"/>
  <c r="AC104" i="5"/>
  <c r="AC297" i="5"/>
  <c r="AC63" i="5"/>
  <c r="AP149" i="8" s="1"/>
  <c r="AC136" i="5"/>
  <c r="AP120" i="8" s="1"/>
  <c r="AC110" i="5"/>
  <c r="AP95" i="8" s="1"/>
  <c r="AC21" i="5"/>
  <c r="AP40" i="8" s="1"/>
  <c r="AC182" i="5"/>
  <c r="AP163" i="8" s="1"/>
  <c r="AC109" i="5"/>
  <c r="AC220" i="5"/>
  <c r="AC209" i="5"/>
  <c r="AC227" i="5"/>
  <c r="AP161" i="8" s="1"/>
  <c r="AC208" i="5"/>
  <c r="AP71" i="8" s="1"/>
  <c r="AC23" i="5"/>
  <c r="AC164" i="5"/>
  <c r="AC55" i="5"/>
  <c r="AP204" i="8" s="1"/>
  <c r="AC245" i="5"/>
  <c r="AP34" i="8" s="1"/>
  <c r="AC179" i="5"/>
  <c r="AP88" i="8" s="1"/>
  <c r="AC268" i="5"/>
  <c r="AC98" i="5"/>
  <c r="AC191" i="5"/>
  <c r="AC249" i="5"/>
  <c r="AP49" i="8" s="1"/>
  <c r="AC308" i="5"/>
  <c r="AC189" i="5"/>
  <c r="AC181" i="5"/>
  <c r="AC177" i="5"/>
  <c r="AP135" i="8" s="1"/>
  <c r="AC157" i="5"/>
  <c r="AP166" i="8" s="1"/>
  <c r="AC34" i="5"/>
  <c r="AC224" i="5"/>
  <c r="AP170" i="8" s="1"/>
  <c r="AC47" i="5"/>
  <c r="AP41" i="8" s="1"/>
  <c r="AC120" i="5"/>
  <c r="AP15" i="8" s="1"/>
  <c r="AC25" i="5"/>
  <c r="AC99" i="5"/>
  <c r="AC235" i="5"/>
  <c r="AP206" i="8" s="1"/>
  <c r="AC334" i="5"/>
  <c r="AC27" i="5"/>
  <c r="AP148" i="8" s="1"/>
  <c r="AC216" i="5"/>
  <c r="AP177" i="8" s="1"/>
  <c r="AC275" i="5"/>
  <c r="AC233" i="5"/>
  <c r="AC160" i="5"/>
  <c r="AP93" i="8" s="1"/>
  <c r="AC195" i="5"/>
  <c r="AC226" i="5"/>
  <c r="AC186" i="5"/>
  <c r="AC51" i="5"/>
  <c r="AP62" i="8" s="1"/>
  <c r="AC355" i="5"/>
  <c r="AC225" i="5"/>
  <c r="AC240" i="5"/>
  <c r="AP107" i="8" s="1"/>
  <c r="AC53" i="5"/>
  <c r="AP207" i="8" s="1"/>
  <c r="AC116" i="5"/>
  <c r="AC236" i="5"/>
  <c r="AP134" i="8" s="1"/>
  <c r="AC31" i="5"/>
  <c r="AC78" i="5"/>
  <c r="AP168" i="8" s="1"/>
  <c r="AC20" i="5"/>
  <c r="AP100" i="8" s="1"/>
  <c r="AC199" i="5"/>
  <c r="AP179" i="8" s="1"/>
  <c r="AC45" i="5"/>
  <c r="AP124" i="8" s="1"/>
  <c r="AC246" i="5"/>
  <c r="AC81" i="5"/>
  <c r="AP103" i="8" s="1"/>
  <c r="AC64" i="5"/>
  <c r="AP208" i="8" s="1"/>
  <c r="AC113" i="5"/>
  <c r="AP138" i="8" s="1"/>
  <c r="AC152" i="5"/>
  <c r="AP75" i="8" s="1"/>
  <c r="AC40" i="5"/>
  <c r="AP143" i="8" s="1"/>
  <c r="AC39" i="5"/>
  <c r="AC194" i="5"/>
  <c r="AP72" i="8" s="1"/>
  <c r="AC24" i="5"/>
  <c r="AC129" i="5"/>
  <c r="AP78" i="8" s="1"/>
  <c r="AC102" i="5"/>
  <c r="AC263" i="5"/>
  <c r="AC197" i="5"/>
  <c r="AP18" i="8" s="1"/>
  <c r="AC159" i="5"/>
  <c r="AC93" i="5"/>
  <c r="AP55" i="8" s="1"/>
  <c r="AC84" i="5"/>
  <c r="AP31" i="8" s="1"/>
  <c r="AC222" i="5"/>
  <c r="AP130" i="8" s="1"/>
  <c r="AC112" i="5"/>
  <c r="AC12" i="5"/>
  <c r="AC165" i="5"/>
  <c r="AC201" i="5"/>
  <c r="AP29" i="8" s="1"/>
  <c r="AC88" i="5"/>
  <c r="AC132" i="5"/>
  <c r="AC87" i="5"/>
  <c r="AC289" i="5"/>
  <c r="AC218" i="5"/>
  <c r="AP160" i="8" s="1"/>
  <c r="AC101" i="5"/>
  <c r="AC172" i="5"/>
  <c r="AP43" i="8" s="1"/>
  <c r="AC304" i="5"/>
  <c r="AC137" i="5"/>
  <c r="AP201" i="8" s="1"/>
  <c r="AC138" i="5"/>
  <c r="AP61" i="8" s="1"/>
  <c r="AC89" i="5"/>
  <c r="AC173" i="5"/>
  <c r="AP154" i="8" s="1"/>
  <c r="AC238" i="5"/>
  <c r="AP197" i="8" s="1"/>
  <c r="AC14" i="5"/>
  <c r="AC26" i="5"/>
  <c r="AP91" i="8" s="1"/>
  <c r="AC200" i="5"/>
  <c r="AP186" i="8" s="1"/>
  <c r="AC74" i="5"/>
  <c r="AC119" i="5"/>
  <c r="AP50" i="8" s="1"/>
  <c r="AC291" i="5"/>
  <c r="AC141" i="5"/>
  <c r="AP137" i="8" s="1"/>
  <c r="AC156" i="5"/>
  <c r="AP94" i="8" s="1"/>
  <c r="AC174" i="5"/>
  <c r="AP167" i="8" s="1"/>
  <c r="AC139" i="5"/>
  <c r="AC170" i="5"/>
  <c r="AP156" i="8" s="1"/>
  <c r="AC121" i="5"/>
  <c r="AP175" i="8" s="1"/>
  <c r="AC255" i="5"/>
  <c r="AP164" i="8" s="1"/>
  <c r="AC148" i="5"/>
  <c r="AP21" i="8" s="1"/>
  <c r="AC239" i="5"/>
  <c r="AP150" i="8" s="1"/>
  <c r="AC43" i="5"/>
  <c r="AP101" i="8" s="1"/>
  <c r="AC301" i="5"/>
  <c r="AC29" i="5"/>
  <c r="AP47" i="8" s="1"/>
  <c r="AC83" i="5"/>
  <c r="AP195" i="8" s="1"/>
  <c r="AC50" i="5"/>
  <c r="AP176" i="8" s="1"/>
  <c r="AC17" i="5"/>
  <c r="AP19" i="8" s="1"/>
  <c r="AC241" i="5"/>
  <c r="AP157" i="8" s="1"/>
  <c r="AC253" i="5"/>
  <c r="AP210" i="8" s="1"/>
  <c r="AC108" i="5"/>
  <c r="AP158" i="8" s="1"/>
  <c r="AC60" i="5"/>
  <c r="AP111" i="8" s="1"/>
  <c r="AC380" i="5"/>
  <c r="AC127" i="5"/>
  <c r="AP128" i="8" s="1"/>
  <c r="AC198" i="5"/>
  <c r="AP79" i="8" s="1"/>
  <c r="AC163" i="5"/>
  <c r="AP181" i="8" s="1"/>
  <c r="AC188" i="5"/>
  <c r="AP13" i="8" s="1"/>
  <c r="AC62" i="5"/>
  <c r="AP178" i="8" s="1"/>
  <c r="AC41" i="5"/>
  <c r="AP202" i="8" s="1"/>
  <c r="AC187" i="5"/>
  <c r="AC7" i="5"/>
  <c r="AP69" i="8" s="1"/>
  <c r="AC125" i="5"/>
  <c r="AC30" i="5"/>
  <c r="AC107" i="5"/>
  <c r="AC183" i="5"/>
  <c r="AP141" i="8" s="1"/>
  <c r="AC103" i="5"/>
  <c r="AC18" i="5"/>
  <c r="AC13" i="5"/>
  <c r="AC273" i="5"/>
  <c r="AC42" i="5"/>
  <c r="AP52" i="8" s="1"/>
  <c r="AC169" i="5"/>
  <c r="AP190" i="8" s="1"/>
  <c r="AC147" i="5"/>
  <c r="AP53" i="8" s="1"/>
  <c r="AC67" i="5"/>
  <c r="AP24" i="8" s="1"/>
  <c r="AC223" i="5"/>
  <c r="AC300" i="5"/>
  <c r="AC213" i="5"/>
  <c r="AP209" i="8" s="1"/>
  <c r="AC38" i="5"/>
  <c r="AP26" i="8" s="1"/>
  <c r="AC32" i="5"/>
  <c r="AC277" i="5"/>
  <c r="AC247" i="5"/>
  <c r="AP118" i="8" s="1"/>
  <c r="AC61" i="5"/>
  <c r="AC35" i="5"/>
  <c r="AP81" i="8" s="1"/>
  <c r="AC184" i="5"/>
  <c r="AP196" i="8" s="1"/>
  <c r="AC210" i="5"/>
  <c r="AP136" i="8" s="1"/>
  <c r="AC77" i="5"/>
  <c r="AP39" i="8" s="1"/>
  <c r="AC229" i="5"/>
  <c r="AP205" i="8" s="1"/>
  <c r="AC9" i="5"/>
  <c r="AC135" i="5"/>
  <c r="AP180" i="8" s="1"/>
  <c r="AC158" i="5"/>
  <c r="AP80" i="8" s="1"/>
  <c r="AC180" i="5"/>
  <c r="AC134" i="5"/>
  <c r="AC243" i="5"/>
  <c r="AC10" i="5"/>
  <c r="AP16" i="8" s="1"/>
  <c r="AC155" i="5"/>
  <c r="AP169" i="8" s="1"/>
  <c r="AC278" i="5"/>
  <c r="AC167" i="5"/>
  <c r="AP66" i="8" s="1"/>
  <c r="AC171" i="5"/>
  <c r="AP44" i="8" s="1"/>
  <c r="AC114" i="5"/>
  <c r="AP147" i="8" s="1"/>
  <c r="AC293" i="5"/>
  <c r="AC203" i="5"/>
  <c r="AP162" i="8" s="1"/>
  <c r="AC299" i="5"/>
  <c r="AC196" i="5"/>
  <c r="AC232" i="5"/>
  <c r="AC126" i="5"/>
  <c r="AP37" i="8" s="1"/>
  <c r="AC373" i="5"/>
  <c r="AC266" i="5"/>
  <c r="AC73" i="5"/>
  <c r="AP96" i="8" s="1"/>
  <c r="AC96" i="5"/>
  <c r="AC142" i="5"/>
  <c r="AP35" i="8" s="1"/>
  <c r="AC151" i="5"/>
  <c r="AP33" i="8" s="1"/>
  <c r="AC244" i="5"/>
  <c r="AP28" i="8" s="1"/>
  <c r="O33" i="6"/>
  <c r="Q33" i="6" s="1"/>
  <c r="G38" i="11"/>
  <c r="AD398" i="5" l="1"/>
  <c r="AF398" i="5"/>
  <c r="AP193" i="8"/>
  <c r="AP191" i="8"/>
  <c r="AP192" i="8"/>
  <c r="AF400" i="5"/>
  <c r="AH400" i="5" s="1"/>
  <c r="AF399" i="5"/>
  <c r="AH399" i="5" s="1"/>
  <c r="AP23" i="8"/>
  <c r="AN393" i="5"/>
  <c r="AN261" i="5"/>
  <c r="AP84" i="8"/>
  <c r="AP121" i="8"/>
  <c r="AP129" i="8"/>
  <c r="AP172" i="8"/>
  <c r="AP97" i="8"/>
  <c r="AP46" i="8"/>
  <c r="AP182" i="8"/>
  <c r="AP194" i="8"/>
  <c r="Z261" i="5"/>
  <c r="C6" i="6" s="1"/>
  <c r="C19" i="6" s="1"/>
  <c r="AP58" i="8"/>
  <c r="AP30" i="8"/>
  <c r="AP92" i="8"/>
  <c r="Z308" i="5"/>
  <c r="G6" i="6" s="1"/>
  <c r="Z297" i="5"/>
  <c r="F6" i="6" s="1"/>
  <c r="Z334" i="5"/>
  <c r="I6" i="6" s="1"/>
  <c r="AP198" i="8"/>
  <c r="AP20" i="8"/>
  <c r="Z355" i="5"/>
  <c r="K6" i="6" s="1"/>
  <c r="AP32" i="8"/>
  <c r="AC393" i="5"/>
  <c r="U412" i="5" s="1"/>
  <c r="Z363" i="5"/>
  <c r="L6" i="6" s="1"/>
  <c r="Z380" i="5"/>
  <c r="N6" i="6" s="1"/>
  <c r="Z346" i="5"/>
  <c r="J6" i="6" s="1"/>
  <c r="Z324" i="5"/>
  <c r="H6" i="6" s="1"/>
  <c r="AP27" i="8"/>
  <c r="AP12" i="8"/>
  <c r="AP22" i="8"/>
  <c r="AP25" i="8"/>
  <c r="Z373" i="5"/>
  <c r="M6" i="6" s="1"/>
  <c r="AP17" i="8"/>
  <c r="Z287" i="5"/>
  <c r="E6" i="6" s="1"/>
  <c r="Z271" i="5"/>
  <c r="D6" i="6" s="1"/>
  <c r="AH398" i="5" l="1"/>
  <c r="AH402" i="5" s="1"/>
  <c r="H19" i="6"/>
  <c r="H9" i="14" s="1"/>
  <c r="H33" i="6"/>
  <c r="G33" i="6"/>
  <c r="G19" i="6"/>
  <c r="G9" i="14" s="1"/>
  <c r="K33" i="6"/>
  <c r="K19" i="6"/>
  <c r="K9" i="14" s="1"/>
  <c r="I33" i="6"/>
  <c r="I19" i="6"/>
  <c r="I9" i="14" s="1"/>
  <c r="F33" i="6"/>
  <c r="F19" i="6"/>
  <c r="F9" i="14" s="1"/>
  <c r="M19" i="6"/>
  <c r="M9" i="14" s="1"/>
  <c r="M33" i="6"/>
  <c r="D19" i="6"/>
  <c r="D9" i="14" s="1"/>
  <c r="D33" i="6"/>
  <c r="N19" i="6"/>
  <c r="N9" i="14" s="1"/>
  <c r="N33" i="6"/>
  <c r="R19" i="6" s="1"/>
  <c r="Z393" i="5"/>
  <c r="AE115" i="5" s="1"/>
  <c r="E33" i="6"/>
  <c r="E19" i="6"/>
  <c r="E9" i="14" s="1"/>
  <c r="J33" i="6"/>
  <c r="J19" i="6"/>
  <c r="J9" i="14" s="1"/>
  <c r="L19" i="6"/>
  <c r="L9" i="14" s="1"/>
  <c r="L33" i="6"/>
  <c r="C9" i="14"/>
  <c r="C33" i="6"/>
  <c r="C34" i="6" s="1"/>
  <c r="O6" i="6"/>
  <c r="AE175" i="5" l="1"/>
  <c r="AE166" i="5"/>
  <c r="AE212" i="5"/>
  <c r="AE6" i="5"/>
  <c r="AE124" i="5"/>
  <c r="AE256" i="5"/>
  <c r="AE19" i="5"/>
  <c r="AE237" i="5"/>
  <c r="AE192" i="5"/>
  <c r="AE193" i="5"/>
  <c r="AE205" i="5"/>
  <c r="AE303" i="5"/>
  <c r="AE254" i="5"/>
  <c r="AE52" i="5"/>
  <c r="AE168" i="5"/>
  <c r="AE92" i="5"/>
  <c r="AE305" i="5"/>
  <c r="AE76" i="5"/>
  <c r="AE292" i="5"/>
  <c r="AE228" i="5"/>
  <c r="AE162" i="5"/>
  <c r="AE54" i="5"/>
  <c r="AE82" i="5"/>
  <c r="AE68" i="5"/>
  <c r="AE91" i="5"/>
  <c r="AE146" i="5"/>
  <c r="AE58" i="5"/>
  <c r="AE57" i="5"/>
  <c r="AE214" i="5"/>
  <c r="AE219" i="5"/>
  <c r="AE290" i="5"/>
  <c r="AE279" i="5"/>
  <c r="AE145" i="5"/>
  <c r="AE15" i="5"/>
  <c r="AE230" i="5"/>
  <c r="AE281" i="5"/>
  <c r="AE44" i="5"/>
  <c r="AE75" i="5"/>
  <c r="AE106" i="5"/>
  <c r="AE85" i="5"/>
  <c r="AE153" i="5"/>
  <c r="AE28" i="5"/>
  <c r="AE140" i="5"/>
  <c r="AE161" i="5"/>
  <c r="AE302" i="5"/>
  <c r="AE178" i="5"/>
  <c r="AE144" i="5"/>
  <c r="AE37" i="5"/>
  <c r="AE306" i="5"/>
  <c r="AE154" i="5"/>
  <c r="AE274" i="5"/>
  <c r="AE250" i="5"/>
  <c r="AE251" i="5"/>
  <c r="P9" i="14"/>
  <c r="D14" i="10"/>
  <c r="D11" i="10"/>
  <c r="D8" i="10"/>
  <c r="D4" i="10"/>
  <c r="O19" i="6"/>
  <c r="J13" i="6" s="1"/>
  <c r="C24" i="6"/>
  <c r="C29" i="6" s="1"/>
  <c r="D7" i="10"/>
  <c r="D10" i="10"/>
  <c r="T397" i="5"/>
  <c r="U406" i="5"/>
  <c r="U409" i="5" s="1"/>
  <c r="U415" i="5" s="1"/>
  <c r="AE235" i="5"/>
  <c r="AE117" i="5"/>
  <c r="AE35" i="5"/>
  <c r="AE89" i="5"/>
  <c r="AE116" i="5"/>
  <c r="AE93" i="5"/>
  <c r="AE11" i="5"/>
  <c r="AE31" i="5"/>
  <c r="AE142" i="5"/>
  <c r="AE129" i="5"/>
  <c r="AE301" i="5"/>
  <c r="AE64" i="5"/>
  <c r="AE280" i="5"/>
  <c r="AE105" i="5"/>
  <c r="AE184" i="5"/>
  <c r="AE241" i="5"/>
  <c r="AE202" i="5"/>
  <c r="AE131" i="5"/>
  <c r="AE165" i="5"/>
  <c r="AE63" i="5"/>
  <c r="AE12" i="5"/>
  <c r="AE143" i="5"/>
  <c r="AE255" i="5"/>
  <c r="AE46" i="5"/>
  <c r="AE210" i="5"/>
  <c r="AE114" i="5"/>
  <c r="AE197" i="5"/>
  <c r="AE27" i="5"/>
  <c r="AE125" i="5"/>
  <c r="AE110" i="5"/>
  <c r="AE7" i="5"/>
  <c r="AE204" i="5"/>
  <c r="AE231" i="5"/>
  <c r="AE74" i="5"/>
  <c r="AE94" i="5"/>
  <c r="AE164" i="5"/>
  <c r="AE242" i="5"/>
  <c r="AE130" i="5"/>
  <c r="AE217" i="5"/>
  <c r="AE229" i="5"/>
  <c r="AE150" i="5"/>
  <c r="AE273" i="5"/>
  <c r="AE121" i="5"/>
  <c r="AE246" i="5"/>
  <c r="AE30" i="5"/>
  <c r="AE189" i="5"/>
  <c r="AE194" i="5"/>
  <c r="AE200" i="5"/>
  <c r="AE87" i="5"/>
  <c r="AE244" i="5"/>
  <c r="AE84" i="5"/>
  <c r="AE163" i="5"/>
  <c r="AE277" i="5"/>
  <c r="AE13" i="5"/>
  <c r="AE132" i="5"/>
  <c r="AE32" i="5"/>
  <c r="AE238" i="5"/>
  <c r="AE18" i="5"/>
  <c r="AE191" i="5"/>
  <c r="AE188" i="5"/>
  <c r="AE60" i="5"/>
  <c r="AE199" i="5"/>
  <c r="AE215" i="5"/>
  <c r="AE71" i="5"/>
  <c r="AE304" i="5"/>
  <c r="AE20" i="5"/>
  <c r="AE50" i="5"/>
  <c r="AE102" i="5"/>
  <c r="AE119" i="5"/>
  <c r="AE128" i="5"/>
  <c r="AE5" i="5"/>
  <c r="AE218" i="5"/>
  <c r="AE209" i="5"/>
  <c r="AE55" i="5"/>
  <c r="AE262" i="5"/>
  <c r="AE170" i="5"/>
  <c r="AE187" i="5"/>
  <c r="AE122" i="5"/>
  <c r="AE42" i="5"/>
  <c r="AE141" i="5"/>
  <c r="AE148" i="5"/>
  <c r="AE216" i="5"/>
  <c r="AE69" i="5"/>
  <c r="AE289" i="5"/>
  <c r="AE232" i="5"/>
  <c r="AE120" i="5"/>
  <c r="AE88" i="5"/>
  <c r="AE66" i="5"/>
  <c r="AE249" i="5"/>
  <c r="AE72" i="5"/>
  <c r="AE33" i="5"/>
  <c r="AE239" i="5"/>
  <c r="AE173" i="5"/>
  <c r="AE8" i="5"/>
  <c r="AE16" i="5"/>
  <c r="AE222" i="5"/>
  <c r="AE73" i="5"/>
  <c r="AE65" i="5"/>
  <c r="AE41" i="5"/>
  <c r="AE195" i="5"/>
  <c r="AE40" i="5"/>
  <c r="AE103" i="5"/>
  <c r="AE276" i="5"/>
  <c r="AE109" i="5"/>
  <c r="AE81" i="5"/>
  <c r="AE225" i="5"/>
  <c r="AE135" i="5"/>
  <c r="AE147" i="5"/>
  <c r="AE172" i="5"/>
  <c r="AE183" i="5"/>
  <c r="AE221" i="5"/>
  <c r="AE223" i="5"/>
  <c r="AE80" i="5"/>
  <c r="AE203" i="5"/>
  <c r="AE211" i="5"/>
  <c r="AE213" i="5"/>
  <c r="AE67" i="5"/>
  <c r="AE118" i="5"/>
  <c r="AE97" i="5"/>
  <c r="AE95" i="5"/>
  <c r="AE171" i="5"/>
  <c r="AE264" i="5"/>
  <c r="AE51" i="5"/>
  <c r="AE49" i="5"/>
  <c r="AE61" i="5"/>
  <c r="AE70" i="5"/>
  <c r="AE96" i="5"/>
  <c r="AE176" i="5"/>
  <c r="AE248" i="5"/>
  <c r="AE77" i="5"/>
  <c r="AE265" i="5"/>
  <c r="AE112" i="5"/>
  <c r="AE111" i="5"/>
  <c r="AE300" i="5"/>
  <c r="AE201" i="5"/>
  <c r="AE127" i="5"/>
  <c r="AE267" i="5"/>
  <c r="AE185" i="5"/>
  <c r="AE169" i="5"/>
  <c r="AE101" i="5"/>
  <c r="AE152" i="5"/>
  <c r="AE10" i="5"/>
  <c r="AE108" i="5"/>
  <c r="AE247" i="5"/>
  <c r="AE107" i="5"/>
  <c r="AE86" i="5"/>
  <c r="AE266" i="5"/>
  <c r="AE137" i="5"/>
  <c r="AE38" i="5"/>
  <c r="AE182" i="5"/>
  <c r="AE208" i="5"/>
  <c r="AE159" i="5"/>
  <c r="AE245" i="5"/>
  <c r="AE83" i="5"/>
  <c r="AE26" i="5"/>
  <c r="AE158" i="5"/>
  <c r="AE14" i="5"/>
  <c r="AE160" i="5"/>
  <c r="AE167" i="5"/>
  <c r="AE156" i="5"/>
  <c r="AE196" i="5"/>
  <c r="AE220" i="5"/>
  <c r="AE179" i="5"/>
  <c r="AE181" i="5"/>
  <c r="AE252" i="5"/>
  <c r="AE62" i="5"/>
  <c r="AE224" i="5"/>
  <c r="AE43" i="5"/>
  <c r="AE253" i="5"/>
  <c r="AE275" i="5"/>
  <c r="AE90" i="5"/>
  <c r="AE45" i="5"/>
  <c r="AE98" i="5"/>
  <c r="AE29" i="5"/>
  <c r="AE149" i="5"/>
  <c r="AE23" i="5"/>
  <c r="AE190" i="5"/>
  <c r="AE24" i="5"/>
  <c r="AE53" i="5"/>
  <c r="AE291" i="5"/>
  <c r="AE99" i="5"/>
  <c r="AE268" i="5"/>
  <c r="AE234" i="5"/>
  <c r="AE263" i="5"/>
  <c r="AE17" i="5"/>
  <c r="AE39" i="5"/>
  <c r="AE155" i="5"/>
  <c r="AE157" i="5"/>
  <c r="AE177" i="5"/>
  <c r="AE36" i="5"/>
  <c r="AE233" i="5"/>
  <c r="AE278" i="5"/>
  <c r="AE113" i="5"/>
  <c r="AE151" i="5"/>
  <c r="AE47" i="5"/>
  <c r="AE138" i="5"/>
  <c r="AE48" i="5"/>
  <c r="AE206" i="5"/>
  <c r="AE174" i="5"/>
  <c r="AE299" i="5"/>
  <c r="AE134" i="5"/>
  <c r="AE139" i="5"/>
  <c r="AE126" i="5"/>
  <c r="AE9" i="5"/>
  <c r="AE59" i="5"/>
  <c r="AE21" i="5"/>
  <c r="AE198" i="5"/>
  <c r="AE25" i="5"/>
  <c r="AE180" i="5"/>
  <c r="AE133" i="5"/>
  <c r="AE123" i="5"/>
  <c r="AE100" i="5"/>
  <c r="AE243" i="5"/>
  <c r="AE226" i="5"/>
  <c r="AE186" i="5"/>
  <c r="AE227" i="5"/>
  <c r="AE34" i="5"/>
  <c r="AE56" i="5"/>
  <c r="AE240" i="5"/>
  <c r="AE136" i="5"/>
  <c r="AE104" i="5"/>
  <c r="AE78" i="5"/>
  <c r="AE293" i="5"/>
  <c r="AE22" i="5"/>
  <c r="AE236" i="5"/>
  <c r="AE79" i="5"/>
  <c r="AE207" i="5"/>
  <c r="D15" i="10"/>
  <c r="D13" i="10"/>
  <c r="D6" i="10"/>
  <c r="D12" i="10"/>
  <c r="D34" i="6"/>
  <c r="E34" i="6" s="1"/>
  <c r="F34" i="6" s="1"/>
  <c r="G34" i="6" s="1"/>
  <c r="H34" i="6" s="1"/>
  <c r="I34" i="6" s="1"/>
  <c r="J34" i="6" s="1"/>
  <c r="K34" i="6" s="1"/>
  <c r="L34" i="6" s="1"/>
  <c r="M34" i="6" s="1"/>
  <c r="N34" i="6" s="1"/>
  <c r="D5" i="10"/>
  <c r="D9" i="10"/>
  <c r="AE393" i="5" l="1"/>
  <c r="C4" i="10"/>
  <c r="D24" i="6"/>
  <c r="P7" i="14"/>
  <c r="D18" i="10"/>
  <c r="V399" i="5"/>
  <c r="V400" i="5"/>
  <c r="T399" i="5"/>
  <c r="T400" i="5" s="1"/>
  <c r="V397" i="5"/>
  <c r="T398" i="5"/>
  <c r="V398" i="5" s="1"/>
  <c r="D29" i="6" l="1"/>
  <c r="C5" i="10" s="1"/>
  <c r="E24" i="6"/>
  <c r="E29" i="6" s="1"/>
  <c r="F36" i="14"/>
  <c r="F39" i="14"/>
  <c r="F42" i="14"/>
  <c r="J39" i="14"/>
  <c r="J36" i="14"/>
  <c r="J33" i="14"/>
  <c r="F30" i="14"/>
  <c r="J15" i="6" s="1"/>
  <c r="J27" i="14"/>
  <c r="F33" i="14"/>
  <c r="J42" i="14"/>
  <c r="F27" i="14"/>
  <c r="J30" i="14"/>
  <c r="N15" i="6" s="1"/>
  <c r="C6" i="10" l="1"/>
  <c r="F24" i="6"/>
  <c r="F29" i="6" l="1"/>
  <c r="G24" i="6"/>
  <c r="C7" i="10" l="1"/>
  <c r="N13" i="6"/>
  <c r="G29" i="6"/>
  <c r="C8" i="10" s="1"/>
  <c r="H24" i="6"/>
  <c r="I24" i="6" l="1"/>
  <c r="H29" i="6"/>
  <c r="C9" i="10" s="1"/>
  <c r="I29" i="6" l="1"/>
  <c r="C10" i="10" s="1"/>
  <c r="J24" i="6"/>
  <c r="J29" i="6" l="1"/>
  <c r="K24" i="6"/>
  <c r="C11" i="10" l="1"/>
  <c r="K29" i="6"/>
  <c r="C12" i="10" s="1"/>
  <c r="L24" i="6"/>
  <c r="L29" i="6" l="1"/>
  <c r="C13" i="10" s="1"/>
  <c r="M24" i="6"/>
  <c r="N24" i="6" l="1"/>
  <c r="N29" i="6" s="1"/>
  <c r="C15" i="10" s="1"/>
  <c r="M29" i="6"/>
  <c r="C14"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tc={E6335FD1-AD2E-0A47-B823-F4EC7C483CEC}</author>
    <author>tc={45F45E2F-7F60-2F46-8648-E06FB4DEA389}</author>
    <author>tc={B8B14C19-3C77-404F-8EB4-BE27936DB316}</author>
    <author>tc={9A55B52C-B0A1-D345-9F65-EF460324CBDB}</author>
    <author>tc={DFDE107E-DE51-B143-ADF9-D327C30AD2F1}</author>
    <author>tc={4DC58D2D-0C0F-C141-8AC3-FAB227900F6F}</author>
    <author>tc={1D31306E-BF56-D546-B61E-FC24171620C8}</author>
    <author>tc={9528BE21-ED33-744F-95DA-C549B43915FE}</author>
    <author>tc={62AD120F-DA45-BA45-968A-2C544F130C9F}</author>
    <author>tc={56DC8C7C-7A4B-0A41-87F5-8736672A6872}</author>
    <author>tc={1D6ED009-3537-4A48-85F3-15389EA8D673}</author>
    <author>tc={263731D3-6196-CB4A-8648-982F33C15282}</author>
    <author>tc={E0B5F4F1-754E-0349-B1D0-9773AE6FE9F9}</author>
    <author>tc={62468F1C-1E4B-414F-83A3-49DEB158907E}</author>
    <author>tc={7D2D8420-8B83-D548-A452-0B34A70B9B0B}</author>
    <author>tc={3AE0D1B4-D568-FA42-A2DB-245607F77BE8}</author>
    <author>tc={3ECEB072-A1BE-F147-82D0-0919C6559530}</author>
    <author>tc={626B2B17-2F66-CB46-88F0-55DD04BBA514}</author>
    <author>tc={87CE3A1C-72FC-4740-A17E-A23EA3EC892D}</author>
    <author>tc={56515C69-D5C0-8743-9EEE-91928A3346B7}</author>
  </authors>
  <commentList>
    <comment ref="L30" authorId="0" shapeId="0" xr:uid="{E6335FD1-AD2E-0A47-B823-F4EC7C483CEC}">
      <text>
        <t>[Comentario encadenado]
Su versión de Excel le permite leer este comentario encadenado; sin embargo, las ediciones que se apliquen se quitarán si el archivo se abre en una versión más reciente de Excel. Más información: https://go.microsoft.com/fwlink/?linkid=870924
Comentario:
    Alta por canje</t>
      </text>
    </comment>
    <comment ref="L31" authorId="1" shapeId="0" xr:uid="{45F45E2F-7F60-2F46-8648-E06FB4DEA389}">
      <text>
        <t>[Comentario encadenado]
Su versión de Excel le permite leer este comentario encadenado; sin embargo, las ediciones que se apliquen se quitarán si el archivo se abre en una versión más reciente de Excel. Más información: https://go.microsoft.com/fwlink/?linkid=870924
Comentario:
    Alta por canje</t>
      </text>
    </comment>
    <comment ref="B108" authorId="2" shapeId="0" xr:uid="{B8B14C19-3C77-404F-8EB4-BE27936DB316}">
      <text>
        <t>[Comentario encadenado]
Su versión de Excel le permite leer este comentario encadenado; sin embargo, las ediciones que se apliquen se quitarán si el archivo se abre en una versión más reciente de Excel. Más información: https://go.microsoft.com/fwlink/?linkid=870924
Comentario:
    Cambiado los valores dados por chatgpt el 21 de octubre del 25 solo en la pagina de investing de EEUU. En el general siguen los valores antiguos. Aqui en el excel tambien cambiados. Guardo pdf expicación en icloud.</t>
      </text>
    </comment>
    <comment ref="B111" authorId="3" shapeId="0" xr:uid="{9A55B52C-B0A1-D345-9F65-EF460324CBDB}">
      <text>
        <t>[Comentario encadenado]
Su versión de Excel le permite leer este comentario encadenado; sin embargo, las ediciones que se apliquen se quitarán si el archivo se abre en una versión más reciente de Excel. Más información: https://go.microsoft.com/fwlink/?linkid=870924
Comentario:
    contrasplit 1 a 12. De 1200 acciones pasan a 100. y de valor 1,46$ a 17,52$</t>
      </text>
    </comment>
    <comment ref="B112" authorId="4" shapeId="0" xr:uid="{DFDE107E-DE51-B143-ADF9-D327C30AD2F1}">
      <text>
        <t>[Comentario encadenado]
Su versión de Excel le permite leer este comentario encadenado; sin embargo, las ediciones que se apliquen se quitarán si el archivo se abre en una versión más reciente de Excel. Más información: https://go.microsoft.com/fwlink/?linkid=870924
Comentario:
    contrasplit misma fecha comentario de 12x1. Pasan de 400 acciones a 33,33</t>
      </text>
    </comment>
    <comment ref="B120" authorId="5" shapeId="0" xr:uid="{4DC58D2D-0C0F-C141-8AC3-FAB227900F6F}">
      <text>
        <t>[Comentario encadenado]
Su versión de Excel le permite leer este comentario encadenado; sin embargo, las ediciones que se apliquen se quitarán si el archivo se abre en una versión más reciente de Excel. Más información: https://go.microsoft.com/fwlink/?linkid=870924
Comentario:
    contrasplit 10:1 el 17 de noviembre 2025</t>
      </text>
    </comment>
    <comment ref="B142" authorId="6" shapeId="0" xr:uid="{1D31306E-BF56-D546-B61E-FC24171620C8}">
      <text>
        <t>[Comentario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devolucion de capital, hoja dividendos referencias</t>
      </text>
    </comment>
    <comment ref="B173" authorId="7" shapeId="0" xr:uid="{9528BE21-ED33-744F-95DA-C549B43915FE}">
      <text>
        <t>[Comentario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devolución de capital por importe de 14,5€/título
Respuesta:
    Sobre el importe de compra
Respuesta:
    descuento otro 2€ por titulo por devolución de capital septiembre de 2025
Respuesta:
    devolución capital de 4,22€ por título el 14 de abril
Respuesta:
    Hoja dividendos abajo referencias valor</t>
      </text>
    </comment>
    <comment ref="B188" authorId="8" shapeId="0" xr:uid="{62AD120F-DA45-BA45-968A-2C544F130C9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Mediolanum
</t>
      </text>
    </comment>
    <comment ref="B189" authorId="9" shapeId="0" xr:uid="{56DC8C7C-7A4B-0A41-87F5-8736672A6872}">
      <text>
        <t>[Comentario encadenado]
Su versión de Excel le permite leer este comentario encadenado; sin embargo, las ediciones que se apliquen se quitarán si el archivo se abre en una versión más reciente de Excel. Más información: https://go.microsoft.com/fwlink/?linkid=870924
Comentario:
    Ing
Respuesta:
    Vendidas 474 el 31/3/26 a 24,3€</t>
      </text>
    </comment>
    <comment ref="B190" authorId="10" shapeId="0" xr:uid="{1D6ED009-3537-4A48-85F3-15389EA8D673}">
      <text>
        <t>[Comentario encadenado]
Su versión de Excel le permite leer este comentario encadenado; sin embargo, las ediciones que se apliquen se quitarán si el archivo se abre en una versión más reciente de Excel. Más información: https://go.microsoft.com/fwlink/?linkid=870924
Comentario:
    Ing</t>
      </text>
    </comment>
    <comment ref="B191" authorId="11" shapeId="0" xr:uid="{263731D3-6196-CB4A-8648-982F33C15282}">
      <text>
        <t>[Comentario encadenado]
Su versión de Excel le permite leer este comentario encadenado; sin embargo, las ediciones que se apliquen se quitarán si el archivo se abre en una versión más reciente de Excel. Más información: https://go.microsoft.com/fwlink/?linkid=870924
Comentario:
    Script dividend agrupado desde 2016</t>
      </text>
    </comment>
    <comment ref="B243" authorId="12" shapeId="0" xr:uid="{E0B5F4F1-754E-0349-B1D0-9773AE6FE9F9}">
      <text>
        <t>[Comentario encadenado]
Su versión de Excel le permite leer este comentario encadenado; sin embargo, las ediciones que se apliquen se quitarán si el archivo se abre en una versión más reciente de Excel. Más información: https://go.microsoft.com/fwlink/?linkid=870924
Comentario:
    Revisar venta VERI en ibkr</t>
      </text>
    </comment>
    <comment ref="B245" authorId="13" shapeId="0" xr:uid="{62468F1C-1E4B-414F-83A3-49DEB158907E}">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Ing, </t>
      </text>
    </comment>
    <comment ref="Z262" authorId="14" shapeId="0" xr:uid="{7D2D8420-8B83-D548-A452-0B34A70B9B0B}">
      <text>
        <t>[Comentario encadenado]
Su versión de Excel le permite leer este comentario encadenado; sin embargo, las ediciones que se apliquen se quitarán si el archivo se abre en una versión más reciente de Excel. Más información: https://go.microsoft.com/fwlink/?linkid=870924
Comentario:
    Transferido a Revolut</t>
      </text>
    </comment>
    <comment ref="Y273" authorId="15" shapeId="0" xr:uid="{3AE0D1B4-D568-FA42-A2DB-245607F77BE8}">
      <text>
        <t>[Comentario encadenado]
Su versión de Excel le permite leer este comentario encadenado; sin embargo, las ediciones que se apliquen se quitarán si el archivo se abre en una versión más reciente de Excel. Más información: https://go.microsoft.com/fwlink/?linkid=870924
Comentario:
    Transferido Revolut 5 febrero</t>
      </text>
    </comment>
    <comment ref="B292" authorId="16" shapeId="0" xr:uid="{3ECEB072-A1BE-F147-82D0-0919C6559530}">
      <text>
        <t>[Comentario encadenado]
Su versión de Excel le permite leer este comentario encadenado; sin embargo, las ediciones que se apliquen se quitarán si el archivo se abre en una versión más reciente de Excel. Más información: https://go.microsoft.com/fwlink/?linkid=870924
Comentario:
    Ing</t>
      </text>
    </comment>
    <comment ref="Z303" authorId="17" shapeId="0" xr:uid="{626B2B17-2F66-CB46-88F0-55DD04BBA514}">
      <text>
        <t>[Comentario encadenado]
Su versión de Excel le permite leer este comentario encadenado; sin embargo, las ediciones que se apliquen se quitarán si el archivo se abre en una versión más reciente de Excel. Más información: https://go.microsoft.com/fwlink/?linkid=870924
Comentario:
    Transferido 27/4 a revolut</t>
      </text>
    </comment>
    <comment ref="B309" authorId="18" shapeId="0" xr:uid="{87CE3A1C-72FC-4740-A17E-A23EA3EC892D}">
      <text>
        <t>[Comentario encadenado]
Su versión de Excel le permite leer este comentario encadenado; sin embargo, las ediciones que se apliquen se quitarán si el archivo se abre en una versión más reciente de Excel. Más información: https://go.microsoft.com/fwlink/?linkid=870924
Comentario:
    Ing</t>
      </text>
    </comment>
    <comment ref="B330" authorId="19" shapeId="0" xr:uid="{56515C69-D5C0-8743-9EEE-91928A3346B7}">
      <text>
        <t>[Comentario encadenado]
Su versión de Excel le permite leer este comentario encadenado; sin embargo, las ediciones que se apliquen se quitarán si el archivo se abre en una versión más reciente de Excel. Más información: https://go.microsoft.com/fwlink/?linkid=870924
Comentario:
    OPA de CVC lanzada a 22 euros. -no se ha podido hacer nada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tc={337E7650-4878-DF42-A0DD-B9FF3CC926A2}</author>
    <author>tc={9FED45CB-9723-B64C-83EB-0A8AE1C14258}</author>
    <author>tc={EB7EA266-08A9-554B-B73F-697B3A0FBA61}</author>
    <author>tc={D3DD46DE-0EC4-844E-904E-8F2CA5E81CAF}</author>
    <author>tc={8AA7C688-D272-1045-8210-F9F28D92D73E}</author>
    <author>tc={279C6C36-441E-F14F-AEC0-C0FB6874D583}</author>
    <author>tc={32B027B6-5AA4-F340-817F-91DDAEF227DA}</author>
    <author>tc={AC9EEB02-A832-9448-9929-86537EDAD230}</author>
    <author>tc={31DE2651-A799-A640-AB6C-BAD4E8A13F27}</author>
    <author>tc={6AD529F4-7008-B64C-86DC-3685AF0BC058}</author>
    <author>tc={1833B373-CDC6-DA46-A8B0-80A61276A350}</author>
    <author>tc={88A6245D-3315-3948-99FA-9BADC1C86604}</author>
    <author>tc={6CBD8B87-A1EC-5149-A023-9022107AAC9F}</author>
    <author>tc={10499ADD-1E23-FE4F-AA5D-566A5D3103C2}</author>
    <author>tc={8EBA48DA-4391-A94F-ACF3-88231D8CE582}</author>
    <author>tc={98944DE2-1E90-0048-BA24-ACBF5F5260F5}</author>
    <author>tc={837A815C-C14A-EE44-863D-44C3E1F3C29C}</author>
    <author>tc={FF6A835F-DC4D-9044-B618-B675F3B8F22C}</author>
    <author>tc={6940894F-C90A-0745-B903-C6672E3C19D4}</author>
    <author>tc={38EC4612-88E2-5844-9F36-0C89CB460B74}</author>
    <author>tc={3E36263E-01E1-8A4F-A36D-E9CF293E2BB9}</author>
    <author>tc={47D02DAB-F2AF-AF48-8165-66A5F1B7FBFA}</author>
    <author>tc={18804345-DF60-B841-801D-F7DE97D6BBC4}</author>
    <author>tc={FECC56AE-C755-204F-A0B7-EEA61640C329}</author>
    <author>tc={F8DFB0D4-7291-C74E-A22C-98B2777E390C}</author>
    <author>tc={4C9C7913-0E3F-D544-8A51-575AC5CEFE70}</author>
    <author>tc={CE56939B-ACE6-C946-9BE8-058792214F32}</author>
    <author>tc={EDBC7908-EAF0-024D-94AA-DB78CB1AC0D9}</author>
    <author>tc={A71D4727-53E5-8A43-9FF4-1C3E1BA038DB}</author>
    <author>tc={121A9502-7BE0-1748-9974-F0E553BF959B}</author>
    <author>tc={D2CD104F-0670-424A-86D9-10ACCA893119}</author>
    <author>tc={6F4D96C3-B8E3-D543-887F-267838713AAC}</author>
    <author>tc={ABB54099-DDEF-194D-940F-6F0E7A9F378C}</author>
    <author>tc={6E1ABDE6-92AC-004B-9A9A-B6F12495B3CF}</author>
    <author>tc={50496C59-E177-CF48-8A40-07D93F6A8171}</author>
    <author>tc={621EDC07-9B12-F34A-80EB-23CB414784D7}</author>
    <author>tc={8BD858A7-DD12-BE49-8156-0A993A4095C1}</author>
    <author>tc={51152D23-75DB-AC4A-AE92-955DDC96DF12}</author>
  </authors>
  <commentList>
    <comment ref="B13" authorId="0" shapeId="0" xr:uid="{337E7650-4878-DF42-A0DD-B9FF3CC926A2}">
      <text>
        <t>[Comentario encadenado]
Su versión de Excel le permite leer este comentario encadenado; sin embargo, las ediciones que se apliquen se quitarán si el archivo se abre en una versión más reciente de Excel. Más información: https://go.microsoft.com/fwlink/?linkid=870924
Comentario:
    Venta parcial 474 de ING a 24,3€</t>
      </text>
    </comment>
    <comment ref="A14" authorId="1" shapeId="0" xr:uid="{9FED45CB-9723-B64C-83EB-0A8AE1C14258}">
      <text>
        <t>[Comentario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dividendo del 7%
Respuesta:
    Intro vendió antes del dividendo</t>
      </text>
    </comment>
    <comment ref="I14" authorId="2" shapeId="0" xr:uid="{EB7EA266-08A9-554B-B73F-697B3A0FBA6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Dividendos descontado
</t>
      </text>
    </comment>
    <comment ref="AC14" authorId="3" shapeId="0" xr:uid="{D3DD46DE-0EC4-844E-904E-8F2CA5E81CA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Dividendos descontado
</t>
      </text>
    </comment>
    <comment ref="B20" authorId="4" shapeId="0" xr:uid="{8AA7C688-D272-1045-8210-F9F28D92D73E}">
      <text>
        <t>[Comentario encadenado]
Su versión de Excel le permite leer este comentario encadenado; sin embargo, las ediciones que se apliquen se quitarán si el archivo se abre en una versión más reciente de Excel. Más información: https://go.microsoft.com/fwlink/?linkid=870924
Comentario:
    62 títulos a 249€. Venta parcial R4. Quedan los de ING</t>
      </text>
    </comment>
    <comment ref="B21" authorId="5" shapeId="0" xr:uid="{279C6C36-441E-F14F-AEC0-C0FB6874D583}">
      <text>
        <t>[Comentario encadenado]
Su versión de Excel le permite leer este comentario encadenado; sin embargo, las ediciones que se apliquen se quitarán si el archivo se abre en una versión más reciente de Excel. Más información: https://go.microsoft.com/fwlink/?linkid=870924
Comentario:
    79,9€ R4
Respuesta:
    vendidas el 50% 125 acciones</t>
      </text>
    </comment>
    <comment ref="B29" authorId="6" shapeId="0" xr:uid="{32B027B6-5AA4-F340-817F-91DDAEF227DA}">
      <text>
        <t>[Comentario encadenado]
Su versión de Excel le permite leer este comentario encadenado; sin embargo, las ediciones que se apliquen se quitarán si el archivo se abre en una versión más reciente de Excel. Más información: https://go.microsoft.com/fwlink/?linkid=870924
Comentario:
    38,7$ IBKR
Respuesta:
    se canceló la orden automáticamente. Suerte</t>
      </text>
    </comment>
    <comment ref="B61" authorId="7" shapeId="0" xr:uid="{AC9EEB02-A832-9448-9929-86537EDAD230}">
      <text>
        <t>[Comentario encadenado]
Su versión de Excel le permite leer este comentario encadenado; sin embargo, las ediciones que se apliquen se quitarán si el archivo se abre en una versión más reciente de Excel. Más información: https://go.microsoft.com/fwlink/?linkid=870924
Comentario:
    orden vta. 41,9$ R4 e IBKR</t>
      </text>
    </comment>
    <comment ref="B75" authorId="8" shapeId="0" xr:uid="{31DE2651-A799-A640-AB6C-BAD4E8A13F27}">
      <text>
        <t>[Comentario encadenado]
Su versión de Excel le permite leer este comentario encadenado; sin embargo, las ediciones que se apliquen se quitarán si el archivo se abre en una versión más reciente de Excel. Más información: https://go.microsoft.com/fwlink/?linkid=870924
Comentario:
    13,94$ IBKR</t>
      </text>
    </comment>
    <comment ref="B88" authorId="9" shapeId="0" xr:uid="{6AD529F4-7008-B64C-86DC-3685AF0BC058}">
      <text>
        <t>[Comentario encadenado]
Su versión de Excel le permite leer este comentario encadenado; sin embargo, las ediciones que se apliquen se quitarán si el archivo se abre en una versión más reciente de Excel. Más información: https://go.microsoft.com/fwlink/?linkid=870924
Comentario:
    4,99
Respuesta:
    cancelado el 22 de enero</t>
      </text>
    </comment>
    <comment ref="I103" authorId="10" shapeId="0" xr:uid="{1833B373-CDC6-DA46-A8B0-80A61276A35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dividendos </t>
      </text>
    </comment>
    <comment ref="AC103" authorId="11" shapeId="0" xr:uid="{88A6245D-3315-3948-99FA-9BADC1C8660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dividendos </t>
      </text>
    </comment>
    <comment ref="I167" authorId="12" shapeId="0" xr:uid="{6CBD8B87-A1EC-5149-A023-9022107AAC9F}">
      <text>
        <t>[Comentario encadenado]
Su versión de Excel le permite leer este comentario encadenado; sin embargo, las ediciones que se apliquen se quitarán si el archivo se abre en una versión más reciente de Excel. Más información: https://go.microsoft.com/fwlink/?linkid=870924
Comentario:
    Dividendo mayo 24</t>
      </text>
    </comment>
    <comment ref="AC167" authorId="13" shapeId="0" xr:uid="{10499ADD-1E23-FE4F-AA5D-566A5D3103C2}">
      <text>
        <t>[Comentario encadenado]
Su versión de Excel le permite leer este comentario encadenado; sin embargo, las ediciones que se apliquen se quitarán si el archivo se abre en una versión más reciente de Excel. Más información: https://go.microsoft.com/fwlink/?linkid=870924
Comentario:
    Dividendo mayo 24</t>
      </text>
    </comment>
    <comment ref="X194" authorId="14" shapeId="0" xr:uid="{8EBA48DA-4391-A94F-ACF3-88231D8CE582}">
      <text>
        <t>[Comentario encadenado]
Su versión de Excel le permite leer este comentario encadenado; sin embargo, las ediciones que se apliquen se quitarán si el archivo se abre en una versión más reciente de Excel. Más información: https://go.microsoft.com/fwlink/?linkid=870924
Comentario:
    3,74 diario o 3,67 semanal</t>
      </text>
    </comment>
    <comment ref="B225" authorId="15" shapeId="0" xr:uid="{98944DE2-1E90-0048-BA24-ACBF5F5260F5}">
      <text>
        <t>[Comentario encadenado]
Su versión de Excel le permite leer este comentario encadenado; sin embargo, las ediciones que se apliquen se quitarán si el archivo se abre en una versión más reciente de Excel. Más información: https://go.microsoft.com/fwlink/?linkid=870924
Comentario:
    153,8</t>
      </text>
    </comment>
    <comment ref="B226" authorId="16" shapeId="0" xr:uid="{837A815C-C14A-EE44-863D-44C3E1F3C29C}">
      <text>
        <t>[Comentario encadenado]
Su versión de Excel le permite leer este comentario encadenado; sin embargo, las ediciones que se apliquen se quitarán si el archivo se abre en una versión más reciente de Excel. Más información: https://go.microsoft.com/fwlink/?linkid=870924
Comentario:
    20,3</t>
      </text>
    </comment>
    <comment ref="B227" authorId="17" shapeId="0" xr:uid="{FF6A835F-DC4D-9044-B618-B675F3B8F22C}">
      <text>
        <t>[Comentario encadenado]
Su versión de Excel le permite leer este comentario encadenado; sin embargo, las ediciones que se apliquen se quitarán si el archivo se abre en una versión más reciente de Excel. Más información: https://go.microsoft.com/fwlink/?linkid=870924
Comentario:
    46,8
Respuesta:
    modificada venta a 46,43</t>
      </text>
    </comment>
    <comment ref="B228" authorId="18" shapeId="0" xr:uid="{6940894F-C90A-0745-B903-C6672E3C19D4}">
      <text>
        <t>[Comentario encadenado]
Su versión de Excel le permite leer este comentario encadenado; sin embargo, las ediciones que se apliquen se quitarán si el archivo se abre en una versión más reciente de Excel. Más información: https://go.microsoft.com/fwlink/?linkid=870924
Comentario:
    118,81</t>
      </text>
    </comment>
    <comment ref="B230" authorId="19" shapeId="0" xr:uid="{38EC4612-88E2-5844-9F36-0C89CB460B74}">
      <text>
        <t>[Comentario encadenado]
Su versión de Excel le permite leer este comentario encadenado; sin embargo, las ediciones que se apliquen se quitarán si el archivo se abre en una versión más reciente de Excel. Más información: https://go.microsoft.com/fwlink/?linkid=870924
Comentario:
    53,44
Respuesta:
    53,9</t>
      </text>
    </comment>
    <comment ref="B232" authorId="20" shapeId="0" xr:uid="{3E36263E-01E1-8A4F-A36D-E9CF293E2BB9}">
      <text>
        <t>[Comentario encadenado]
Su versión de Excel le permite leer este comentario encadenado; sin embargo, las ediciones que se apliquen se quitarán si el archivo se abre en una versión más reciente de Excel. Más información: https://go.microsoft.com/fwlink/?linkid=870924
Comentario:
    6,89$</t>
      </text>
    </comment>
    <comment ref="B233" authorId="21" shapeId="0" xr:uid="{47D02DAB-F2AF-AF48-8165-66A5F1B7FBFA}">
      <text>
        <t>[Comentario encadenado]
Su versión de Excel le permite leer este comentario encadenado; sin embargo, las ediciones que se apliquen se quitarán si el archivo se abre en una versión más reciente de Excel. Más información: https://go.microsoft.com/fwlink/?linkid=870924
Comentario:
    61,69$ IBKR</t>
      </text>
    </comment>
    <comment ref="B234" authorId="22" shapeId="0" xr:uid="{18804345-DF60-B841-801D-F7DE97D6BBC4}">
      <text>
        <t>[Comentario encadenado]
Su versión de Excel le permite leer este comentario encadenado; sin embargo, las ediciones que se apliquen se quitarán si el archivo se abre en una versión más reciente de Excel. Más información: https://go.microsoft.com/fwlink/?linkid=870924
Comentario:
    142,5</t>
      </text>
    </comment>
    <comment ref="B235" authorId="23" shapeId="0" xr:uid="{FECC56AE-C755-204F-A0B7-EEA61640C329}">
      <text>
        <t>[Comentario encadenado]
Su versión de Excel le permite leer este comentario encadenado; sin embargo, las ediciones que se apliquen se quitarán si el archivo se abre en una versión más reciente de Excel. Más información: https://go.microsoft.com/fwlink/?linkid=870924
Comentario:
    117,09$</t>
      </text>
    </comment>
    <comment ref="B236" authorId="24" shapeId="0" xr:uid="{F8DFB0D4-7291-C74E-A22C-98B2777E390C}">
      <text>
        <t>[Comentario encadenado]
Su versión de Excel le permite leer este comentario encadenado; sin embargo, las ediciones que se apliquen se quitarán si el archivo se abre en una versión más reciente de Excel. Más información: https://go.microsoft.com/fwlink/?linkid=870924
Comentario:
    79,9€ R4</t>
      </text>
    </comment>
    <comment ref="B238" authorId="25" shapeId="0" xr:uid="{4C9C7913-0E3F-D544-8A51-575AC5CEFE70}">
      <text>
        <t>[Comentario encadenado]
Su versión de Excel le permite leer este comentario encadenado; sin embargo, las ediciones que se apliquen se quitarán si el archivo se abre en una versión más reciente de Excel. Más información: https://go.microsoft.com/fwlink/?linkid=870924
Comentario:
    62,57$ IBKR</t>
      </text>
    </comment>
    <comment ref="B240" authorId="26" shapeId="0" xr:uid="{CE56939B-ACE6-C946-9BE8-058792214F32}">
      <text>
        <t>[Comentario encadenado]
Su versión de Excel le permite leer este comentario encadenado; sin embargo, las ediciones que se apliquen se quitarán si el archivo se abre en una versión más reciente de Excel. Más información: https://go.microsoft.com/fwlink/?linkid=870924
Comentario:
    Revolut 7,46$</t>
      </text>
    </comment>
    <comment ref="B241" authorId="27" shapeId="0" xr:uid="{EDBC7908-EAF0-024D-94AA-DB78CB1AC0D9}">
      <text>
        <t>[Comentario encadenado]
Su versión de Excel le permite leer este comentario encadenado; sin embargo, las ediciones que se apliquen se quitarán si el archivo se abre en una versión más reciente de Excel. Más información: https://go.microsoft.com/fwlink/?linkid=870924
Comentario:
    Orden 32,10$ ibkr</t>
      </text>
    </comment>
    <comment ref="B242" authorId="28" shapeId="0" xr:uid="{A71D4727-53E5-8A43-9FF4-1C3E1BA038DB}">
      <text>
        <t>[Comentario encadenado]
Su versión de Excel le permite leer este comentario encadenado; sin embargo, las ediciones que se apliquen se quitarán si el archivo se abre en una versión más reciente de Excel. Más información: https://go.microsoft.com/fwlink/?linkid=870924
Comentario:
    Venta parcial 474 de ING a 24,3€</t>
      </text>
    </comment>
    <comment ref="B245" authorId="29" shapeId="0" xr:uid="{121A9502-7BE0-1748-9974-F0E553BF959B}">
      <text>
        <t>[Comentario encadenado]
Su versión de Excel le permite leer este comentario encadenado; sin embargo, las ediciones que se apliquen se quitarán si el archivo se abre en una versión más reciente de Excel. Más información: https://go.microsoft.com/fwlink/?linkid=870924
Comentario:
    20,17
Respuesta:
    precio venta desactivado
Respuesta:
    8/4 venta total 24,10$ R4</t>
      </text>
    </comment>
    <comment ref="B250" authorId="30" shapeId="0" xr:uid="{D2CD104F-0670-424A-86D9-10ACCA893119}">
      <text>
        <t>[Comentario encadenado]
Su versión de Excel le permite leer este comentario encadenado; sin embargo, las ediciones que se apliquen se quitarán si el archivo se abre en una versión más reciente de Excel. Más información: https://go.microsoft.com/fwlink/?linkid=870924
Comentario:
    Vta R4 3,22$
Respuesta:
    3,23$</t>
      </text>
    </comment>
    <comment ref="B251" authorId="31" shapeId="0" xr:uid="{6F4D96C3-B8E3-D543-887F-267838713AAC}">
      <text>
        <t>[Comentario encadenado]
Su versión de Excel le permite leer este comentario encadenado; sin embargo, las ediciones que se apliquen se quitarán si el archivo se abre en una versión más reciente de Excel. Más información: https://go.microsoft.com/fwlink/?linkid=870924
Comentario:
    Vta a 50,83$ Revolut
Respuesta:
    cambiado precio de venta a 50,5$</t>
      </text>
    </comment>
    <comment ref="A273" authorId="32" shapeId="0" xr:uid="{ABB54099-DDEF-194D-940F-6F0E7A9F378C}">
      <text>
        <t>[Comentario encadenado]
Su versión de Excel le permite leer este comentario encadenado; sin embargo, las ediciones que se apliquen se quitarán si el archivo se abre en una versión más reciente de Excel. Más información: https://go.microsoft.com/fwlink/?linkid=870924
Comentario:
    Descontado dividendo del 7%
Respuesta:
    Intro vendió antes del dividendo</t>
      </text>
    </comment>
    <comment ref="I273" authorId="33" shapeId="0" xr:uid="{6E1ABDE6-92AC-004B-9A9A-B6F12495B3C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Dividendos descontado
</t>
      </text>
    </comment>
    <comment ref="AC273" authorId="34" shapeId="0" xr:uid="{50496C59-E177-CF48-8A40-07D93F6A817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Dividendos descontado
</t>
      </text>
    </comment>
    <comment ref="AF288" authorId="35" shapeId="0" xr:uid="{621EDC07-9B12-F34A-80EB-23CB414784D7}">
      <text>
        <t>[Comentario encadenado]
Su versión de Excel le permite leer este comentario encadenado; sin embargo, las ediciones que se apliquen se quitarán si el archivo se abre en una versión más reciente de Excel. Más información: https://go.microsoft.com/fwlink/?linkid=870924
Comentario:
    Nuevo precio introsfera en la segunda compra tras el fiasco 1ª venta. Yo mantengo la 1ª</t>
      </text>
    </comment>
    <comment ref="B336" authorId="36" shapeId="0" xr:uid="{8BD858A7-DD12-BE49-8156-0A993A4095C1}">
      <text>
        <t>[Comentario encadenado]
Su versión de Excel le permite leer este comentario encadenado; sin embargo, las ediciones que se apliquen se quitarán si el archivo se abre en una versión más reciente de Excel. Más información: https://go.microsoft.com/fwlink/?linkid=870924
Comentario:
    108,94</t>
      </text>
    </comment>
    <comment ref="B339" authorId="37" shapeId="0" xr:uid="{51152D23-75DB-AC4A-AE92-955DDC96DF12}">
      <text>
        <t>[Comentario encadenado]
Su versión de Excel le permite leer este comentario encadenado; sin embargo, las ediciones que se apliquen se quitarán si el archivo se abre en una versión más reciente de Excel. Más información: https://go.microsoft.com/fwlink/?linkid=870924
Comentario:
    271</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71">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8"/>
        </ext>
      </extLst>
    </bk>
    <bk>
      <extLst>
        <ext uri="{3e2802c4-a4d2-4d8b-9148-e3be6c30e623}">
          <xlrd:rvb i="190"/>
        </ext>
      </extLst>
    </bk>
    <bk>
      <extLst>
        <ext uri="{3e2802c4-a4d2-4d8b-9148-e3be6c30e623}">
          <xlrd:rvb i="193"/>
        </ext>
      </extLst>
    </bk>
    <bk>
      <extLst>
        <ext uri="{3e2802c4-a4d2-4d8b-9148-e3be6c30e623}">
          <xlrd:rvb i="196"/>
        </ext>
      </extLst>
    </bk>
    <bk>
      <extLst>
        <ext uri="{3e2802c4-a4d2-4d8b-9148-e3be6c30e623}">
          <xlrd:rvb i="199"/>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6"/>
        </ext>
      </extLst>
    </bk>
    <bk>
      <extLst>
        <ext uri="{3e2802c4-a4d2-4d8b-9148-e3be6c30e623}">
          <xlrd:rvb i="249"/>
        </ext>
      </extLst>
    </bk>
    <bk>
      <extLst>
        <ext uri="{3e2802c4-a4d2-4d8b-9148-e3be6c30e623}">
          <xlrd:rvb i="252"/>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bk>
      <extLst>
        <ext uri="{3e2802c4-a4d2-4d8b-9148-e3be6c30e623}">
          <xlrd:rvb i="282"/>
        </ext>
      </extLst>
    </bk>
    <bk>
      <extLst>
        <ext uri="{3e2802c4-a4d2-4d8b-9148-e3be6c30e623}">
          <xlrd:rvb i="285"/>
        </ext>
      </extLst>
    </bk>
    <bk>
      <extLst>
        <ext uri="{3e2802c4-a4d2-4d8b-9148-e3be6c30e623}">
          <xlrd:rvb i="288"/>
        </ext>
      </extLst>
    </bk>
    <bk>
      <extLst>
        <ext uri="{3e2802c4-a4d2-4d8b-9148-e3be6c30e623}">
          <xlrd:rvb i="291"/>
        </ext>
      </extLst>
    </bk>
    <bk>
      <extLst>
        <ext uri="{3e2802c4-a4d2-4d8b-9148-e3be6c30e623}">
          <xlrd:rvb i="293"/>
        </ext>
      </extLst>
    </bk>
    <bk>
      <extLst>
        <ext uri="{3e2802c4-a4d2-4d8b-9148-e3be6c30e623}">
          <xlrd:rvb i="295"/>
        </ext>
      </extLst>
    </bk>
    <bk>
      <extLst>
        <ext uri="{3e2802c4-a4d2-4d8b-9148-e3be6c30e623}">
          <xlrd:rvb i="298"/>
        </ext>
      </extLst>
    </bk>
    <bk>
      <extLst>
        <ext uri="{3e2802c4-a4d2-4d8b-9148-e3be6c30e623}">
          <xlrd:rvb i="301"/>
        </ext>
      </extLst>
    </bk>
    <bk>
      <extLst>
        <ext uri="{3e2802c4-a4d2-4d8b-9148-e3be6c30e623}">
          <xlrd:rvb i="304"/>
        </ext>
      </extLst>
    </bk>
    <bk>
      <extLst>
        <ext uri="{3e2802c4-a4d2-4d8b-9148-e3be6c30e623}">
          <xlrd:rvb i="307"/>
        </ext>
      </extLst>
    </bk>
    <bk>
      <extLst>
        <ext uri="{3e2802c4-a4d2-4d8b-9148-e3be6c30e623}">
          <xlrd:rvb i="310"/>
        </ext>
      </extLst>
    </bk>
    <bk>
      <extLst>
        <ext uri="{3e2802c4-a4d2-4d8b-9148-e3be6c30e623}">
          <xlrd:rvb i="313"/>
        </ext>
      </extLst>
    </bk>
    <bk>
      <extLst>
        <ext uri="{3e2802c4-a4d2-4d8b-9148-e3be6c30e623}">
          <xlrd:rvb i="316"/>
        </ext>
      </extLst>
    </bk>
    <bk>
      <extLst>
        <ext uri="{3e2802c4-a4d2-4d8b-9148-e3be6c30e623}">
          <xlrd:rvb i="318"/>
        </ext>
      </extLst>
    </bk>
    <bk>
      <extLst>
        <ext uri="{3e2802c4-a4d2-4d8b-9148-e3be6c30e623}">
          <xlrd:rvb i="321"/>
        </ext>
      </extLst>
    </bk>
    <bk>
      <extLst>
        <ext uri="{3e2802c4-a4d2-4d8b-9148-e3be6c30e623}">
          <xlrd:rvb i="324"/>
        </ext>
      </extLst>
    </bk>
    <bk>
      <extLst>
        <ext uri="{3e2802c4-a4d2-4d8b-9148-e3be6c30e623}">
          <xlrd:rvb i="331"/>
        </ext>
      </extLst>
    </bk>
    <bk>
      <extLst>
        <ext uri="{3e2802c4-a4d2-4d8b-9148-e3be6c30e623}">
          <xlrd:rvb i="334"/>
        </ext>
      </extLst>
    </bk>
    <bk>
      <extLst>
        <ext uri="{3e2802c4-a4d2-4d8b-9148-e3be6c30e623}">
          <xlrd:rvb i="337"/>
        </ext>
      </extLst>
    </bk>
    <bk>
      <extLst>
        <ext uri="{3e2802c4-a4d2-4d8b-9148-e3be6c30e623}">
          <xlrd:rvb i="343"/>
        </ext>
      </extLst>
    </bk>
    <bk>
      <extLst>
        <ext uri="{3e2802c4-a4d2-4d8b-9148-e3be6c30e623}">
          <xlrd:rvb i="346"/>
        </ext>
      </extLst>
    </bk>
    <bk>
      <extLst>
        <ext uri="{3e2802c4-a4d2-4d8b-9148-e3be6c30e623}">
          <xlrd:rvb i="349"/>
        </ext>
      </extLst>
    </bk>
    <bk>
      <extLst>
        <ext uri="{3e2802c4-a4d2-4d8b-9148-e3be6c30e623}">
          <xlrd:rvb i="352"/>
        </ext>
      </extLst>
    </bk>
    <bk>
      <extLst>
        <ext uri="{3e2802c4-a4d2-4d8b-9148-e3be6c30e623}">
          <xlrd:rvb i="355"/>
        </ext>
      </extLst>
    </bk>
    <bk>
      <extLst>
        <ext uri="{3e2802c4-a4d2-4d8b-9148-e3be6c30e623}">
          <xlrd:rvb i="358"/>
        </ext>
      </extLst>
    </bk>
    <bk>
      <extLst>
        <ext uri="{3e2802c4-a4d2-4d8b-9148-e3be6c30e623}">
          <xlrd:rvb i="361"/>
        </ext>
      </extLst>
    </bk>
    <bk>
      <extLst>
        <ext uri="{3e2802c4-a4d2-4d8b-9148-e3be6c30e623}">
          <xlrd:rvb i="364"/>
        </ext>
      </extLst>
    </bk>
    <bk>
      <extLst>
        <ext uri="{3e2802c4-a4d2-4d8b-9148-e3be6c30e623}">
          <xlrd:rvb i="367"/>
        </ext>
      </extLst>
    </bk>
    <bk>
      <extLst>
        <ext uri="{3e2802c4-a4d2-4d8b-9148-e3be6c30e623}">
          <xlrd:rvb i="370"/>
        </ext>
      </extLst>
    </bk>
    <bk>
      <extLst>
        <ext uri="{3e2802c4-a4d2-4d8b-9148-e3be6c30e623}">
          <xlrd:rvb i="373"/>
        </ext>
      </extLst>
    </bk>
    <bk>
      <extLst>
        <ext uri="{3e2802c4-a4d2-4d8b-9148-e3be6c30e623}">
          <xlrd:rvb i="376"/>
        </ext>
      </extLst>
    </bk>
    <bk>
      <extLst>
        <ext uri="{3e2802c4-a4d2-4d8b-9148-e3be6c30e623}">
          <xlrd:rvb i="379"/>
        </ext>
      </extLst>
    </bk>
    <bk>
      <extLst>
        <ext uri="{3e2802c4-a4d2-4d8b-9148-e3be6c30e623}">
          <xlrd:rvb i="382"/>
        </ext>
      </extLst>
    </bk>
    <bk>
      <extLst>
        <ext uri="{3e2802c4-a4d2-4d8b-9148-e3be6c30e623}">
          <xlrd:rvb i="385"/>
        </ext>
      </extLst>
    </bk>
    <bk>
      <extLst>
        <ext uri="{3e2802c4-a4d2-4d8b-9148-e3be6c30e623}">
          <xlrd:rvb i="388"/>
        </ext>
      </extLst>
    </bk>
    <bk>
      <extLst>
        <ext uri="{3e2802c4-a4d2-4d8b-9148-e3be6c30e623}">
          <xlrd:rvb i="391"/>
        </ext>
      </extLst>
    </bk>
    <bk>
      <extLst>
        <ext uri="{3e2802c4-a4d2-4d8b-9148-e3be6c30e623}">
          <xlrd:rvb i="394"/>
        </ext>
      </extLst>
    </bk>
    <bk>
      <extLst>
        <ext uri="{3e2802c4-a4d2-4d8b-9148-e3be6c30e623}">
          <xlrd:rvb i="397"/>
        </ext>
      </extLst>
    </bk>
    <bk>
      <extLst>
        <ext uri="{3e2802c4-a4d2-4d8b-9148-e3be6c30e623}">
          <xlrd:rvb i="400"/>
        </ext>
      </extLst>
    </bk>
    <bk>
      <extLst>
        <ext uri="{3e2802c4-a4d2-4d8b-9148-e3be6c30e623}">
          <xlrd:rvb i="403"/>
        </ext>
      </extLst>
    </bk>
    <bk>
      <extLst>
        <ext uri="{3e2802c4-a4d2-4d8b-9148-e3be6c30e623}">
          <xlrd:rvb i="406"/>
        </ext>
      </extLst>
    </bk>
    <bk>
      <extLst>
        <ext uri="{3e2802c4-a4d2-4d8b-9148-e3be6c30e623}">
          <xlrd:rvb i="408"/>
        </ext>
      </extLst>
    </bk>
    <bk>
      <extLst>
        <ext uri="{3e2802c4-a4d2-4d8b-9148-e3be6c30e623}">
          <xlrd:rvb i="410"/>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28"/>
        </ext>
      </extLst>
    </bk>
    <bk>
      <extLst>
        <ext uri="{3e2802c4-a4d2-4d8b-9148-e3be6c30e623}">
          <xlrd:rvb i="431"/>
        </ext>
      </extLst>
    </bk>
    <bk>
      <extLst>
        <ext uri="{3e2802c4-a4d2-4d8b-9148-e3be6c30e623}">
          <xlrd:rvb i="434"/>
        </ext>
      </extLst>
    </bk>
    <bk>
      <extLst>
        <ext uri="{3e2802c4-a4d2-4d8b-9148-e3be6c30e623}">
          <xlrd:rvb i="437"/>
        </ext>
      </extLst>
    </bk>
    <bk>
      <extLst>
        <ext uri="{3e2802c4-a4d2-4d8b-9148-e3be6c30e623}">
          <xlrd:rvb i="440"/>
        </ext>
      </extLst>
    </bk>
    <bk>
      <extLst>
        <ext uri="{3e2802c4-a4d2-4d8b-9148-e3be6c30e623}">
          <xlrd:rvb i="443"/>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58"/>
        </ext>
      </extLst>
    </bk>
    <bk>
      <extLst>
        <ext uri="{3e2802c4-a4d2-4d8b-9148-e3be6c30e623}">
          <xlrd:rvb i="461"/>
        </ext>
      </extLst>
    </bk>
    <bk>
      <extLst>
        <ext uri="{3e2802c4-a4d2-4d8b-9148-e3be6c30e623}">
          <xlrd:rvb i="464"/>
        </ext>
      </extLst>
    </bk>
    <bk>
      <extLst>
        <ext uri="{3e2802c4-a4d2-4d8b-9148-e3be6c30e623}">
          <xlrd:rvb i="467"/>
        </ext>
      </extLst>
    </bk>
    <bk>
      <extLst>
        <ext uri="{3e2802c4-a4d2-4d8b-9148-e3be6c30e623}">
          <xlrd:rvb i="470"/>
        </ext>
      </extLst>
    </bk>
    <bk>
      <extLst>
        <ext uri="{3e2802c4-a4d2-4d8b-9148-e3be6c30e623}">
          <xlrd:rvb i="473"/>
        </ext>
      </extLst>
    </bk>
    <bk>
      <extLst>
        <ext uri="{3e2802c4-a4d2-4d8b-9148-e3be6c30e623}">
          <xlrd:rvb i="476"/>
        </ext>
      </extLst>
    </bk>
    <bk>
      <extLst>
        <ext uri="{3e2802c4-a4d2-4d8b-9148-e3be6c30e623}">
          <xlrd:rvb i="479"/>
        </ext>
      </extLst>
    </bk>
    <bk>
      <extLst>
        <ext uri="{3e2802c4-a4d2-4d8b-9148-e3be6c30e623}">
          <xlrd:rvb i="482"/>
        </ext>
      </extLst>
    </bk>
    <bk>
      <extLst>
        <ext uri="{3e2802c4-a4d2-4d8b-9148-e3be6c30e623}">
          <xlrd:rvb i="484"/>
        </ext>
      </extLst>
    </bk>
    <bk>
      <extLst>
        <ext uri="{3e2802c4-a4d2-4d8b-9148-e3be6c30e623}">
          <xlrd:rvb i="487"/>
        </ext>
      </extLst>
    </bk>
    <bk>
      <extLst>
        <ext uri="{3e2802c4-a4d2-4d8b-9148-e3be6c30e623}">
          <xlrd:rvb i="490"/>
        </ext>
      </extLst>
    </bk>
    <bk>
      <extLst>
        <ext uri="{3e2802c4-a4d2-4d8b-9148-e3be6c30e623}">
          <xlrd:rvb i="493"/>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8"/>
        </ext>
      </extLst>
    </bk>
    <bk>
      <extLst>
        <ext uri="{3e2802c4-a4d2-4d8b-9148-e3be6c30e623}">
          <xlrd:rvb i="511"/>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8"/>
        </ext>
      </extLst>
    </bk>
    <bk>
      <extLst>
        <ext uri="{3e2802c4-a4d2-4d8b-9148-e3be6c30e623}">
          <xlrd:rvb i="561"/>
        </ext>
      </extLst>
    </bk>
    <bk>
      <extLst>
        <ext uri="{3e2802c4-a4d2-4d8b-9148-e3be6c30e623}">
          <xlrd:rvb i="564"/>
        </ext>
      </extLst>
    </bk>
    <bk>
      <extLst>
        <ext uri="{3e2802c4-a4d2-4d8b-9148-e3be6c30e623}">
          <xlrd:rvb i="567"/>
        </ext>
      </extLst>
    </bk>
    <bk>
      <extLst>
        <ext uri="{3e2802c4-a4d2-4d8b-9148-e3be6c30e623}">
          <xlrd:rvb i="570"/>
        </ext>
      </extLst>
    </bk>
    <bk>
      <extLst>
        <ext uri="{3e2802c4-a4d2-4d8b-9148-e3be6c30e623}">
          <xlrd:rvb i="573"/>
        </ext>
      </extLst>
    </bk>
    <bk>
      <extLst>
        <ext uri="{3e2802c4-a4d2-4d8b-9148-e3be6c30e623}">
          <xlrd:rvb i="576"/>
        </ext>
      </extLst>
    </bk>
    <bk>
      <extLst>
        <ext uri="{3e2802c4-a4d2-4d8b-9148-e3be6c30e623}">
          <xlrd:rvb i="579"/>
        </ext>
      </extLst>
    </bk>
    <bk>
      <extLst>
        <ext uri="{3e2802c4-a4d2-4d8b-9148-e3be6c30e623}">
          <xlrd:rvb i="582"/>
        </ext>
      </extLst>
    </bk>
    <bk>
      <extLst>
        <ext uri="{3e2802c4-a4d2-4d8b-9148-e3be6c30e623}">
          <xlrd:rvb i="585"/>
        </ext>
      </extLst>
    </bk>
    <bk>
      <extLst>
        <ext uri="{3e2802c4-a4d2-4d8b-9148-e3be6c30e623}">
          <xlrd:rvb i="588"/>
        </ext>
      </extLst>
    </bk>
    <bk>
      <extLst>
        <ext uri="{3e2802c4-a4d2-4d8b-9148-e3be6c30e623}">
          <xlrd:rvb i="591"/>
        </ext>
      </extLst>
    </bk>
    <bk>
      <extLst>
        <ext uri="{3e2802c4-a4d2-4d8b-9148-e3be6c30e623}">
          <xlrd:rvb i="594"/>
        </ext>
      </extLst>
    </bk>
    <bk>
      <extLst>
        <ext uri="{3e2802c4-a4d2-4d8b-9148-e3be6c30e623}">
          <xlrd:rvb i="597"/>
        </ext>
      </extLst>
    </bk>
    <bk>
      <extLst>
        <ext uri="{3e2802c4-a4d2-4d8b-9148-e3be6c30e623}">
          <xlrd:rvb i="600"/>
        </ext>
      </extLst>
    </bk>
    <bk>
      <extLst>
        <ext uri="{3e2802c4-a4d2-4d8b-9148-e3be6c30e623}">
          <xlrd:rvb i="603"/>
        </ext>
      </extLst>
    </bk>
    <bk>
      <extLst>
        <ext uri="{3e2802c4-a4d2-4d8b-9148-e3be6c30e623}">
          <xlrd:rvb i="606"/>
        </ext>
      </extLst>
    </bk>
    <bk>
      <extLst>
        <ext uri="{3e2802c4-a4d2-4d8b-9148-e3be6c30e623}">
          <xlrd:rvb i="609"/>
        </ext>
      </extLst>
    </bk>
    <bk>
      <extLst>
        <ext uri="{3e2802c4-a4d2-4d8b-9148-e3be6c30e623}">
          <xlrd:rvb i="612"/>
        </ext>
      </extLst>
    </bk>
    <bk>
      <extLst>
        <ext uri="{3e2802c4-a4d2-4d8b-9148-e3be6c30e623}">
          <xlrd:rvb i="615"/>
        </ext>
      </extLst>
    </bk>
    <bk>
      <extLst>
        <ext uri="{3e2802c4-a4d2-4d8b-9148-e3be6c30e623}">
          <xlrd:rvb i="618"/>
        </ext>
      </extLst>
    </bk>
    <bk>
      <extLst>
        <ext uri="{3e2802c4-a4d2-4d8b-9148-e3be6c30e623}">
          <xlrd:rvb i="621"/>
        </ext>
      </extLst>
    </bk>
    <bk>
      <extLst>
        <ext uri="{3e2802c4-a4d2-4d8b-9148-e3be6c30e623}">
          <xlrd:rvb i="624"/>
        </ext>
      </extLst>
    </bk>
    <bk>
      <extLst>
        <ext uri="{3e2802c4-a4d2-4d8b-9148-e3be6c30e623}">
          <xlrd:rvb i="627"/>
        </ext>
      </extLst>
    </bk>
    <bk>
      <extLst>
        <ext uri="{3e2802c4-a4d2-4d8b-9148-e3be6c30e623}">
          <xlrd:rvb i="630"/>
        </ext>
      </extLst>
    </bk>
    <bk>
      <extLst>
        <ext uri="{3e2802c4-a4d2-4d8b-9148-e3be6c30e623}">
          <xlrd:rvb i="633"/>
        </ext>
      </extLst>
    </bk>
    <bk>
      <extLst>
        <ext uri="{3e2802c4-a4d2-4d8b-9148-e3be6c30e623}">
          <xlrd:rvb i="636"/>
        </ext>
      </extLst>
    </bk>
    <bk>
      <extLst>
        <ext uri="{3e2802c4-a4d2-4d8b-9148-e3be6c30e623}">
          <xlrd:rvb i="639"/>
        </ext>
      </extLst>
    </bk>
    <bk>
      <extLst>
        <ext uri="{3e2802c4-a4d2-4d8b-9148-e3be6c30e623}">
          <xlrd:rvb i="642"/>
        </ext>
      </extLst>
    </bk>
    <bk>
      <extLst>
        <ext uri="{3e2802c4-a4d2-4d8b-9148-e3be6c30e623}">
          <xlrd:rvb i="645"/>
        </ext>
      </extLst>
    </bk>
    <bk>
      <extLst>
        <ext uri="{3e2802c4-a4d2-4d8b-9148-e3be6c30e623}">
          <xlrd:rvb i="647"/>
        </ext>
      </extLst>
    </bk>
    <bk>
      <extLst>
        <ext uri="{3e2802c4-a4d2-4d8b-9148-e3be6c30e623}">
          <xlrd:rvb i="649"/>
        </ext>
      </extLst>
    </bk>
    <bk>
      <extLst>
        <ext uri="{3e2802c4-a4d2-4d8b-9148-e3be6c30e623}">
          <xlrd:rvb i="650"/>
        </ext>
      </extLst>
    </bk>
    <bk>
      <extLst>
        <ext uri="{3e2802c4-a4d2-4d8b-9148-e3be6c30e623}">
          <xlrd:rvb i="653"/>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2"/>
        </ext>
      </extLst>
    </bk>
    <bk>
      <extLst>
        <ext uri="{3e2802c4-a4d2-4d8b-9148-e3be6c30e623}">
          <xlrd:rvb i="665"/>
        </ext>
      </extLst>
    </bk>
    <bk>
      <extLst>
        <ext uri="{3e2802c4-a4d2-4d8b-9148-e3be6c30e623}">
          <xlrd:rvb i="668"/>
        </ext>
      </extLst>
    </bk>
    <bk>
      <extLst>
        <ext uri="{3e2802c4-a4d2-4d8b-9148-e3be6c30e623}">
          <xlrd:rvb i="671"/>
        </ext>
      </extLst>
    </bk>
    <bk>
      <extLst>
        <ext uri="{3e2802c4-a4d2-4d8b-9148-e3be6c30e623}">
          <xlrd:rvb i="674"/>
        </ext>
      </extLst>
    </bk>
    <bk>
      <extLst>
        <ext uri="{3e2802c4-a4d2-4d8b-9148-e3be6c30e623}">
          <xlrd:rvb i="677"/>
        </ext>
      </extLst>
    </bk>
    <bk>
      <extLst>
        <ext uri="{3e2802c4-a4d2-4d8b-9148-e3be6c30e623}">
          <xlrd:rvb i="680"/>
        </ext>
      </extLst>
    </bk>
    <bk>
      <extLst>
        <ext uri="{3e2802c4-a4d2-4d8b-9148-e3be6c30e623}">
          <xlrd:rvb i="683"/>
        </ext>
      </extLst>
    </bk>
    <bk>
      <extLst>
        <ext uri="{3e2802c4-a4d2-4d8b-9148-e3be6c30e623}">
          <xlrd:rvb i="686"/>
        </ext>
      </extLst>
    </bk>
    <bk>
      <extLst>
        <ext uri="{3e2802c4-a4d2-4d8b-9148-e3be6c30e623}">
          <xlrd:rvb i="689"/>
        </ext>
      </extLst>
    </bk>
    <bk>
      <extLst>
        <ext uri="{3e2802c4-a4d2-4d8b-9148-e3be6c30e623}">
          <xlrd:rvb i="692"/>
        </ext>
      </extLst>
    </bk>
    <bk>
      <extLst>
        <ext uri="{3e2802c4-a4d2-4d8b-9148-e3be6c30e623}">
          <xlrd:rvb i="695"/>
        </ext>
      </extLst>
    </bk>
    <bk>
      <extLst>
        <ext uri="{3e2802c4-a4d2-4d8b-9148-e3be6c30e623}">
          <xlrd:rvb i="697"/>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5"/>
        </ext>
      </extLst>
    </bk>
    <bk>
      <extLst>
        <ext uri="{3e2802c4-a4d2-4d8b-9148-e3be6c30e623}">
          <xlrd:rvb i="708"/>
        </ext>
      </extLst>
    </bk>
    <bk>
      <extLst>
        <ext uri="{3e2802c4-a4d2-4d8b-9148-e3be6c30e623}">
          <xlrd:rvb i="711"/>
        </ext>
      </extLst>
    </bk>
    <bk>
      <extLst>
        <ext uri="{3e2802c4-a4d2-4d8b-9148-e3be6c30e623}">
          <xlrd:rvb i="714"/>
        </ext>
      </extLst>
    </bk>
    <bk>
      <extLst>
        <ext uri="{3e2802c4-a4d2-4d8b-9148-e3be6c30e623}">
          <xlrd:rvb i="717"/>
        </ext>
      </extLst>
    </bk>
    <bk>
      <extLst>
        <ext uri="{3e2802c4-a4d2-4d8b-9148-e3be6c30e623}">
          <xlrd:rvb i="720"/>
        </ext>
      </extLst>
    </bk>
    <bk>
      <extLst>
        <ext uri="{3e2802c4-a4d2-4d8b-9148-e3be6c30e623}">
          <xlrd:rvb i="723"/>
        </ext>
      </extLst>
    </bk>
    <bk>
      <extLst>
        <ext uri="{3e2802c4-a4d2-4d8b-9148-e3be6c30e623}">
          <xlrd:rvb i="725"/>
        </ext>
      </extLst>
    </bk>
    <bk>
      <extLst>
        <ext uri="{3e2802c4-a4d2-4d8b-9148-e3be6c30e623}">
          <xlrd:rvb i="728"/>
        </ext>
      </extLst>
    </bk>
    <bk>
      <extLst>
        <ext uri="{3e2802c4-a4d2-4d8b-9148-e3be6c30e623}">
          <xlrd:rvb i="731"/>
        </ext>
      </extLst>
    </bk>
    <bk>
      <extLst>
        <ext uri="{3e2802c4-a4d2-4d8b-9148-e3be6c30e623}">
          <xlrd:rvb i="734"/>
        </ext>
      </extLst>
    </bk>
    <bk>
      <extLst>
        <ext uri="{3e2802c4-a4d2-4d8b-9148-e3be6c30e623}">
          <xlrd:rvb i="737"/>
        </ext>
      </extLst>
    </bk>
    <bk>
      <extLst>
        <ext uri="{3e2802c4-a4d2-4d8b-9148-e3be6c30e623}">
          <xlrd:rvb i="740"/>
        </ext>
      </extLst>
    </bk>
    <bk>
      <extLst>
        <ext uri="{3e2802c4-a4d2-4d8b-9148-e3be6c30e623}">
          <xlrd:rvb i="743"/>
        </ext>
      </extLst>
    </bk>
    <bk>
      <extLst>
        <ext uri="{3e2802c4-a4d2-4d8b-9148-e3be6c30e623}">
          <xlrd:rvb i="746"/>
        </ext>
      </extLst>
    </bk>
    <bk>
      <extLst>
        <ext uri="{3e2802c4-a4d2-4d8b-9148-e3be6c30e623}">
          <xlrd:rvb i="749"/>
        </ext>
      </extLst>
    </bk>
    <bk>
      <extLst>
        <ext uri="{3e2802c4-a4d2-4d8b-9148-e3be6c30e623}">
          <xlrd:rvb i="752"/>
        </ext>
      </extLst>
    </bk>
    <bk>
      <extLst>
        <ext uri="{3e2802c4-a4d2-4d8b-9148-e3be6c30e623}">
          <xlrd:rvb i="755"/>
        </ext>
      </extLst>
    </bk>
    <bk>
      <extLst>
        <ext uri="{3e2802c4-a4d2-4d8b-9148-e3be6c30e623}">
          <xlrd:rvb i="757"/>
        </ext>
      </extLst>
    </bk>
    <bk>
      <extLst>
        <ext uri="{3e2802c4-a4d2-4d8b-9148-e3be6c30e623}">
          <xlrd:rvb i="760"/>
        </ext>
      </extLst>
    </bk>
    <bk>
      <extLst>
        <ext uri="{3e2802c4-a4d2-4d8b-9148-e3be6c30e623}">
          <xlrd:rvb i="763"/>
        </ext>
      </extLst>
    </bk>
    <bk>
      <extLst>
        <ext uri="{3e2802c4-a4d2-4d8b-9148-e3be6c30e623}">
          <xlrd:rvb i="766"/>
        </ext>
      </extLst>
    </bk>
    <bk>
      <extLst>
        <ext uri="{3e2802c4-a4d2-4d8b-9148-e3be6c30e623}">
          <xlrd:rvb i="769"/>
        </ext>
      </extLst>
    </bk>
    <bk>
      <extLst>
        <ext uri="{3e2802c4-a4d2-4d8b-9148-e3be6c30e623}">
          <xlrd:rvb i="772"/>
        </ext>
      </extLst>
    </bk>
    <bk>
      <extLst>
        <ext uri="{3e2802c4-a4d2-4d8b-9148-e3be6c30e623}">
          <xlrd:rvb i="775"/>
        </ext>
      </extLst>
    </bk>
    <bk>
      <extLst>
        <ext uri="{3e2802c4-a4d2-4d8b-9148-e3be6c30e623}">
          <xlrd:rvb i="778"/>
        </ext>
      </extLst>
    </bk>
    <bk>
      <extLst>
        <ext uri="{3e2802c4-a4d2-4d8b-9148-e3be6c30e623}">
          <xlrd:rvb i="780"/>
        </ext>
      </extLst>
    </bk>
    <bk>
      <extLst>
        <ext uri="{3e2802c4-a4d2-4d8b-9148-e3be6c30e623}">
          <xlrd:rvb i="782"/>
        </ext>
      </extLst>
    </bk>
    <bk>
      <extLst>
        <ext uri="{3e2802c4-a4d2-4d8b-9148-e3be6c30e623}">
          <xlrd:rvb i="785"/>
        </ext>
      </extLst>
    </bk>
    <bk>
      <extLst>
        <ext uri="{3e2802c4-a4d2-4d8b-9148-e3be6c30e623}">
          <xlrd:rvb i="788"/>
        </ext>
      </extLst>
    </bk>
    <bk>
      <extLst>
        <ext uri="{3e2802c4-a4d2-4d8b-9148-e3be6c30e623}">
          <xlrd:rvb i="791"/>
        </ext>
      </extLst>
    </bk>
    <bk>
      <extLst>
        <ext uri="{3e2802c4-a4d2-4d8b-9148-e3be6c30e623}">
          <xlrd:rvb i="794"/>
        </ext>
      </extLst>
    </bk>
    <bk>
      <extLst>
        <ext uri="{3e2802c4-a4d2-4d8b-9148-e3be6c30e623}">
          <xlrd:rvb i="797"/>
        </ext>
      </extLst>
    </bk>
    <bk>
      <extLst>
        <ext uri="{3e2802c4-a4d2-4d8b-9148-e3be6c30e623}">
          <xlrd:rvb i="800"/>
        </ext>
      </extLst>
    </bk>
    <bk>
      <extLst>
        <ext uri="{3e2802c4-a4d2-4d8b-9148-e3be6c30e623}">
          <xlrd:rvb i="803"/>
        </ext>
      </extLst>
    </bk>
    <bk>
      <extLst>
        <ext uri="{3e2802c4-a4d2-4d8b-9148-e3be6c30e623}">
          <xlrd:rvb i="806"/>
        </ext>
      </extLst>
    </bk>
    <bk>
      <extLst>
        <ext uri="{3e2802c4-a4d2-4d8b-9148-e3be6c30e623}">
          <xlrd:rvb i="809"/>
        </ext>
      </extLst>
    </bk>
    <bk>
      <extLst>
        <ext uri="{3e2802c4-a4d2-4d8b-9148-e3be6c30e623}">
          <xlrd:rvb i="812"/>
        </ext>
      </extLst>
    </bk>
    <bk>
      <extLst>
        <ext uri="{3e2802c4-a4d2-4d8b-9148-e3be6c30e623}">
          <xlrd:rvb i="814"/>
        </ext>
      </extLst>
    </bk>
    <bk>
      <extLst>
        <ext uri="{3e2802c4-a4d2-4d8b-9148-e3be6c30e623}">
          <xlrd:rvb i="817"/>
        </ext>
      </extLst>
    </bk>
    <bk>
      <extLst>
        <ext uri="{3e2802c4-a4d2-4d8b-9148-e3be6c30e623}">
          <xlrd:rvb i="820"/>
        </ext>
      </extLst>
    </bk>
    <bk>
      <extLst>
        <ext uri="{3e2802c4-a4d2-4d8b-9148-e3be6c30e623}">
          <xlrd:rvb i="823"/>
        </ext>
      </extLst>
    </bk>
    <bk>
      <extLst>
        <ext uri="{3e2802c4-a4d2-4d8b-9148-e3be6c30e623}">
          <xlrd:rvb i="826"/>
        </ext>
      </extLst>
    </bk>
    <bk>
      <extLst>
        <ext uri="{3e2802c4-a4d2-4d8b-9148-e3be6c30e623}">
          <xlrd:rvb i="829"/>
        </ext>
      </extLst>
    </bk>
    <bk>
      <extLst>
        <ext uri="{3e2802c4-a4d2-4d8b-9148-e3be6c30e623}">
          <xlrd:rvb i="832"/>
        </ext>
      </extLst>
    </bk>
    <bk>
      <extLst>
        <ext uri="{3e2802c4-a4d2-4d8b-9148-e3be6c30e623}">
          <xlrd:rvb i="835"/>
        </ext>
      </extLst>
    </bk>
    <bk>
      <extLst>
        <ext uri="{3e2802c4-a4d2-4d8b-9148-e3be6c30e623}">
          <xlrd:rvb i="838"/>
        </ext>
      </extLst>
    </bk>
    <bk>
      <extLst>
        <ext uri="{3e2802c4-a4d2-4d8b-9148-e3be6c30e623}">
          <xlrd:rvb i="841"/>
        </ext>
      </extLst>
    </bk>
    <bk>
      <extLst>
        <ext uri="{3e2802c4-a4d2-4d8b-9148-e3be6c30e623}">
          <xlrd:rvb i="843"/>
        </ext>
      </extLst>
    </bk>
    <bk>
      <extLst>
        <ext uri="{3e2802c4-a4d2-4d8b-9148-e3be6c30e623}">
          <xlrd:rvb i="846"/>
        </ext>
      </extLst>
    </bk>
    <bk>
      <extLst>
        <ext uri="{3e2802c4-a4d2-4d8b-9148-e3be6c30e623}">
          <xlrd:rvb i="849"/>
        </ext>
      </extLst>
    </bk>
    <bk>
      <extLst>
        <ext uri="{3e2802c4-a4d2-4d8b-9148-e3be6c30e623}">
          <xlrd:rvb i="852"/>
        </ext>
      </extLst>
    </bk>
    <bk>
      <extLst>
        <ext uri="{3e2802c4-a4d2-4d8b-9148-e3be6c30e623}">
          <xlrd:rvb i="855"/>
        </ext>
      </extLst>
    </bk>
    <bk>
      <extLst>
        <ext uri="{3e2802c4-a4d2-4d8b-9148-e3be6c30e623}">
          <xlrd:rvb i="858"/>
        </ext>
      </extLst>
    </bk>
    <bk>
      <extLst>
        <ext uri="{3e2802c4-a4d2-4d8b-9148-e3be6c30e623}">
          <xlrd:rvb i="861"/>
        </ext>
      </extLst>
    </bk>
    <bk>
      <extLst>
        <ext uri="{3e2802c4-a4d2-4d8b-9148-e3be6c30e623}">
          <xlrd:rvb i="864"/>
        </ext>
      </extLst>
    </bk>
    <bk>
      <extLst>
        <ext uri="{3e2802c4-a4d2-4d8b-9148-e3be6c30e623}">
          <xlrd:rvb i="867"/>
        </ext>
      </extLst>
    </bk>
    <bk>
      <extLst>
        <ext uri="{3e2802c4-a4d2-4d8b-9148-e3be6c30e623}">
          <xlrd:rvb i="870"/>
        </ext>
      </extLst>
    </bk>
    <bk>
      <extLst>
        <ext uri="{3e2802c4-a4d2-4d8b-9148-e3be6c30e623}">
          <xlrd:rvb i="873"/>
        </ext>
      </extLst>
    </bk>
    <bk>
      <extLst>
        <ext uri="{3e2802c4-a4d2-4d8b-9148-e3be6c30e623}">
          <xlrd:rvb i="875"/>
        </ext>
      </extLst>
    </bk>
    <bk>
      <extLst>
        <ext uri="{3e2802c4-a4d2-4d8b-9148-e3be6c30e623}">
          <xlrd:rvb i="878"/>
        </ext>
      </extLst>
    </bk>
    <bk>
      <extLst>
        <ext uri="{3e2802c4-a4d2-4d8b-9148-e3be6c30e623}">
          <xlrd:rvb i="881"/>
        </ext>
      </extLst>
    </bk>
    <bk>
      <extLst>
        <ext uri="{3e2802c4-a4d2-4d8b-9148-e3be6c30e623}">
          <xlrd:rvb i="884"/>
        </ext>
      </extLst>
    </bk>
    <bk>
      <extLst>
        <ext uri="{3e2802c4-a4d2-4d8b-9148-e3be6c30e623}">
          <xlrd:rvb i="887"/>
        </ext>
      </extLst>
    </bk>
    <bk>
      <extLst>
        <ext uri="{3e2802c4-a4d2-4d8b-9148-e3be6c30e623}">
          <xlrd:rvb i="890"/>
        </ext>
      </extLst>
    </bk>
    <bk>
      <extLst>
        <ext uri="{3e2802c4-a4d2-4d8b-9148-e3be6c30e623}">
          <xlrd:rvb i="893"/>
        </ext>
      </extLst>
    </bk>
    <bk>
      <extLst>
        <ext uri="{3e2802c4-a4d2-4d8b-9148-e3be6c30e623}">
          <xlrd:rvb i="896"/>
        </ext>
      </extLst>
    </bk>
    <bk>
      <extLst>
        <ext uri="{3e2802c4-a4d2-4d8b-9148-e3be6c30e623}">
          <xlrd:rvb i="899"/>
        </ext>
      </extLst>
    </bk>
    <bk>
      <extLst>
        <ext uri="{3e2802c4-a4d2-4d8b-9148-e3be6c30e623}">
          <xlrd:rvb i="902"/>
        </ext>
      </extLst>
    </bk>
    <bk>
      <extLst>
        <ext uri="{3e2802c4-a4d2-4d8b-9148-e3be6c30e623}">
          <xlrd:rvb i="905"/>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19"/>
        </ext>
      </extLst>
    </bk>
    <bk>
      <extLst>
        <ext uri="{3e2802c4-a4d2-4d8b-9148-e3be6c30e623}">
          <xlrd:rvb i="922"/>
        </ext>
      </extLst>
    </bk>
    <bk>
      <extLst>
        <ext uri="{3e2802c4-a4d2-4d8b-9148-e3be6c30e623}">
          <xlrd:rvb i="925"/>
        </ext>
      </extLst>
    </bk>
    <bk>
      <extLst>
        <ext uri="{3e2802c4-a4d2-4d8b-9148-e3be6c30e623}">
          <xlrd:rvb i="927"/>
        </ext>
      </extLst>
    </bk>
    <bk>
      <extLst>
        <ext uri="{3e2802c4-a4d2-4d8b-9148-e3be6c30e623}">
          <xlrd:rvb i="930"/>
        </ext>
      </extLst>
    </bk>
    <bk>
      <extLst>
        <ext uri="{3e2802c4-a4d2-4d8b-9148-e3be6c30e623}">
          <xlrd:rvb i="933"/>
        </ext>
      </extLst>
    </bk>
    <bk>
      <extLst>
        <ext uri="{3e2802c4-a4d2-4d8b-9148-e3be6c30e623}">
          <xlrd:rvb i="936"/>
        </ext>
      </extLst>
    </bk>
    <bk>
      <extLst>
        <ext uri="{3e2802c4-a4d2-4d8b-9148-e3be6c30e623}">
          <xlrd:rvb i="938"/>
        </ext>
      </extLst>
    </bk>
    <bk>
      <extLst>
        <ext uri="{3e2802c4-a4d2-4d8b-9148-e3be6c30e623}">
          <xlrd:rvb i="941"/>
        </ext>
      </extLst>
    </bk>
    <bk>
      <extLst>
        <ext uri="{3e2802c4-a4d2-4d8b-9148-e3be6c30e623}">
          <xlrd:rvb i="944"/>
        </ext>
      </extLst>
    </bk>
    <bk>
      <extLst>
        <ext uri="{3e2802c4-a4d2-4d8b-9148-e3be6c30e623}">
          <xlrd:rvb i="947"/>
        </ext>
      </extLst>
    </bk>
    <bk>
      <extLst>
        <ext uri="{3e2802c4-a4d2-4d8b-9148-e3be6c30e623}">
          <xlrd:rvb i="950"/>
        </ext>
      </extLst>
    </bk>
    <bk>
      <extLst>
        <ext uri="{3e2802c4-a4d2-4d8b-9148-e3be6c30e623}">
          <xlrd:rvb i="953"/>
        </ext>
      </extLst>
    </bk>
    <bk>
      <extLst>
        <ext uri="{3e2802c4-a4d2-4d8b-9148-e3be6c30e623}">
          <xlrd:rvb i="956"/>
        </ext>
      </extLst>
    </bk>
    <bk>
      <extLst>
        <ext uri="{3e2802c4-a4d2-4d8b-9148-e3be6c30e623}">
          <xlrd:rvb i="959"/>
        </ext>
      </extLst>
    </bk>
    <bk>
      <extLst>
        <ext uri="{3e2802c4-a4d2-4d8b-9148-e3be6c30e623}">
          <xlrd:rvb i="962"/>
        </ext>
      </extLst>
    </bk>
    <bk>
      <extLst>
        <ext uri="{3e2802c4-a4d2-4d8b-9148-e3be6c30e623}">
          <xlrd:rvb i="965"/>
        </ext>
      </extLst>
    </bk>
    <bk>
      <extLst>
        <ext uri="{3e2802c4-a4d2-4d8b-9148-e3be6c30e623}">
          <xlrd:rvb i="968"/>
        </ext>
      </extLst>
    </bk>
    <bk>
      <extLst>
        <ext uri="{3e2802c4-a4d2-4d8b-9148-e3be6c30e623}">
          <xlrd:rvb i="971"/>
        </ext>
      </extLst>
    </bk>
    <bk>
      <extLst>
        <ext uri="{3e2802c4-a4d2-4d8b-9148-e3be6c30e623}">
          <xlrd:rvb i="974"/>
        </ext>
      </extLst>
    </bk>
    <bk>
      <extLst>
        <ext uri="{3e2802c4-a4d2-4d8b-9148-e3be6c30e623}">
          <xlrd:rvb i="977"/>
        </ext>
      </extLst>
    </bk>
    <bk>
      <extLst>
        <ext uri="{3e2802c4-a4d2-4d8b-9148-e3be6c30e623}">
          <xlrd:rvb i="980"/>
        </ext>
      </extLst>
    </bk>
    <bk>
      <extLst>
        <ext uri="{3e2802c4-a4d2-4d8b-9148-e3be6c30e623}">
          <xlrd:rvb i="983"/>
        </ext>
      </extLst>
    </bk>
    <bk>
      <extLst>
        <ext uri="{3e2802c4-a4d2-4d8b-9148-e3be6c30e623}">
          <xlrd:rvb i="986"/>
        </ext>
      </extLst>
    </bk>
    <bk>
      <extLst>
        <ext uri="{3e2802c4-a4d2-4d8b-9148-e3be6c30e623}">
          <xlrd:rvb i="989"/>
        </ext>
      </extLst>
    </bk>
    <bk>
      <extLst>
        <ext uri="{3e2802c4-a4d2-4d8b-9148-e3be6c30e623}">
          <xlrd:rvb i="992"/>
        </ext>
      </extLst>
    </bk>
    <bk>
      <extLst>
        <ext uri="{3e2802c4-a4d2-4d8b-9148-e3be6c30e623}">
          <xlrd:rvb i="995"/>
        </ext>
      </extLst>
    </bk>
    <bk>
      <extLst>
        <ext uri="{3e2802c4-a4d2-4d8b-9148-e3be6c30e623}">
          <xlrd:rvb i="998"/>
        </ext>
      </extLst>
    </bk>
    <bk>
      <extLst>
        <ext uri="{3e2802c4-a4d2-4d8b-9148-e3be6c30e623}">
          <xlrd:rvb i="1001"/>
        </ext>
      </extLst>
    </bk>
    <bk>
      <extLst>
        <ext uri="{3e2802c4-a4d2-4d8b-9148-e3be6c30e623}">
          <xlrd:rvb i="1004"/>
        </ext>
      </extLst>
    </bk>
    <bk>
      <extLst>
        <ext uri="{3e2802c4-a4d2-4d8b-9148-e3be6c30e623}">
          <xlrd:rvb i="1007"/>
        </ext>
      </extLst>
    </bk>
    <bk>
      <extLst>
        <ext uri="{3e2802c4-a4d2-4d8b-9148-e3be6c30e623}">
          <xlrd:rvb i="1010"/>
        </ext>
      </extLst>
    </bk>
    <bk>
      <extLst>
        <ext uri="{3e2802c4-a4d2-4d8b-9148-e3be6c30e623}">
          <xlrd:rvb i="1013"/>
        </ext>
      </extLst>
    </bk>
    <bk>
      <extLst>
        <ext uri="{3e2802c4-a4d2-4d8b-9148-e3be6c30e623}">
          <xlrd:rvb i="1016"/>
        </ext>
      </extLst>
    </bk>
    <bk>
      <extLst>
        <ext uri="{3e2802c4-a4d2-4d8b-9148-e3be6c30e623}">
          <xlrd:rvb i="1019"/>
        </ext>
      </extLst>
    </bk>
    <bk>
      <extLst>
        <ext uri="{3e2802c4-a4d2-4d8b-9148-e3be6c30e623}">
          <xlrd:rvb i="1022"/>
        </ext>
      </extLst>
    </bk>
    <bk>
      <extLst>
        <ext uri="{3e2802c4-a4d2-4d8b-9148-e3be6c30e623}">
          <xlrd:rvb i="1025"/>
        </ext>
      </extLst>
    </bk>
    <bk>
      <extLst>
        <ext uri="{3e2802c4-a4d2-4d8b-9148-e3be6c30e623}">
          <xlrd:rvb i="1028"/>
        </ext>
      </extLst>
    </bk>
    <bk>
      <extLst>
        <ext uri="{3e2802c4-a4d2-4d8b-9148-e3be6c30e623}">
          <xlrd:rvb i="1031"/>
        </ext>
      </extLst>
    </bk>
    <bk>
      <extLst>
        <ext uri="{3e2802c4-a4d2-4d8b-9148-e3be6c30e623}">
          <xlrd:rvb i="1034"/>
        </ext>
      </extLst>
    </bk>
    <bk>
      <extLst>
        <ext uri="{3e2802c4-a4d2-4d8b-9148-e3be6c30e623}">
          <xlrd:rvb i="1037"/>
        </ext>
      </extLst>
    </bk>
    <bk>
      <extLst>
        <ext uri="{3e2802c4-a4d2-4d8b-9148-e3be6c30e623}">
          <xlrd:rvb i="1040"/>
        </ext>
      </extLst>
    </bk>
    <bk>
      <extLst>
        <ext uri="{3e2802c4-a4d2-4d8b-9148-e3be6c30e623}">
          <xlrd:rvb i="1043"/>
        </ext>
      </extLst>
    </bk>
    <bk>
      <extLst>
        <ext uri="{3e2802c4-a4d2-4d8b-9148-e3be6c30e623}">
          <xlrd:rvb i="1046"/>
        </ext>
      </extLst>
    </bk>
    <bk>
      <extLst>
        <ext uri="{3e2802c4-a4d2-4d8b-9148-e3be6c30e623}">
          <xlrd:rvb i="1049"/>
        </ext>
      </extLst>
    </bk>
    <bk>
      <extLst>
        <ext uri="{3e2802c4-a4d2-4d8b-9148-e3be6c30e623}">
          <xlrd:rvb i="1052"/>
        </ext>
      </extLst>
    </bk>
    <bk>
      <extLst>
        <ext uri="{3e2802c4-a4d2-4d8b-9148-e3be6c30e623}">
          <xlrd:rvb i="1055"/>
        </ext>
      </extLst>
    </bk>
    <bk>
      <extLst>
        <ext uri="{3e2802c4-a4d2-4d8b-9148-e3be6c30e623}">
          <xlrd:rvb i="1058"/>
        </ext>
      </extLst>
    </bk>
    <bk>
      <extLst>
        <ext uri="{3e2802c4-a4d2-4d8b-9148-e3be6c30e623}">
          <xlrd:rvb i="1061"/>
        </ext>
      </extLst>
    </bk>
    <bk>
      <extLst>
        <ext uri="{3e2802c4-a4d2-4d8b-9148-e3be6c30e623}">
          <xlrd:rvb i="1064"/>
        </ext>
      </extLst>
    </bk>
    <bk>
      <extLst>
        <ext uri="{3e2802c4-a4d2-4d8b-9148-e3be6c30e623}">
          <xlrd:rvb i="1067"/>
        </ext>
      </extLst>
    </bk>
    <bk>
      <extLst>
        <ext uri="{3e2802c4-a4d2-4d8b-9148-e3be6c30e623}">
          <xlrd:rvb i="1070"/>
        </ext>
      </extLst>
    </bk>
    <bk>
      <extLst>
        <ext uri="{3e2802c4-a4d2-4d8b-9148-e3be6c30e623}">
          <xlrd:rvb i="1073"/>
        </ext>
      </extLst>
    </bk>
    <bk>
      <extLst>
        <ext uri="{3e2802c4-a4d2-4d8b-9148-e3be6c30e623}">
          <xlrd:rvb i="1076"/>
        </ext>
      </extLst>
    </bk>
    <bk>
      <extLst>
        <ext uri="{3e2802c4-a4d2-4d8b-9148-e3be6c30e623}">
          <xlrd:rvb i="1079"/>
        </ext>
      </extLst>
    </bk>
    <bk>
      <extLst>
        <ext uri="{3e2802c4-a4d2-4d8b-9148-e3be6c30e623}">
          <xlrd:rvb i="1082"/>
        </ext>
      </extLst>
    </bk>
    <bk>
      <extLst>
        <ext uri="{3e2802c4-a4d2-4d8b-9148-e3be6c30e623}">
          <xlrd:rvb i="1085"/>
        </ext>
      </extLst>
    </bk>
    <bk>
      <extLst>
        <ext uri="{3e2802c4-a4d2-4d8b-9148-e3be6c30e623}">
          <xlrd:rvb i="1088"/>
        </ext>
      </extLst>
    </bk>
    <bk>
      <extLst>
        <ext uri="{3e2802c4-a4d2-4d8b-9148-e3be6c30e623}">
          <xlrd:rvb i="1091"/>
        </ext>
      </extLst>
    </bk>
    <bk>
      <extLst>
        <ext uri="{3e2802c4-a4d2-4d8b-9148-e3be6c30e623}">
          <xlrd:rvb i="1094"/>
        </ext>
      </extLst>
    </bk>
    <bk>
      <extLst>
        <ext uri="{3e2802c4-a4d2-4d8b-9148-e3be6c30e623}">
          <xlrd:rvb i="1097"/>
        </ext>
      </extLst>
    </bk>
    <bk>
      <extLst>
        <ext uri="{3e2802c4-a4d2-4d8b-9148-e3be6c30e623}">
          <xlrd:rvb i="1100"/>
        </ext>
      </extLst>
    </bk>
    <bk>
      <extLst>
        <ext uri="{3e2802c4-a4d2-4d8b-9148-e3be6c30e623}">
          <xlrd:rvb i="1103"/>
        </ext>
      </extLst>
    </bk>
    <bk>
      <extLst>
        <ext uri="{3e2802c4-a4d2-4d8b-9148-e3be6c30e623}">
          <xlrd:rvb i="1106"/>
        </ext>
      </extLst>
    </bk>
    <bk>
      <extLst>
        <ext uri="{3e2802c4-a4d2-4d8b-9148-e3be6c30e623}">
          <xlrd:rvb i="1109"/>
        </ext>
      </extLst>
    </bk>
    <bk>
      <extLst>
        <ext uri="{3e2802c4-a4d2-4d8b-9148-e3be6c30e623}">
          <xlrd:rvb i="1115"/>
        </ext>
      </extLst>
    </bk>
    <bk>
      <extLst>
        <ext uri="{3e2802c4-a4d2-4d8b-9148-e3be6c30e623}">
          <xlrd:rvb i="1118"/>
        </ext>
      </extLst>
    </bk>
    <bk>
      <extLst>
        <ext uri="{3e2802c4-a4d2-4d8b-9148-e3be6c30e623}">
          <xlrd:rvb i="1121"/>
        </ext>
      </extLst>
    </bk>
    <bk>
      <extLst>
        <ext uri="{3e2802c4-a4d2-4d8b-9148-e3be6c30e623}">
          <xlrd:rvb i="1124"/>
        </ext>
      </extLst>
    </bk>
    <bk>
      <extLst>
        <ext uri="{3e2802c4-a4d2-4d8b-9148-e3be6c30e623}">
          <xlrd:rvb i="1127"/>
        </ext>
      </extLst>
    </bk>
    <bk>
      <extLst>
        <ext uri="{3e2802c4-a4d2-4d8b-9148-e3be6c30e623}">
          <xlrd:rvb i="1130"/>
        </ext>
      </extLst>
    </bk>
    <bk>
      <extLst>
        <ext uri="{3e2802c4-a4d2-4d8b-9148-e3be6c30e623}">
          <xlrd:rvb i="1133"/>
        </ext>
      </extLst>
    </bk>
    <bk>
      <extLst>
        <ext uri="{3e2802c4-a4d2-4d8b-9148-e3be6c30e623}">
          <xlrd:rvb i="1136"/>
        </ext>
      </extLst>
    </bk>
    <bk>
      <extLst>
        <ext uri="{3e2802c4-a4d2-4d8b-9148-e3be6c30e623}">
          <xlrd:rvb i="1139"/>
        </ext>
      </extLst>
    </bk>
    <bk>
      <extLst>
        <ext uri="{3e2802c4-a4d2-4d8b-9148-e3be6c30e623}">
          <xlrd:rvb i="1142"/>
        </ext>
      </extLst>
    </bk>
    <bk>
      <extLst>
        <ext uri="{3e2802c4-a4d2-4d8b-9148-e3be6c30e623}">
          <xlrd:rvb i="1145"/>
        </ext>
      </extLst>
    </bk>
    <bk>
      <extLst>
        <ext uri="{3e2802c4-a4d2-4d8b-9148-e3be6c30e623}">
          <xlrd:rvb i="1148"/>
        </ext>
      </extLst>
    </bk>
    <bk>
      <extLst>
        <ext uri="{3e2802c4-a4d2-4d8b-9148-e3be6c30e623}">
          <xlrd:rvb i="1151"/>
        </ext>
      </extLst>
    </bk>
    <bk>
      <extLst>
        <ext uri="{3e2802c4-a4d2-4d8b-9148-e3be6c30e623}">
          <xlrd:rvb i="1154"/>
        </ext>
      </extLst>
    </bk>
    <bk>
      <extLst>
        <ext uri="{3e2802c4-a4d2-4d8b-9148-e3be6c30e623}">
          <xlrd:rvb i="1157"/>
        </ext>
      </extLst>
    </bk>
    <bk>
      <extLst>
        <ext uri="{3e2802c4-a4d2-4d8b-9148-e3be6c30e623}">
          <xlrd:rvb i="1160"/>
        </ext>
      </extLst>
    </bk>
    <bk>
      <extLst>
        <ext uri="{3e2802c4-a4d2-4d8b-9148-e3be6c30e623}">
          <xlrd:rvb i="1163"/>
        </ext>
      </extLst>
    </bk>
    <bk>
      <extLst>
        <ext uri="{3e2802c4-a4d2-4d8b-9148-e3be6c30e623}">
          <xlrd:rvb i="1166"/>
        </ext>
      </extLst>
    </bk>
    <bk>
      <extLst>
        <ext uri="{3e2802c4-a4d2-4d8b-9148-e3be6c30e623}">
          <xlrd:rvb i="1169"/>
        </ext>
      </extLst>
    </bk>
    <bk>
      <extLst>
        <ext uri="{3e2802c4-a4d2-4d8b-9148-e3be6c30e623}">
          <xlrd:rvb i="1172"/>
        </ext>
      </extLst>
    </bk>
    <bk>
      <extLst>
        <ext uri="{3e2802c4-a4d2-4d8b-9148-e3be6c30e623}">
          <xlrd:rvb i="1175"/>
        </ext>
      </extLst>
    </bk>
    <bk>
      <extLst>
        <ext uri="{3e2802c4-a4d2-4d8b-9148-e3be6c30e623}">
          <xlrd:rvb i="1178"/>
        </ext>
      </extLst>
    </bk>
    <bk>
      <extLst>
        <ext uri="{3e2802c4-a4d2-4d8b-9148-e3be6c30e623}">
          <xlrd:rvb i="1181"/>
        </ext>
      </extLst>
    </bk>
    <bk>
      <extLst>
        <ext uri="{3e2802c4-a4d2-4d8b-9148-e3be6c30e623}">
          <xlrd:rvb i="1184"/>
        </ext>
      </extLst>
    </bk>
    <bk>
      <extLst>
        <ext uri="{3e2802c4-a4d2-4d8b-9148-e3be6c30e623}">
          <xlrd:rvb i="1187"/>
        </ext>
      </extLst>
    </bk>
    <bk>
      <extLst>
        <ext uri="{3e2802c4-a4d2-4d8b-9148-e3be6c30e623}">
          <xlrd:rvb i="1190"/>
        </ext>
      </extLst>
    </bk>
    <bk>
      <extLst>
        <ext uri="{3e2802c4-a4d2-4d8b-9148-e3be6c30e623}">
          <xlrd:rvb i="1193"/>
        </ext>
      </extLst>
    </bk>
    <bk>
      <extLst>
        <ext uri="{3e2802c4-a4d2-4d8b-9148-e3be6c30e623}">
          <xlrd:rvb i="1196"/>
        </ext>
      </extLst>
    </bk>
    <bk>
      <extLst>
        <ext uri="{3e2802c4-a4d2-4d8b-9148-e3be6c30e623}">
          <xlrd:rvb i="1199"/>
        </ext>
      </extLst>
    </bk>
    <bk>
      <extLst>
        <ext uri="{3e2802c4-a4d2-4d8b-9148-e3be6c30e623}">
          <xlrd:rvb i="1202"/>
        </ext>
      </extLst>
    </bk>
    <bk>
      <extLst>
        <ext uri="{3e2802c4-a4d2-4d8b-9148-e3be6c30e623}">
          <xlrd:rvb i="1205"/>
        </ext>
      </extLst>
    </bk>
    <bk>
      <extLst>
        <ext uri="{3e2802c4-a4d2-4d8b-9148-e3be6c30e623}">
          <xlrd:rvb i="1208"/>
        </ext>
      </extLst>
    </bk>
    <bk>
      <extLst>
        <ext uri="{3e2802c4-a4d2-4d8b-9148-e3be6c30e623}">
          <xlrd:rvb i="1211"/>
        </ext>
      </extLst>
    </bk>
    <bk>
      <extLst>
        <ext uri="{3e2802c4-a4d2-4d8b-9148-e3be6c30e623}">
          <xlrd:rvb i="1214"/>
        </ext>
      </extLst>
    </bk>
    <bk>
      <extLst>
        <ext uri="{3e2802c4-a4d2-4d8b-9148-e3be6c30e623}">
          <xlrd:rvb i="1217"/>
        </ext>
      </extLst>
    </bk>
    <bk>
      <extLst>
        <ext uri="{3e2802c4-a4d2-4d8b-9148-e3be6c30e623}">
          <xlrd:rvb i="1220"/>
        </ext>
      </extLst>
    </bk>
    <bk>
      <extLst>
        <ext uri="{3e2802c4-a4d2-4d8b-9148-e3be6c30e623}">
          <xlrd:rvb i="1223"/>
        </ext>
      </extLst>
    </bk>
    <bk>
      <extLst>
        <ext uri="{3e2802c4-a4d2-4d8b-9148-e3be6c30e623}">
          <xlrd:rvb i="1226"/>
        </ext>
      </extLst>
    </bk>
    <bk>
      <extLst>
        <ext uri="{3e2802c4-a4d2-4d8b-9148-e3be6c30e623}">
          <xlrd:rvb i="1229"/>
        </ext>
      </extLst>
    </bk>
    <bk>
      <extLst>
        <ext uri="{3e2802c4-a4d2-4d8b-9148-e3be6c30e623}">
          <xlrd:rvb i="1232"/>
        </ext>
      </extLst>
    </bk>
    <bk>
      <extLst>
        <ext uri="{3e2802c4-a4d2-4d8b-9148-e3be6c30e623}">
          <xlrd:rvb i="1235"/>
        </ext>
      </extLst>
    </bk>
    <bk>
      <extLst>
        <ext uri="{3e2802c4-a4d2-4d8b-9148-e3be6c30e623}">
          <xlrd:rvb i="1238"/>
        </ext>
      </extLst>
    </bk>
    <bk>
      <extLst>
        <ext uri="{3e2802c4-a4d2-4d8b-9148-e3be6c30e623}">
          <xlrd:rvb i="1241"/>
        </ext>
      </extLst>
    </bk>
    <bk>
      <extLst>
        <ext uri="{3e2802c4-a4d2-4d8b-9148-e3be6c30e623}">
          <xlrd:rvb i="1244"/>
        </ext>
      </extLst>
    </bk>
    <bk>
      <extLst>
        <ext uri="{3e2802c4-a4d2-4d8b-9148-e3be6c30e623}">
          <xlrd:rvb i="1247"/>
        </ext>
      </extLst>
    </bk>
    <bk>
      <extLst>
        <ext uri="{3e2802c4-a4d2-4d8b-9148-e3be6c30e623}">
          <xlrd:rvb i="1250"/>
        </ext>
      </extLst>
    </bk>
    <bk>
      <extLst>
        <ext uri="{3e2802c4-a4d2-4d8b-9148-e3be6c30e623}">
          <xlrd:rvb i="1253"/>
        </ext>
      </extLst>
    </bk>
    <bk>
      <extLst>
        <ext uri="{3e2802c4-a4d2-4d8b-9148-e3be6c30e623}">
          <xlrd:rvb i="1256"/>
        </ext>
      </extLst>
    </bk>
    <bk>
      <extLst>
        <ext uri="{3e2802c4-a4d2-4d8b-9148-e3be6c30e623}">
          <xlrd:rvb i="1259"/>
        </ext>
      </extLst>
    </bk>
    <bk>
      <extLst>
        <ext uri="{3e2802c4-a4d2-4d8b-9148-e3be6c30e623}">
          <xlrd:rvb i="1262"/>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2"/>
        </ext>
      </extLst>
    </bk>
    <bk>
      <extLst>
        <ext uri="{3e2802c4-a4d2-4d8b-9148-e3be6c30e623}">
          <xlrd:rvb i="1295"/>
        </ext>
      </extLst>
    </bk>
    <bk>
      <extLst>
        <ext uri="{3e2802c4-a4d2-4d8b-9148-e3be6c30e623}">
          <xlrd:rvb i="1298"/>
        </ext>
      </extLst>
    </bk>
    <bk>
      <extLst>
        <ext uri="{3e2802c4-a4d2-4d8b-9148-e3be6c30e623}">
          <xlrd:rvb i="1301"/>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2"/>
        </ext>
      </extLst>
    </bk>
    <bk>
      <extLst>
        <ext uri="{3e2802c4-a4d2-4d8b-9148-e3be6c30e623}">
          <xlrd:rvb i="1345"/>
        </ext>
      </extLst>
    </bk>
    <bk>
      <extLst>
        <ext uri="{3e2802c4-a4d2-4d8b-9148-e3be6c30e623}">
          <xlrd:rvb i="1348"/>
        </ext>
      </extLst>
    </bk>
    <bk>
      <extLst>
        <ext uri="{3e2802c4-a4d2-4d8b-9148-e3be6c30e623}">
          <xlrd:rvb i="1351"/>
        </ext>
      </extLst>
    </bk>
    <bk>
      <extLst>
        <ext uri="{3e2802c4-a4d2-4d8b-9148-e3be6c30e623}">
          <xlrd:rvb i="1354"/>
        </ext>
      </extLst>
    </bk>
    <bk>
      <extLst>
        <ext uri="{3e2802c4-a4d2-4d8b-9148-e3be6c30e623}">
          <xlrd:rvb i="1357"/>
        </ext>
      </extLst>
    </bk>
    <bk>
      <extLst>
        <ext uri="{3e2802c4-a4d2-4d8b-9148-e3be6c30e623}">
          <xlrd:rvb i="1360"/>
        </ext>
      </extLst>
    </bk>
    <bk>
      <extLst>
        <ext uri="{3e2802c4-a4d2-4d8b-9148-e3be6c30e623}">
          <xlrd:rvb i="1363"/>
        </ext>
      </extLst>
    </bk>
    <bk>
      <extLst>
        <ext uri="{3e2802c4-a4d2-4d8b-9148-e3be6c30e623}">
          <xlrd:rvb i="1366"/>
        </ext>
      </extLst>
    </bk>
    <bk>
      <extLst>
        <ext uri="{3e2802c4-a4d2-4d8b-9148-e3be6c30e623}">
          <xlrd:rvb i="1369"/>
        </ext>
      </extLst>
    </bk>
    <bk>
      <extLst>
        <ext uri="{3e2802c4-a4d2-4d8b-9148-e3be6c30e623}">
          <xlrd:rvb i="1372"/>
        </ext>
      </extLst>
    </bk>
    <bk>
      <extLst>
        <ext uri="{3e2802c4-a4d2-4d8b-9148-e3be6c30e623}">
          <xlrd:rvb i="1375"/>
        </ext>
      </extLst>
    </bk>
    <bk>
      <extLst>
        <ext uri="{3e2802c4-a4d2-4d8b-9148-e3be6c30e623}">
          <xlrd:rvb i="1378"/>
        </ext>
      </extLst>
    </bk>
    <bk>
      <extLst>
        <ext uri="{3e2802c4-a4d2-4d8b-9148-e3be6c30e623}">
          <xlrd:rvb i="1381"/>
        </ext>
      </extLst>
    </bk>
  </futureMetadata>
  <cellMetadata count="1">
    <bk>
      <rc t="1" v="0"/>
    </bk>
  </cellMetadata>
  <valueMetadata count="47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valueMetadata>
</metadata>
</file>

<file path=xl/sharedStrings.xml><?xml version="1.0" encoding="utf-8"?>
<sst xmlns="http://schemas.openxmlformats.org/spreadsheetml/2006/main" count="3254" uniqueCount="448">
  <si>
    <t>valor</t>
  </si>
  <si>
    <t>fecha</t>
  </si>
  <si>
    <t>Cambio</t>
  </si>
  <si>
    <t>cambio</t>
  </si>
  <si>
    <t>Plus/Minus</t>
  </si>
  <si>
    <t>titulos</t>
  </si>
  <si>
    <t>precio</t>
  </si>
  <si>
    <t>importe $</t>
  </si>
  <si>
    <t>importe €</t>
  </si>
  <si>
    <t>importe  $</t>
  </si>
  <si>
    <t>comisión</t>
  </si>
  <si>
    <t>-</t>
  </si>
  <si>
    <t>Títulos</t>
  </si>
  <si>
    <t>COMPRA</t>
  </si>
  <si>
    <t>VENTA</t>
  </si>
  <si>
    <t>TIPO FISCAL</t>
  </si>
  <si>
    <t>+</t>
  </si>
  <si>
    <t>LATENTE</t>
  </si>
  <si>
    <t>CARTERA</t>
  </si>
  <si>
    <t>Rdto. NETO</t>
  </si>
  <si>
    <t>TCKR</t>
  </si>
  <si>
    <t>moneda</t>
  </si>
  <si>
    <t>€/$</t>
  </si>
  <si>
    <t>euros</t>
  </si>
  <si>
    <t>dólar</t>
  </si>
  <si>
    <t>tipo cambio</t>
  </si>
  <si>
    <t>R4</t>
  </si>
  <si>
    <t>$/€</t>
  </si>
  <si>
    <t>DÓLAR</t>
  </si>
  <si>
    <t>EUROS</t>
  </si>
  <si>
    <t>Total bolsa</t>
  </si>
  <si>
    <t>Total cartera</t>
  </si>
  <si>
    <t>Bruto</t>
  </si>
  <si>
    <t>Neto</t>
  </si>
  <si>
    <t>Total dividendos</t>
  </si>
  <si>
    <t>bruto</t>
  </si>
  <si>
    <t>neto</t>
  </si>
  <si>
    <t>Ganancias</t>
  </si>
  <si>
    <t>28//17</t>
  </si>
  <si>
    <t>open</t>
  </si>
  <si>
    <t>price</t>
  </si>
  <si>
    <t>%</t>
  </si>
  <si>
    <t>Total dólares</t>
  </si>
  <si>
    <t>cambio actual</t>
  </si>
  <si>
    <t>Total euros</t>
  </si>
  <si>
    <t>Diferencia</t>
  </si>
  <si>
    <t>Fecha</t>
  </si>
  <si>
    <t>Total Bruto</t>
  </si>
  <si>
    <t>Total Neto</t>
  </si>
  <si>
    <t>total</t>
  </si>
  <si>
    <t>Reten destino</t>
  </si>
  <si>
    <t>Reten origen</t>
  </si>
  <si>
    <t>Enero</t>
  </si>
  <si>
    <t>Febrero</t>
  </si>
  <si>
    <t>Marzo</t>
  </si>
  <si>
    <t>Abril</t>
  </si>
  <si>
    <t>Mayo</t>
  </si>
  <si>
    <t>Junio</t>
  </si>
  <si>
    <t>Julio</t>
  </si>
  <si>
    <t>Agosto</t>
  </si>
  <si>
    <t>Septiembre</t>
  </si>
  <si>
    <t>Octubre</t>
  </si>
  <si>
    <t>Noviembre</t>
  </si>
  <si>
    <t>Diciembre</t>
  </si>
  <si>
    <t>Bolsa</t>
  </si>
  <si>
    <t>Dividendos</t>
  </si>
  <si>
    <t>Total</t>
  </si>
  <si>
    <t>Acumulado</t>
  </si>
  <si>
    <t>Gastos</t>
  </si>
  <si>
    <t>Acción</t>
  </si>
  <si>
    <t>% retención</t>
  </si>
  <si>
    <t>Banco</t>
  </si>
  <si>
    <t>ING</t>
  </si>
  <si>
    <t>Stop Loss</t>
  </si>
  <si>
    <t>Recomendación</t>
  </si>
  <si>
    <t>Cartera</t>
  </si>
  <si>
    <t>Idea</t>
  </si>
  <si>
    <t>Doblado</t>
  </si>
  <si>
    <t>Intro</t>
  </si>
  <si>
    <t>Precio Max.</t>
  </si>
  <si>
    <t>Precio compra</t>
  </si>
  <si>
    <t>Difer. Obje 1</t>
  </si>
  <si>
    <t>Dife obje 2</t>
  </si>
  <si>
    <t>Dife obje stop</t>
  </si>
  <si>
    <t>Precio venta</t>
  </si>
  <si>
    <t>Rentabilidad</t>
  </si>
  <si>
    <t>Media mensual</t>
  </si>
  <si>
    <t>Rentab. Parcial</t>
  </si>
  <si>
    <t>IBKR</t>
  </si>
  <si>
    <t>RENTABILIDAD</t>
  </si>
  <si>
    <t>BRUTA</t>
  </si>
  <si>
    <t>NETA</t>
  </si>
  <si>
    <t>RESULTADO</t>
  </si>
  <si>
    <t>INVERTIDO</t>
  </si>
  <si>
    <t>Sin divi</t>
  </si>
  <si>
    <t>ENERO</t>
  </si>
  <si>
    <t>FEBRERO</t>
  </si>
  <si>
    <t>EJECUCIONES</t>
  </si>
  <si>
    <t>MARZO</t>
  </si>
  <si>
    <t>3 sesiones</t>
  </si>
  <si>
    <t>IRPF</t>
  </si>
  <si>
    <t>Mensual</t>
  </si>
  <si>
    <t>F. publicación</t>
  </si>
  <si>
    <t>F. compra</t>
  </si>
  <si>
    <t>ABRIL</t>
  </si>
  <si>
    <t>Cuota</t>
  </si>
  <si>
    <t>MAYO</t>
  </si>
  <si>
    <t>P. condición</t>
  </si>
  <si>
    <t>Medio</t>
  </si>
  <si>
    <t>IRPF Dividendos</t>
  </si>
  <si>
    <t>NO EJECUTADOS</t>
  </si>
  <si>
    <t>con dividendos</t>
  </si>
  <si>
    <t>sin dividendos</t>
  </si>
  <si>
    <t>ponderada</t>
  </si>
  <si>
    <t>JUNIO</t>
  </si>
  <si>
    <t>ing</t>
  </si>
  <si>
    <t>dividendo</t>
  </si>
  <si>
    <t xml:space="preserve">TOTAL AÑO </t>
  </si>
  <si>
    <t>BRUTO</t>
  </si>
  <si>
    <t>NETO</t>
  </si>
  <si>
    <t>febrero</t>
  </si>
  <si>
    <t>Precio compra2</t>
  </si>
  <si>
    <t>Rentab. Parcial3</t>
  </si>
  <si>
    <t>JULIO</t>
  </si>
  <si>
    <t>Extranjero</t>
  </si>
  <si>
    <t>Máx</t>
  </si>
  <si>
    <t>Min</t>
  </si>
  <si>
    <t>Diferencia con Vta</t>
  </si>
  <si>
    <t>ibkr</t>
  </si>
  <si>
    <t>52 high</t>
  </si>
  <si>
    <t>52  low</t>
  </si>
  <si>
    <t>IBKR/R4</t>
  </si>
  <si>
    <t>AGOSTO</t>
  </si>
  <si>
    <t>Dife compra</t>
  </si>
  <si>
    <t>&gt;8,51</t>
  </si>
  <si>
    <t>SEPTIEMBRE</t>
  </si>
  <si>
    <t>Mía</t>
  </si>
  <si>
    <t>Base liquidable del ahorro</t>
  </si>
  <si>
    <t>Cuota íntegra</t>
  </si>
  <si>
    <t>Resto base liquidable</t>
  </si>
  <si>
    <t>Tipo</t>
  </si>
  <si>
    <t>MARIO</t>
  </si>
  <si>
    <t>EVA</t>
  </si>
  <si>
    <t>Tipo medio</t>
  </si>
  <si>
    <t>USD/EUR</t>
  </si>
  <si>
    <t>&gt;35,5</t>
  </si>
  <si>
    <t>&gt;62</t>
  </si>
  <si>
    <t>OCTUBRE</t>
  </si>
  <si>
    <t>EUR</t>
  </si>
  <si>
    <t>Retención dividendos</t>
  </si>
  <si>
    <t>Cuota neta IRPF</t>
  </si>
  <si>
    <t>Dividendos a cta.</t>
  </si>
  <si>
    <t>Cuota Neta IRPF</t>
  </si>
  <si>
    <t>NOVIEMBRE</t>
  </si>
  <si>
    <t>Con div</t>
  </si>
  <si>
    <t>si</t>
  </si>
  <si>
    <t>I. Venta</t>
  </si>
  <si>
    <t>I. Actual</t>
  </si>
  <si>
    <t>Previsión</t>
  </si>
  <si>
    <t>P/G</t>
  </si>
  <si>
    <t>Real</t>
  </si>
  <si>
    <t>DICIEMBRE</t>
  </si>
  <si>
    <t>EUR/USD</t>
  </si>
  <si>
    <t>cartera</t>
  </si>
  <si>
    <t>% Cartera</t>
  </si>
  <si>
    <t>Promedio</t>
  </si>
  <si>
    <t>idea</t>
  </si>
  <si>
    <t xml:space="preserve"> tipo cambio </t>
  </si>
  <si>
    <t>Proporcional</t>
  </si>
  <si>
    <t>Titulos2</t>
  </si>
  <si>
    <t>Tick</t>
  </si>
  <si>
    <t>Ganancia</t>
  </si>
  <si>
    <t>$</t>
  </si>
  <si>
    <t>€</t>
  </si>
  <si>
    <t>% Hoy</t>
  </si>
  <si>
    <t>HIGH 10%</t>
  </si>
  <si>
    <t>HIGH 5%</t>
  </si>
  <si>
    <t>MAX 5%</t>
  </si>
  <si>
    <t>MAX 10%</t>
  </si>
  <si>
    <t>17!2/24</t>
  </si>
  <si>
    <t>Tipo Medio</t>
  </si>
  <si>
    <t>Chicho</t>
  </si>
  <si>
    <t>chicho</t>
  </si>
  <si>
    <t>r4</t>
  </si>
  <si>
    <t>Ing</t>
  </si>
  <si>
    <t>Plus/Minus latentes</t>
  </si>
  <si>
    <t xml:space="preserve">TOTAL ACTIVO </t>
  </si>
  <si>
    <t>Investing</t>
  </si>
  <si>
    <t>Myinv</t>
  </si>
  <si>
    <t>Myinvestor</t>
  </si>
  <si>
    <t>R4/ING</t>
  </si>
  <si>
    <t>P/E</t>
  </si>
  <si>
    <t>Difer. Investing</t>
  </si>
  <si>
    <t>Difer. stop</t>
  </si>
  <si>
    <t>Rentab. Parcial2</t>
  </si>
  <si>
    <t>% €/$</t>
  </si>
  <si>
    <t>medio</t>
  </si>
  <si>
    <t>medio/ing</t>
  </si>
  <si>
    <t>OCI</t>
  </si>
  <si>
    <t>Revolut</t>
  </si>
  <si>
    <t>MyInvestor</t>
  </si>
  <si>
    <t>Totales</t>
  </si>
  <si>
    <t>Conjunto</t>
  </si>
  <si>
    <t>Solo</t>
  </si>
  <si>
    <t>revolut</t>
  </si>
  <si>
    <t>FOREX</t>
  </si>
  <si>
    <t>doblado</t>
  </si>
  <si>
    <t>Días cartera</t>
  </si>
  <si>
    <t>Difer. Obje 12</t>
  </si>
  <si>
    <t>Div.</t>
  </si>
  <si>
    <t>AMAT</t>
  </si>
  <si>
    <t>Rent. D.</t>
  </si>
  <si>
    <t>R4/Revolut</t>
  </si>
  <si>
    <t>Total Mario</t>
  </si>
  <si>
    <t>Total Eva</t>
  </si>
  <si>
    <t>Resto C. íntegra</t>
  </si>
  <si>
    <t>Total Base Liquidable</t>
  </si>
  <si>
    <t>Cuota Bruta</t>
  </si>
  <si>
    <t>Resumen</t>
  </si>
  <si>
    <t>Mia</t>
  </si>
  <si>
    <t>Total Activo</t>
  </si>
  <si>
    <t xml:space="preserve">Reformas </t>
  </si>
  <si>
    <t>Ibi</t>
  </si>
  <si>
    <t>Gastos comunidad</t>
  </si>
  <si>
    <t>Anual</t>
  </si>
  <si>
    <t>Alquiler</t>
  </si>
  <si>
    <t>mensual</t>
  </si>
  <si>
    <t>obras</t>
  </si>
  <si>
    <t>ibi</t>
  </si>
  <si>
    <t>Margen</t>
  </si>
  <si>
    <t>Jenoptik</t>
  </si>
  <si>
    <t>Media</t>
  </si>
  <si>
    <t>Total año</t>
  </si>
  <si>
    <t>&gt;=38,13</t>
  </si>
  <si>
    <t>&gt;=14,94</t>
  </si>
  <si>
    <t>&gt;=26,26</t>
  </si>
  <si>
    <t>&gt;=45,76</t>
  </si>
  <si>
    <t>&gt;=83,1</t>
  </si>
  <si>
    <t>Nº Operac</t>
  </si>
  <si>
    <t>Nº operación</t>
  </si>
  <si>
    <t>ing/r4</t>
  </si>
  <si>
    <t>&gt;=2,24</t>
  </si>
  <si>
    <t>EL</t>
  </si>
  <si>
    <t>&gt;=13,25</t>
  </si>
  <si>
    <t>FE</t>
  </si>
  <si>
    <t>&gt;=4,176</t>
  </si>
  <si>
    <t>&gt;=1,78</t>
  </si>
  <si>
    <t>SLDP</t>
  </si>
  <si>
    <t>&gt;=52,2</t>
  </si>
  <si>
    <t>&gt;=24,16</t>
  </si>
  <si>
    <t>AÑO</t>
  </si>
  <si>
    <t>SUMA</t>
  </si>
  <si>
    <t xml:space="preserve">MENSUAL NETO </t>
  </si>
  <si>
    <t>14 PAGAS</t>
  </si>
  <si>
    <t>12 PAGAS</t>
  </si>
  <si>
    <t>MRVL</t>
  </si>
  <si>
    <t>Objetivo 1</t>
  </si>
  <si>
    <t>Objetivo div</t>
  </si>
  <si>
    <t>Objetivo sin</t>
  </si>
  <si>
    <t>COP0</t>
  </si>
  <si>
    <t>indv Mario</t>
  </si>
  <si>
    <t>Indv. Eva</t>
  </si>
  <si>
    <t>Ganancia neta</t>
  </si>
  <si>
    <t>ganancia bruta</t>
  </si>
  <si>
    <t>Retenciones</t>
  </si>
  <si>
    <t>Cuota neta</t>
  </si>
  <si>
    <t>CACI</t>
  </si>
  <si>
    <t>año 2024</t>
  </si>
  <si>
    <t>año 2025</t>
  </si>
  <si>
    <t>año 2026</t>
  </si>
  <si>
    <t>Tipo medio IRPF</t>
  </si>
  <si>
    <t>MENSUAL NETO</t>
  </si>
  <si>
    <t>14 pagas</t>
  </si>
  <si>
    <t>12 pagas</t>
  </si>
  <si>
    <t>FR</t>
  </si>
  <si>
    <t>SNOW</t>
  </si>
  <si>
    <t>R5</t>
  </si>
  <si>
    <t>año 2027</t>
  </si>
  <si>
    <t>año 2028</t>
  </si>
  <si>
    <t>año 2029</t>
  </si>
  <si>
    <t>año 2030</t>
  </si>
  <si>
    <t>NOKIA</t>
  </si>
  <si>
    <t>VRT</t>
  </si>
  <si>
    <t>&gt;140,55</t>
  </si>
  <si>
    <t>Semana</t>
  </si>
  <si>
    <t>+/-</t>
  </si>
  <si>
    <t>Mes</t>
  </si>
  <si>
    <t>&gt;55,14</t>
  </si>
  <si>
    <t>&gt;45,21</t>
  </si>
  <si>
    <t>&gt;47,03</t>
  </si>
  <si>
    <t>&gt;34,41</t>
  </si>
  <si>
    <t>&gt;168,51</t>
  </si>
  <si>
    <t>&gt;157,76</t>
  </si>
  <si>
    <t>DIS</t>
  </si>
  <si>
    <t>&gt;20,07</t>
  </si>
  <si>
    <t>WMT</t>
  </si>
  <si>
    <t>&gt;28,54</t>
  </si>
  <si>
    <t>&gt;90,06</t>
  </si>
  <si>
    <t>&gt;8,76</t>
  </si>
  <si>
    <t>Investing2</t>
  </si>
  <si>
    <t>GSAT</t>
  </si>
  <si>
    <t>&gt;4,52</t>
  </si>
  <si>
    <t>&gt;37,57</t>
  </si>
  <si>
    <t>&gt;14,73</t>
  </si>
  <si>
    <t>&gt;13,03</t>
  </si>
  <si>
    <t>&gt;21,65</t>
  </si>
  <si>
    <t>Infraestructture wireless</t>
  </si>
  <si>
    <t>&gt;8,23</t>
  </si>
  <si>
    <t>&gt;26,49</t>
  </si>
  <si>
    <t>Devoluciones capital</t>
  </si>
  <si>
    <t>Importe</t>
  </si>
  <si>
    <t>$ por acción</t>
  </si>
  <si>
    <t>PATH</t>
  </si>
  <si>
    <t>Cambio actual</t>
  </si>
  <si>
    <t>Vta. Día</t>
  </si>
  <si>
    <t>Difrencia</t>
  </si>
  <si>
    <t>Valor actual</t>
  </si>
  <si>
    <t>R. Sin D.</t>
  </si>
  <si>
    <t>&gt;60,3</t>
  </si>
  <si>
    <t>&gt;159,4</t>
  </si>
  <si>
    <t>Antiguas</t>
  </si>
  <si>
    <t>Enero/Febrero/Marzo</t>
  </si>
  <si>
    <t>Octubre/Noviembre/Diciembre</t>
  </si>
  <si>
    <t>&gt;1,5685</t>
  </si>
  <si>
    <t>BESI</t>
  </si>
  <si>
    <t>&gt;5,26</t>
  </si>
  <si>
    <t>AIXA</t>
  </si>
  <si>
    <t>&gt;198,56</t>
  </si>
  <si>
    <t>SMHN</t>
  </si>
  <si>
    <t>PROMEDIO NETO 24/26</t>
  </si>
  <si>
    <t>MENSUAL NETO ANUAL</t>
  </si>
  <si>
    <t>PHM</t>
  </si>
  <si>
    <t>Sí</t>
  </si>
  <si>
    <t>sí</t>
  </si>
  <si>
    <t>Cotizacion $</t>
  </si>
  <si>
    <t>Bruto en euros</t>
  </si>
  <si>
    <t>PCAR</t>
  </si>
  <si>
    <t>Comprobación indv. Conjunto</t>
  </si>
  <si>
    <t>FAES</t>
  </si>
  <si>
    <t>DOCN</t>
  </si>
  <si>
    <t>Repsol</t>
  </si>
  <si>
    <t>Gestamp</t>
  </si>
  <si>
    <t>Ibkr</t>
  </si>
  <si>
    <t>Intu</t>
  </si>
  <si>
    <t>mdt</t>
  </si>
  <si>
    <t>Rep</t>
  </si>
  <si>
    <t>MKC</t>
  </si>
  <si>
    <t>CIE</t>
  </si>
  <si>
    <t>BAX</t>
  </si>
  <si>
    <t>clnx</t>
  </si>
  <si>
    <t>&gt;32,58</t>
  </si>
  <si>
    <t>BKR</t>
  </si>
  <si>
    <t>Acciones</t>
  </si>
  <si>
    <t>ACX</t>
  </si>
  <si>
    <t>IBE</t>
  </si>
  <si>
    <t>SCYR</t>
  </si>
  <si>
    <t>&gt;18,54</t>
  </si>
  <si>
    <t>ODFL</t>
  </si>
  <si>
    <t>dhr</t>
  </si>
  <si>
    <t>bmy</t>
  </si>
  <si>
    <t>UA</t>
  </si>
  <si>
    <t xml:space="preserve">Posición $ </t>
  </si>
  <si>
    <t>Diferencia compra</t>
  </si>
  <si>
    <t>Posición €</t>
  </si>
  <si>
    <t>&gt;67,96</t>
  </si>
  <si>
    <t>&gt;17,54</t>
  </si>
  <si>
    <t>LGIH</t>
  </si>
  <si>
    <t>ALSN</t>
  </si>
  <si>
    <t>Shl</t>
  </si>
  <si>
    <t>&gt;54,5</t>
  </si>
  <si>
    <t>&gt;97,26</t>
  </si>
  <si>
    <t>&gt;25,16</t>
  </si>
  <si>
    <t>CL</t>
  </si>
  <si>
    <t>gehc</t>
  </si>
  <si>
    <t>TUI1</t>
  </si>
  <si>
    <t>&gt;67,11</t>
  </si>
  <si>
    <t>&gt;71,51</t>
  </si>
  <si>
    <t>ROVI</t>
  </si>
  <si>
    <t>ANA</t>
  </si>
  <si>
    <t>BMY</t>
  </si>
  <si>
    <t>&gt;87,22</t>
  </si>
  <si>
    <t>&gt;123,72</t>
  </si>
  <si>
    <t>&gt;25,93</t>
  </si>
  <si>
    <t>bkr</t>
  </si>
  <si>
    <t>&gt;9,21</t>
  </si>
  <si>
    <t>&gt;100,25</t>
  </si>
  <si>
    <t>ENI</t>
  </si>
  <si>
    <t>MAS</t>
  </si>
  <si>
    <t>no</t>
  </si>
  <si>
    <t>mtx</t>
  </si>
  <si>
    <t>st</t>
  </si>
  <si>
    <t>&gt;128,1</t>
  </si>
  <si>
    <t>cvx</t>
  </si>
  <si>
    <t>li</t>
  </si>
  <si>
    <t>&gt;207,15</t>
  </si>
  <si>
    <t>organon</t>
  </si>
  <si>
    <t>microsoft</t>
  </si>
  <si>
    <t>tmobile</t>
  </si>
  <si>
    <t>Objetivo div2</t>
  </si>
  <si>
    <t>NEXT</t>
  </si>
  <si>
    <t>&gt;12,76</t>
  </si>
  <si>
    <t>VECO</t>
  </si>
  <si>
    <t>BSY</t>
  </si>
  <si>
    <t>RAL</t>
  </si>
  <si>
    <t>KVUE</t>
  </si>
  <si>
    <t>Arcelor</t>
  </si>
  <si>
    <t>YOU</t>
  </si>
  <si>
    <t>Jack Henry</t>
  </si>
  <si>
    <t>STMPA</t>
  </si>
  <si>
    <t>POOL</t>
  </si>
  <si>
    <t>Petroleo</t>
  </si>
  <si>
    <t>Utilities</t>
  </si>
  <si>
    <t>&gt;57,46</t>
  </si>
  <si>
    <t>Construcción</t>
  </si>
  <si>
    <t>&gt;255,11</t>
  </si>
  <si>
    <t>NOV</t>
  </si>
  <si>
    <t>REP</t>
  </si>
  <si>
    <t>comprobación automática</t>
  </si>
  <si>
    <t>Equivale a un sueldo de …..</t>
  </si>
  <si>
    <t>brutos</t>
  </si>
  <si>
    <t>&gt;32,36</t>
  </si>
  <si>
    <t>APLS</t>
  </si>
  <si>
    <t>102,51%%</t>
  </si>
  <si>
    <t>&gt;2,46</t>
  </si>
  <si>
    <t>&gt;10,52</t>
  </si>
  <si>
    <t>&gt;5,22</t>
  </si>
  <si>
    <t>Abril/Mayo/junio</t>
  </si>
  <si>
    <t>LUNR</t>
  </si>
  <si>
    <t>Caixabank</t>
  </si>
  <si>
    <t>Baxter</t>
  </si>
  <si>
    <t>ADT</t>
  </si>
  <si>
    <t>Chico</t>
  </si>
  <si>
    <t>&gt;72,65</t>
  </si>
  <si>
    <t>&gt;37,92</t>
  </si>
  <si>
    <t>&gt;12,84</t>
  </si>
  <si>
    <t>MYSE</t>
  </si>
  <si>
    <t>&gt;21,27</t>
  </si>
  <si>
    <t>&gt;126,51</t>
  </si>
  <si>
    <t>&gt;4,07</t>
  </si>
  <si>
    <t>PLUG</t>
  </si>
  <si>
    <t>Intuit</t>
  </si>
  <si>
    <t>sonic</t>
  </si>
  <si>
    <t>linea directa</t>
  </si>
  <si>
    <t>Vinci</t>
  </si>
  <si>
    <t>&gt;177,91</t>
  </si>
  <si>
    <t>&gt;24,61</t>
  </si>
  <si>
    <t>FLR</t>
  </si>
  <si>
    <t>UPM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</si>
</sst>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_(* #,##0.00_);_(* \(#,##0.00\);_(* &quot;-&quot;??_);_(@_)"/>
    <numFmt numFmtId="165" formatCode="0.00000"/>
    <numFmt numFmtId="166" formatCode="_-* #,##0.0000_-;\-* #,##0.0000_-;_-* &quot;-&quot;??_-;_-@_-"/>
    <numFmt numFmtId="167" formatCode="_-* #,##0.00\ _€_-;\-* #,##0.00\ _€_-;_-* &quot;-&quot;??\ _€_-;_-@_-"/>
    <numFmt numFmtId="168" formatCode="_([$$-409]* #,##0.00_);_([$$-409]* \(#,##0.00\);_([$$-409]* &quot;-&quot;??_);_(@_)"/>
    <numFmt numFmtId="169" formatCode="_([$€-2]\ * #,##0.00_);_([$€-2]\ * \(#,##0.00\);_([$€-2]\ * &quot;-&quot;??_);_(@_)"/>
    <numFmt numFmtId="170" formatCode="0.0%"/>
    <numFmt numFmtId="171" formatCode="_-* #,##0.00000_-;\-* #,##0.00000_-;_-* &quot;-&quot;??_-;_-@_-"/>
    <numFmt numFmtId="172" formatCode="0.000"/>
    <numFmt numFmtId="173" formatCode="0.00_ ;[Red]\-0.00\ "/>
    <numFmt numFmtId="174" formatCode="0.0000"/>
    <numFmt numFmtId="175" formatCode="0.000_ ;[Red]\-0.000\ "/>
    <numFmt numFmtId="176" formatCode="0.0000_ ;[Red]\-0.0000\ "/>
    <numFmt numFmtId="177" formatCode="_([$€-2]\ * #,##0.0000_);_([$€-2]\ * \(#,##0.0000\);_([$€-2]\ * &quot;-&quot;??_);_(@_)"/>
    <numFmt numFmtId="178" formatCode="_-* #,##0.000_-;\-* #,##0.000_-;_-* &quot;-&quot;??_-;_-@_-"/>
    <numFmt numFmtId="179" formatCode="_-* #,##0_-;\-* #,##0_-;_-* &quot;-&quot;??_-;_-@_-"/>
    <numFmt numFmtId="180" formatCode="_(* #,##0.0000_);_(* \(#,##0.0000\);_(* &quot;-&quot;??_);_(@_)"/>
    <numFmt numFmtId="181" formatCode="#,##0.00_ ;[Red]\-#,##0.00\ "/>
    <numFmt numFmtId="182" formatCode="0_ ;[Red]\-0\ "/>
    <numFmt numFmtId="183" formatCode="0.00%\ ;[Red]\-0.00\ %"/>
    <numFmt numFmtId="184" formatCode="_(* #,##0.000_);_(* \(#,##0.000\);_(* &quot;-&quot;??_);_(@_)"/>
    <numFmt numFmtId="185" formatCode="0.00000%"/>
    <numFmt numFmtId="186" formatCode="_([$€-2]\ * #,##0.000_);_([$€-2]\ * \(#,##0.000\);_([$€-2]\ * &quot;-&quot;??_);_(@_)"/>
    <numFmt numFmtId="187" formatCode="_-* #,##0.0_-;\-* #,##0.0_-;_-* &quot;-&quot;??_-;_-@_-"/>
    <numFmt numFmtId="188" formatCode="_-* #,##0.00\ _€_-;\-* #,##0.00\ _€_-;_-* &quot;-&quot;????\ _€_-;_-@_-"/>
    <numFmt numFmtId="189" formatCode="_-* #,##0.0000\ _€_-;\-* #,##0.0000\ _€_-;_-* &quot;-&quot;????\ _€_-;_-@_-"/>
    <numFmt numFmtId="190" formatCode="_(* #,##0_);_(* \(#,##0\);_(* &quot;-&quot;??_);_(@_)"/>
  </numFmts>
  <fonts count="33" x14ac:knownFonts="1">
    <font>
      <sz val="12"/>
      <color theme="1"/>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b/>
      <sz val="12"/>
      <color rgb="FFFF0000"/>
      <name val="Calibri"/>
      <family val="2"/>
      <scheme val="minor"/>
    </font>
    <font>
      <sz val="12"/>
      <color rgb="FF000000"/>
      <name val="Calibri"/>
      <family val="2"/>
      <scheme val="minor"/>
    </font>
    <font>
      <sz val="8"/>
      <name val="Calibri"/>
      <family val="2"/>
      <scheme val="minor"/>
    </font>
    <font>
      <sz val="12"/>
      <color rgb="FFFF0000"/>
      <name val="Calibri"/>
      <family val="2"/>
      <scheme val="minor"/>
    </font>
    <font>
      <b/>
      <sz val="16"/>
      <color rgb="FFFF0000"/>
      <name val="Calibri"/>
      <family val="2"/>
      <scheme val="minor"/>
    </font>
    <font>
      <sz val="12"/>
      <color rgb="FF4472C4"/>
      <name val="Calibri"/>
      <family val="2"/>
      <scheme val="minor"/>
    </font>
    <font>
      <sz val="12"/>
      <color rgb="FF333333"/>
      <name val="Calibri"/>
      <family val="2"/>
      <scheme val="minor"/>
    </font>
    <font>
      <sz val="12"/>
      <name val="Calibri"/>
      <family val="2"/>
      <scheme val="minor"/>
    </font>
    <font>
      <sz val="12"/>
      <color theme="9"/>
      <name val="Calibri"/>
      <family val="2"/>
      <scheme val="minor"/>
    </font>
    <font>
      <b/>
      <sz val="12"/>
      <color rgb="FFC00000"/>
      <name val="Calibri"/>
      <family val="2"/>
      <scheme val="minor"/>
    </font>
    <font>
      <b/>
      <sz val="12"/>
      <color theme="8"/>
      <name val="Calibri"/>
      <family val="2"/>
      <scheme val="minor"/>
    </font>
    <font>
      <b/>
      <sz val="12"/>
      <color theme="9"/>
      <name val="Calibri"/>
      <family val="2"/>
      <scheme val="minor"/>
    </font>
    <font>
      <b/>
      <sz val="18"/>
      <color rgb="FFFF0000"/>
      <name val="Calibri"/>
      <family val="2"/>
      <scheme val="minor"/>
    </font>
    <font>
      <b/>
      <sz val="16"/>
      <color theme="1"/>
      <name val="Calibri"/>
      <family val="2"/>
      <scheme val="minor"/>
    </font>
    <font>
      <b/>
      <sz val="18"/>
      <color theme="1"/>
      <name val="Calibri"/>
      <family val="2"/>
      <scheme val="minor"/>
    </font>
    <font>
      <b/>
      <sz val="28"/>
      <name val="Calibri"/>
      <family val="2"/>
      <scheme val="minor"/>
    </font>
    <font>
      <b/>
      <sz val="14"/>
      <name val="Calibri"/>
      <family val="2"/>
      <scheme val="minor"/>
    </font>
    <font>
      <b/>
      <sz val="16"/>
      <name val="Calibri"/>
      <family val="2"/>
      <scheme val="minor"/>
    </font>
    <font>
      <b/>
      <sz val="28"/>
      <color theme="9" tint="-0.249977111117893"/>
      <name val="Calibri"/>
      <family val="2"/>
      <scheme val="minor"/>
    </font>
    <font>
      <b/>
      <sz val="12"/>
      <name val="Calibri"/>
      <family val="2"/>
      <scheme val="minor"/>
    </font>
    <font>
      <b/>
      <sz val="14"/>
      <color theme="0"/>
      <name val="Calibri"/>
      <family val="2"/>
      <scheme val="minor"/>
    </font>
    <font>
      <b/>
      <sz val="12"/>
      <color theme="9" tint="-0.249977111117893"/>
      <name val="Calibri"/>
      <family val="2"/>
      <scheme val="minor"/>
    </font>
    <font>
      <sz val="12"/>
      <color rgb="FF000000"/>
      <name val="Aptos Narrow"/>
    </font>
    <font>
      <i/>
      <sz val="12"/>
      <color theme="1"/>
      <name val="Calibri"/>
      <family val="2"/>
      <scheme val="minor"/>
    </font>
    <font>
      <sz val="48"/>
      <color theme="1"/>
      <name val="Calibri"/>
      <family val="2"/>
      <scheme val="minor"/>
    </font>
    <font>
      <b/>
      <sz val="12"/>
      <color theme="5"/>
      <name val="Calibri"/>
      <family val="2"/>
      <scheme val="minor"/>
    </font>
    <font>
      <sz val="12"/>
      <color theme="9" tint="-0.249977111117893"/>
      <name val="Calibri"/>
      <family val="2"/>
      <scheme val="minor"/>
    </font>
    <font>
      <sz val="12"/>
      <color theme="5"/>
      <name val="Calibri"/>
      <family val="2"/>
      <scheme val="minor"/>
    </font>
    <font>
      <sz val="10"/>
      <color rgb="FF000000"/>
      <name val="Tahoma"/>
      <family val="2"/>
    </font>
  </fonts>
  <fills count="3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8"/>
        <bgColor indexed="64"/>
      </patternFill>
    </fill>
    <fill>
      <patternFill patternType="solid">
        <fgColor theme="2" tint="-0.249977111117893"/>
        <bgColor indexed="64"/>
      </patternFill>
    </fill>
    <fill>
      <patternFill patternType="solid">
        <fgColor theme="7"/>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bgColor theme="4" tint="0.79998168889431442"/>
      </patternFill>
    </fill>
    <fill>
      <patternFill patternType="solid">
        <fgColor theme="4" tint="0.59999389629810485"/>
        <bgColor theme="4" tint="0.79998168889431442"/>
      </patternFill>
    </fill>
    <fill>
      <patternFill patternType="solid">
        <fgColor theme="0" tint="-0.14999847407452621"/>
        <bgColor theme="4"/>
      </patternFill>
    </fill>
    <fill>
      <patternFill patternType="solid">
        <fgColor rgb="FFFF6669"/>
        <bgColor indexed="64"/>
      </patternFill>
    </fill>
    <fill>
      <patternFill patternType="gray0625">
        <bgColor theme="9"/>
      </patternFill>
    </fill>
    <fill>
      <patternFill patternType="solid">
        <fgColor rgb="FFFD5346"/>
        <bgColor indexed="64"/>
      </patternFill>
    </fill>
    <fill>
      <patternFill patternType="solid">
        <fgColor theme="3" tint="0.79998168889431442"/>
        <bgColor indexed="64"/>
      </patternFill>
    </fill>
    <fill>
      <patternFill patternType="solid">
        <fgColor rgb="FF7030A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top style="thin">
        <color theme="4" tint="0.39997558519241921"/>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164" fontId="1" fillId="0" borderId="0" applyFont="0" applyFill="0" applyBorder="0" applyAlignment="0" applyProtection="0"/>
    <xf numFmtId="9" fontId="1" fillId="0" borderId="0" applyFont="0" applyFill="0" applyBorder="0" applyAlignment="0" applyProtection="0"/>
    <xf numFmtId="173" fontId="1" fillId="0" borderId="0">
      <alignment horizontal="center"/>
    </xf>
    <xf numFmtId="38" fontId="1" fillId="0" borderId="0">
      <alignment horizontal="center"/>
    </xf>
    <xf numFmtId="173" fontId="1" fillId="0" borderId="0"/>
  </cellStyleXfs>
  <cellXfs count="408">
    <xf numFmtId="0" fontId="0" fillId="0" borderId="0" xfId="0"/>
    <xf numFmtId="0" fontId="0" fillId="0" borderId="0" xfId="0" applyAlignment="1">
      <alignment horizontal="center"/>
    </xf>
    <xf numFmtId="0" fontId="3" fillId="0" borderId="0" xfId="0" applyFont="1" applyAlignment="1">
      <alignment horizontal="center"/>
    </xf>
    <xf numFmtId="14" fontId="3" fillId="0" borderId="0" xfId="0" applyNumberFormat="1" applyFont="1" applyAlignment="1">
      <alignment horizontal="center"/>
    </xf>
    <xf numFmtId="14" fontId="0" fillId="0" borderId="0" xfId="0" applyNumberFormat="1" applyAlignment="1">
      <alignment horizontal="center"/>
    </xf>
    <xf numFmtId="164" fontId="0" fillId="0" borderId="0" xfId="1" applyFont="1" applyAlignment="1">
      <alignment horizontal="center"/>
    </xf>
    <xf numFmtId="164" fontId="3" fillId="0" borderId="0" xfId="1" applyFont="1" applyAlignment="1">
      <alignment horizontal="center"/>
    </xf>
    <xf numFmtId="9" fontId="0" fillId="0" borderId="0" xfId="0" applyNumberFormat="1" applyAlignment="1">
      <alignment horizontal="center"/>
    </xf>
    <xf numFmtId="165" fontId="0" fillId="0" borderId="0" xfId="0" applyNumberFormat="1" applyAlignment="1">
      <alignment horizontal="center"/>
    </xf>
    <xf numFmtId="165" fontId="3" fillId="0" borderId="0" xfId="0" applyNumberFormat="1" applyFont="1" applyAlignment="1">
      <alignment horizontal="center"/>
    </xf>
    <xf numFmtId="166" fontId="0" fillId="0" borderId="0" xfId="1" applyNumberFormat="1" applyFont="1" applyAlignment="1">
      <alignment horizontal="center"/>
    </xf>
    <xf numFmtId="166" fontId="3" fillId="0" borderId="0" xfId="1" applyNumberFormat="1" applyFont="1" applyAlignment="1">
      <alignment horizontal="center"/>
    </xf>
    <xf numFmtId="165" fontId="4" fillId="2" borderId="0" xfId="0" applyNumberFormat="1" applyFont="1" applyFill="1" applyAlignment="1">
      <alignment horizontal="center"/>
    </xf>
    <xf numFmtId="164" fontId="0" fillId="0" borderId="0" xfId="0" applyNumberFormat="1" applyAlignment="1">
      <alignment horizontal="center"/>
    </xf>
    <xf numFmtId="0" fontId="5" fillId="0" borderId="0" xfId="0" applyFont="1" applyAlignment="1">
      <alignment horizontal="center"/>
    </xf>
    <xf numFmtId="0" fontId="0" fillId="0" borderId="0" xfId="0" quotePrefix="1" applyAlignment="1">
      <alignment horizontal="center"/>
    </xf>
    <xf numFmtId="14" fontId="5" fillId="0" borderId="0" xfId="0" applyNumberFormat="1" applyFont="1" applyAlignment="1">
      <alignment horizontal="center"/>
    </xf>
    <xf numFmtId="0" fontId="5" fillId="0" borderId="0" xfId="0" applyFont="1"/>
    <xf numFmtId="165" fontId="5" fillId="0" borderId="0" xfId="0" applyNumberFormat="1" applyFont="1" applyAlignment="1">
      <alignment horizontal="center"/>
    </xf>
    <xf numFmtId="166" fontId="5" fillId="0" borderId="0" xfId="0" applyNumberFormat="1" applyFont="1" applyAlignment="1">
      <alignment horizontal="center"/>
    </xf>
    <xf numFmtId="164" fontId="2" fillId="3" borderId="0" xfId="1" applyFont="1" applyFill="1" applyAlignment="1">
      <alignment horizontal="center"/>
    </xf>
    <xf numFmtId="164" fontId="2" fillId="2" borderId="0" xfId="1" applyFont="1" applyFill="1" applyAlignment="1">
      <alignment horizontal="center"/>
    </xf>
    <xf numFmtId="164" fontId="2" fillId="0" borderId="0" xfId="1" applyFont="1" applyAlignment="1">
      <alignment horizontal="center"/>
    </xf>
    <xf numFmtId="164" fontId="2" fillId="5" borderId="0" xfId="1" applyFont="1" applyFill="1" applyAlignment="1">
      <alignment horizontal="center"/>
    </xf>
    <xf numFmtId="167" fontId="0" fillId="0" borderId="0" xfId="0" applyNumberFormat="1" applyAlignment="1">
      <alignment horizontal="center"/>
    </xf>
    <xf numFmtId="168" fontId="0" fillId="0" borderId="0" xfId="0" applyNumberFormat="1" applyAlignment="1">
      <alignment horizontal="center"/>
    </xf>
    <xf numFmtId="168" fontId="0" fillId="0" borderId="0" xfId="0" applyNumberFormat="1"/>
    <xf numFmtId="169" fontId="0" fillId="0" borderId="0" xfId="0" applyNumberFormat="1" applyAlignment="1">
      <alignment horizontal="center"/>
    </xf>
    <xf numFmtId="170" fontId="0" fillId="0" borderId="0" xfId="2" applyNumberFormat="1" applyFont="1" applyAlignment="1">
      <alignment horizontal="center"/>
    </xf>
    <xf numFmtId="170" fontId="3" fillId="0" borderId="0" xfId="2" applyNumberFormat="1" applyFont="1" applyAlignment="1">
      <alignment horizontal="center"/>
    </xf>
    <xf numFmtId="164" fontId="0" fillId="0" borderId="0" xfId="1" applyFont="1" applyFill="1" applyAlignment="1">
      <alignment horizontal="center"/>
    </xf>
    <xf numFmtId="171" fontId="0" fillId="0" borderId="0" xfId="1" applyNumberFormat="1" applyFont="1" applyAlignment="1">
      <alignment horizontal="center"/>
    </xf>
    <xf numFmtId="164" fontId="3" fillId="3" borderId="0" xfId="1" applyFont="1" applyFill="1" applyAlignment="1">
      <alignment horizontal="center"/>
    </xf>
    <xf numFmtId="0" fontId="2" fillId="2" borderId="0" xfId="0" applyFont="1" applyFill="1" applyAlignment="1">
      <alignment horizontal="center"/>
    </xf>
    <xf numFmtId="164" fontId="0" fillId="0" borderId="0" xfId="1" applyFont="1" applyAlignment="1"/>
    <xf numFmtId="14" fontId="2" fillId="0" borderId="0" xfId="0" applyNumberFormat="1" applyFont="1" applyAlignment="1">
      <alignment horizontal="center"/>
    </xf>
    <xf numFmtId="0" fontId="2" fillId="0" borderId="0" xfId="0" applyFont="1" applyAlignment="1">
      <alignment horizontal="center"/>
    </xf>
    <xf numFmtId="0" fontId="0" fillId="0" borderId="0" xfId="0" applyAlignment="1">
      <alignment horizontal="right"/>
    </xf>
    <xf numFmtId="0" fontId="2" fillId="6" borderId="0" xfId="0" applyFont="1" applyFill="1"/>
    <xf numFmtId="0" fontId="2" fillId="7" borderId="0" xfId="0" applyFont="1" applyFill="1"/>
    <xf numFmtId="0" fontId="2" fillId="0" borderId="1" xfId="0" applyFont="1" applyBorder="1" applyAlignment="1">
      <alignment horizontal="center"/>
    </xf>
    <xf numFmtId="9" fontId="2" fillId="0" borderId="1" xfId="0" applyNumberFormat="1" applyFont="1" applyBorder="1" applyAlignment="1">
      <alignment horizontal="center"/>
    </xf>
    <xf numFmtId="164" fontId="2" fillId="0" borderId="1" xfId="1" applyFont="1" applyBorder="1" applyAlignment="1">
      <alignment horizontal="center"/>
    </xf>
    <xf numFmtId="16" fontId="0" fillId="0" borderId="0" xfId="0" applyNumberFormat="1" applyAlignment="1">
      <alignment horizontal="center"/>
    </xf>
    <xf numFmtId="172" fontId="0" fillId="7" borderId="0" xfId="0" applyNumberFormat="1" applyFill="1" applyAlignment="1">
      <alignment horizontal="center"/>
    </xf>
    <xf numFmtId="164" fontId="0" fillId="7" borderId="0" xfId="1" applyFont="1" applyFill="1" applyAlignment="1">
      <alignment horizontal="center"/>
    </xf>
    <xf numFmtId="170" fontId="5" fillId="10" borderId="0" xfId="2" applyNumberFormat="1" applyFont="1" applyFill="1" applyAlignment="1">
      <alignment horizontal="center"/>
    </xf>
    <xf numFmtId="170" fontId="5" fillId="0" borderId="0" xfId="2" applyNumberFormat="1" applyFont="1" applyAlignment="1">
      <alignment horizontal="center"/>
    </xf>
    <xf numFmtId="10" fontId="0" fillId="0" borderId="0" xfId="2" applyNumberFormat="1" applyFont="1" applyAlignment="1">
      <alignment horizontal="center"/>
    </xf>
    <xf numFmtId="10" fontId="0" fillId="10" borderId="0" xfId="2" applyNumberFormat="1" applyFont="1" applyFill="1" applyAlignment="1">
      <alignment horizontal="center"/>
    </xf>
    <xf numFmtId="10" fontId="3" fillId="0" borderId="0" xfId="2" applyNumberFormat="1" applyFont="1" applyAlignment="1">
      <alignment horizontal="center"/>
    </xf>
    <xf numFmtId="164" fontId="0" fillId="0" borderId="0" xfId="0" applyNumberFormat="1"/>
    <xf numFmtId="164" fontId="2" fillId="0" borderId="0" xfId="0" applyNumberFormat="1" applyFont="1"/>
    <xf numFmtId="0" fontId="2" fillId="6" borderId="0" xfId="0" applyFont="1" applyFill="1" applyAlignment="1">
      <alignment horizontal="center"/>
    </xf>
    <xf numFmtId="164" fontId="2" fillId="3" borderId="0" xfId="0" applyNumberFormat="1" applyFont="1" applyFill="1"/>
    <xf numFmtId="0" fontId="0" fillId="11" borderId="0" xfId="0" applyFill="1" applyAlignment="1">
      <alignment horizontal="center"/>
    </xf>
    <xf numFmtId="168" fontId="0" fillId="11" borderId="0" xfId="0" applyNumberFormat="1" applyFill="1" applyAlignment="1">
      <alignment horizontal="center"/>
    </xf>
    <xf numFmtId="14" fontId="0" fillId="11" borderId="0" xfId="0" applyNumberFormat="1" applyFill="1" applyAlignment="1">
      <alignment horizontal="center"/>
    </xf>
    <xf numFmtId="164" fontId="0" fillId="11" borderId="0" xfId="1" applyFont="1" applyFill="1" applyAlignment="1">
      <alignment horizontal="center"/>
    </xf>
    <xf numFmtId="10" fontId="0" fillId="11" borderId="0" xfId="2" applyNumberFormat="1" applyFont="1" applyFill="1" applyAlignment="1">
      <alignment horizontal="center"/>
    </xf>
    <xf numFmtId="16" fontId="2" fillId="12" borderId="0" xfId="0" applyNumberFormat="1" applyFont="1" applyFill="1" applyAlignment="1">
      <alignment horizontal="center"/>
    </xf>
    <xf numFmtId="0" fontId="2" fillId="12" borderId="0" xfId="0" applyFont="1" applyFill="1" applyAlignment="1">
      <alignment horizontal="center"/>
    </xf>
    <xf numFmtId="172" fontId="2" fillId="12" borderId="0" xfId="0" applyNumberFormat="1" applyFont="1" applyFill="1" applyAlignment="1">
      <alignment horizontal="center"/>
    </xf>
    <xf numFmtId="164" fontId="2" fillId="12" borderId="0" xfId="1" applyFont="1" applyFill="1" applyAlignment="1">
      <alignment horizontal="center"/>
    </xf>
    <xf numFmtId="164" fontId="2" fillId="10" borderId="0" xfId="0" applyNumberFormat="1" applyFont="1" applyFill="1"/>
    <xf numFmtId="170" fontId="5" fillId="11" borderId="0" xfId="2" applyNumberFormat="1" applyFont="1" applyFill="1" applyBorder="1" applyAlignment="1">
      <alignment horizontal="center"/>
    </xf>
    <xf numFmtId="10" fontId="0" fillId="11" borderId="0" xfId="2" applyNumberFormat="1" applyFont="1" applyFill="1" applyBorder="1" applyAlignment="1">
      <alignment horizontal="center"/>
    </xf>
    <xf numFmtId="0" fontId="7" fillId="11" borderId="0" xfId="0" applyFont="1" applyFill="1" applyAlignment="1">
      <alignment horizontal="left"/>
    </xf>
    <xf numFmtId="165" fontId="0" fillId="11" borderId="0" xfId="0" applyNumberFormat="1" applyFill="1" applyAlignment="1">
      <alignment horizontal="center"/>
    </xf>
    <xf numFmtId="166" fontId="0" fillId="11" borderId="0" xfId="1" applyNumberFormat="1" applyFont="1" applyFill="1" applyAlignment="1">
      <alignment horizontal="center"/>
    </xf>
    <xf numFmtId="165" fontId="5" fillId="11" borderId="0" xfId="0" applyNumberFormat="1" applyFont="1" applyFill="1" applyAlignment="1">
      <alignment horizontal="center"/>
    </xf>
    <xf numFmtId="0" fontId="0" fillId="11" borderId="0" xfId="0" applyFill="1"/>
    <xf numFmtId="164" fontId="2" fillId="11" borderId="0" xfId="1" applyFont="1" applyFill="1" applyAlignment="1">
      <alignment horizontal="center"/>
    </xf>
    <xf numFmtId="164" fontId="2" fillId="7" borderId="0" xfId="1" applyFont="1" applyFill="1" applyAlignment="1">
      <alignment horizontal="center"/>
    </xf>
    <xf numFmtId="167" fontId="0" fillId="0" borderId="0" xfId="0" applyNumberFormat="1"/>
    <xf numFmtId="173" fontId="0" fillId="0" borderId="0" xfId="0" applyNumberFormat="1" applyAlignment="1">
      <alignment horizontal="center"/>
    </xf>
    <xf numFmtId="173" fontId="0" fillId="0" borderId="0" xfId="1" applyNumberFormat="1" applyFont="1" applyAlignment="1">
      <alignment horizontal="center"/>
    </xf>
    <xf numFmtId="173" fontId="3" fillId="0" borderId="0" xfId="0" applyNumberFormat="1" applyFont="1" applyAlignment="1">
      <alignment horizontal="center"/>
    </xf>
    <xf numFmtId="173" fontId="3" fillId="0" borderId="0" xfId="1" applyNumberFormat="1" applyFont="1" applyAlignment="1">
      <alignment horizontal="center"/>
    </xf>
    <xf numFmtId="173" fontId="5" fillId="0" borderId="0" xfId="0" applyNumberFormat="1" applyFont="1" applyAlignment="1">
      <alignment horizontal="center"/>
    </xf>
    <xf numFmtId="173" fontId="7" fillId="0" borderId="0" xfId="1" applyNumberFormat="1" applyFont="1" applyFill="1" applyAlignment="1">
      <alignment horizontal="center"/>
    </xf>
    <xf numFmtId="173" fontId="0" fillId="0" borderId="0" xfId="1" applyNumberFormat="1" applyFont="1" applyFill="1" applyAlignment="1">
      <alignment horizontal="center"/>
    </xf>
    <xf numFmtId="173" fontId="0" fillId="0" borderId="0" xfId="1" applyNumberFormat="1" applyFont="1" applyFill="1" applyBorder="1" applyAlignment="1">
      <alignment horizontal="center"/>
    </xf>
    <xf numFmtId="173" fontId="0" fillId="10" borderId="0" xfId="0" applyNumberFormat="1" applyFill="1" applyAlignment="1">
      <alignment horizontal="center"/>
    </xf>
    <xf numFmtId="173" fontId="5" fillId="10" borderId="0" xfId="0" applyNumberFormat="1" applyFont="1" applyFill="1" applyAlignment="1">
      <alignment horizontal="center"/>
    </xf>
    <xf numFmtId="173" fontId="7" fillId="10" borderId="0" xfId="1" applyNumberFormat="1" applyFont="1" applyFill="1" applyAlignment="1">
      <alignment horizontal="center"/>
    </xf>
    <xf numFmtId="173" fontId="0" fillId="10" borderId="0" xfId="1" applyNumberFormat="1" applyFont="1" applyFill="1" applyAlignment="1">
      <alignment horizontal="center"/>
    </xf>
    <xf numFmtId="173" fontId="0" fillId="11" borderId="0" xfId="0" applyNumberFormat="1" applyFill="1" applyAlignment="1">
      <alignment horizontal="center"/>
    </xf>
    <xf numFmtId="173" fontId="5" fillId="0" borderId="0" xfId="1" applyNumberFormat="1" applyFont="1" applyAlignment="1">
      <alignment horizontal="center"/>
    </xf>
    <xf numFmtId="10" fontId="5" fillId="10" borderId="0" xfId="2" applyNumberFormat="1" applyFont="1" applyFill="1" applyAlignment="1">
      <alignment horizontal="center"/>
    </xf>
    <xf numFmtId="10" fontId="5" fillId="11" borderId="0" xfId="2" applyNumberFormat="1" applyFont="1" applyFill="1" applyBorder="1" applyAlignment="1">
      <alignment horizontal="center"/>
    </xf>
    <xf numFmtId="2" fontId="0" fillId="0" borderId="0" xfId="0" applyNumberFormat="1" applyAlignment="1">
      <alignment horizontal="center"/>
    </xf>
    <xf numFmtId="174" fontId="0" fillId="7" borderId="0" xfId="0" applyNumberFormat="1" applyFill="1" applyAlignment="1">
      <alignment horizontal="center"/>
    </xf>
    <xf numFmtId="14" fontId="5" fillId="10" borderId="0" xfId="0" applyNumberFormat="1" applyFont="1" applyFill="1" applyAlignment="1">
      <alignment horizontal="center"/>
    </xf>
    <xf numFmtId="14" fontId="0" fillId="10" borderId="0" xfId="0" applyNumberFormat="1" applyFill="1" applyAlignment="1">
      <alignment horizontal="center"/>
    </xf>
    <xf numFmtId="175" fontId="5" fillId="10" borderId="0" xfId="0" applyNumberFormat="1" applyFont="1" applyFill="1" applyAlignment="1">
      <alignment horizontal="center"/>
    </xf>
    <xf numFmtId="175" fontId="5" fillId="0" borderId="0" xfId="0" applyNumberFormat="1" applyFont="1" applyAlignment="1">
      <alignment horizontal="center"/>
    </xf>
    <xf numFmtId="0" fontId="4" fillId="0" borderId="0" xfId="0" applyFont="1" applyAlignment="1">
      <alignment horizontal="center"/>
    </xf>
    <xf numFmtId="0" fontId="9" fillId="0" borderId="0" xfId="0" applyFont="1"/>
    <xf numFmtId="0" fontId="10" fillId="0" borderId="0" xfId="0" applyFont="1"/>
    <xf numFmtId="172" fontId="0" fillId="0" borderId="0" xfId="0" applyNumberFormat="1" applyAlignment="1">
      <alignment horizontal="center"/>
    </xf>
    <xf numFmtId="174" fontId="0" fillId="0" borderId="0" xfId="0" applyNumberFormat="1" applyAlignment="1">
      <alignment horizontal="center"/>
    </xf>
    <xf numFmtId="14" fontId="2" fillId="2" borderId="1" xfId="0" applyNumberFormat="1" applyFont="1" applyFill="1" applyBorder="1" applyAlignment="1">
      <alignment horizontal="center"/>
    </xf>
    <xf numFmtId="0" fontId="11" fillId="0" borderId="0" xfId="0" applyFont="1" applyAlignment="1">
      <alignment horizontal="center"/>
    </xf>
    <xf numFmtId="14" fontId="11" fillId="0" borderId="0" xfId="0" applyNumberFormat="1" applyFont="1" applyAlignment="1">
      <alignment horizontal="center"/>
    </xf>
    <xf numFmtId="164" fontId="11" fillId="16" borderId="0" xfId="0" applyNumberFormat="1" applyFont="1" applyFill="1"/>
    <xf numFmtId="168" fontId="7" fillId="11" borderId="0" xfId="0" applyNumberFormat="1" applyFont="1" applyFill="1" applyAlignment="1">
      <alignment horizontal="left"/>
    </xf>
    <xf numFmtId="164" fontId="8" fillId="14" borderId="2" xfId="1" applyFont="1" applyFill="1" applyBorder="1" applyAlignment="1">
      <alignment horizontal="center"/>
    </xf>
    <xf numFmtId="164" fontId="8" fillId="14" borderId="3" xfId="1" applyFont="1" applyFill="1" applyBorder="1" applyAlignment="1">
      <alignment horizontal="center"/>
    </xf>
    <xf numFmtId="164" fontId="8" fillId="14" borderId="4" xfId="1" applyFont="1" applyFill="1" applyBorder="1" applyAlignment="1">
      <alignment horizontal="center"/>
    </xf>
    <xf numFmtId="49" fontId="0" fillId="0" borderId="0" xfId="0" applyNumberFormat="1" applyAlignment="1">
      <alignment horizontal="center"/>
    </xf>
    <xf numFmtId="49" fontId="3" fillId="0" borderId="0" xfId="0" applyNumberFormat="1" applyFont="1" applyAlignment="1">
      <alignment horizontal="center"/>
    </xf>
    <xf numFmtId="49" fontId="0" fillId="10" borderId="0" xfId="0" applyNumberFormat="1" applyFill="1" applyAlignment="1">
      <alignment horizontal="center"/>
    </xf>
    <xf numFmtId="49" fontId="5" fillId="0" borderId="0" xfId="0" applyNumberFormat="1" applyFont="1" applyAlignment="1">
      <alignment horizontal="center"/>
    </xf>
    <xf numFmtId="16" fontId="13" fillId="12" borderId="0" xfId="0" applyNumberFormat="1" applyFont="1" applyFill="1" applyAlignment="1">
      <alignment horizontal="center"/>
    </xf>
    <xf numFmtId="167" fontId="4" fillId="9" borderId="0" xfId="0" applyNumberFormat="1" applyFont="1" applyFill="1" applyAlignment="1">
      <alignment horizontal="center"/>
    </xf>
    <xf numFmtId="173" fontId="14" fillId="3" borderId="0" xfId="0" applyNumberFormat="1" applyFont="1" applyFill="1" applyAlignment="1">
      <alignment horizontal="center"/>
    </xf>
    <xf numFmtId="176" fontId="5" fillId="10" borderId="0" xfId="0" applyNumberFormat="1" applyFont="1" applyFill="1" applyAlignment="1">
      <alignment horizontal="center"/>
    </xf>
    <xf numFmtId="176" fontId="0" fillId="10" borderId="0" xfId="0" applyNumberFormat="1" applyFill="1" applyAlignment="1">
      <alignment horizontal="center"/>
    </xf>
    <xf numFmtId="176" fontId="0" fillId="10" borderId="0" xfId="1" applyNumberFormat="1" applyFont="1" applyFill="1" applyAlignment="1">
      <alignment horizontal="center"/>
    </xf>
    <xf numFmtId="10" fontId="0" fillId="14" borderId="0" xfId="2" applyNumberFormat="1" applyFont="1" applyFill="1" applyAlignment="1">
      <alignment horizontal="center"/>
    </xf>
    <xf numFmtId="10" fontId="2" fillId="10" borderId="0" xfId="2" applyNumberFormat="1" applyFont="1" applyFill="1" applyAlignment="1">
      <alignment horizontal="center"/>
    </xf>
    <xf numFmtId="177" fontId="0" fillId="0" borderId="0" xfId="0" applyNumberFormat="1" applyAlignment="1">
      <alignment horizontal="center"/>
    </xf>
    <xf numFmtId="178" fontId="0" fillId="0" borderId="0" xfId="1" applyNumberFormat="1" applyFont="1" applyAlignment="1">
      <alignment horizontal="center"/>
    </xf>
    <xf numFmtId="164" fontId="15" fillId="3" borderId="0" xfId="0" applyNumberFormat="1" applyFont="1" applyFill="1"/>
    <xf numFmtId="164" fontId="14" fillId="3" borderId="0" xfId="0" applyNumberFormat="1" applyFont="1" applyFill="1"/>
    <xf numFmtId="168" fontId="7" fillId="11" borderId="0" xfId="0" quotePrefix="1" applyNumberFormat="1" applyFont="1" applyFill="1" applyAlignment="1">
      <alignment horizontal="left"/>
    </xf>
    <xf numFmtId="0" fontId="16" fillId="17" borderId="5" xfId="0" applyFont="1" applyFill="1" applyBorder="1" applyAlignment="1">
      <alignment horizontal="center"/>
    </xf>
    <xf numFmtId="0" fontId="16" fillId="7" borderId="5" xfId="0" applyFont="1" applyFill="1" applyBorder="1" applyAlignment="1">
      <alignment horizontal="center"/>
    </xf>
    <xf numFmtId="173" fontId="20" fillId="3" borderId="0" xfId="1" applyNumberFormat="1" applyFont="1" applyFill="1" applyAlignment="1">
      <alignment horizontal="center"/>
    </xf>
    <xf numFmtId="170" fontId="20" fillId="9" borderId="0" xfId="2" applyNumberFormat="1" applyFont="1" applyFill="1" applyAlignment="1">
      <alignment horizontal="center"/>
    </xf>
    <xf numFmtId="10" fontId="20" fillId="9" borderId="0" xfId="2" applyNumberFormat="1" applyFont="1" applyFill="1" applyAlignment="1">
      <alignment horizontal="center"/>
    </xf>
    <xf numFmtId="173" fontId="20" fillId="8" borderId="0" xfId="1" applyNumberFormat="1" applyFont="1" applyFill="1" applyAlignment="1">
      <alignment horizontal="center"/>
    </xf>
    <xf numFmtId="10" fontId="20" fillId="0" borderId="0" xfId="2" applyNumberFormat="1" applyFont="1" applyAlignment="1">
      <alignment horizontal="center"/>
    </xf>
    <xf numFmtId="173" fontId="20" fillId="0" borderId="0" xfId="0" applyNumberFormat="1" applyFont="1" applyAlignment="1">
      <alignment horizontal="center"/>
    </xf>
    <xf numFmtId="173" fontId="11" fillId="4" borderId="0" xfId="0" applyNumberFormat="1" applyFont="1" applyFill="1" applyAlignment="1">
      <alignment horizontal="center"/>
    </xf>
    <xf numFmtId="49" fontId="11" fillId="4" borderId="0" xfId="0" applyNumberFormat="1" applyFont="1" applyFill="1" applyAlignment="1">
      <alignment horizontal="center"/>
    </xf>
    <xf numFmtId="14" fontId="11" fillId="4" borderId="0" xfId="0" applyNumberFormat="1" applyFont="1" applyFill="1" applyAlignment="1">
      <alignment horizontal="center"/>
    </xf>
    <xf numFmtId="173" fontId="11" fillId="4" borderId="0" xfId="1" applyNumberFormat="1" applyFont="1" applyFill="1" applyAlignment="1">
      <alignment horizontal="center"/>
    </xf>
    <xf numFmtId="170" fontId="11" fillId="4" borderId="0" xfId="2" applyNumberFormat="1" applyFont="1" applyFill="1" applyAlignment="1">
      <alignment horizontal="center"/>
    </xf>
    <xf numFmtId="10" fontId="11" fillId="4" borderId="0" xfId="2" applyNumberFormat="1" applyFont="1" applyFill="1" applyAlignment="1">
      <alignment horizontal="center"/>
    </xf>
    <xf numFmtId="10" fontId="23" fillId="4" borderId="0" xfId="2" applyNumberFormat="1" applyFont="1" applyFill="1" applyAlignment="1">
      <alignment horizontal="center"/>
    </xf>
    <xf numFmtId="167" fontId="8" fillId="9" borderId="0" xfId="0" applyNumberFormat="1" applyFont="1" applyFill="1"/>
    <xf numFmtId="10" fontId="5" fillId="20" borderId="7" xfId="2" applyNumberFormat="1" applyFont="1" applyFill="1" applyBorder="1" applyAlignment="1">
      <alignment horizontal="center"/>
    </xf>
    <xf numFmtId="175" fontId="0" fillId="0" borderId="0" xfId="0" applyNumberFormat="1" applyAlignment="1">
      <alignment horizontal="center"/>
    </xf>
    <xf numFmtId="10" fontId="5" fillId="10" borderId="7" xfId="2" applyNumberFormat="1" applyFont="1" applyFill="1" applyBorder="1" applyAlignment="1">
      <alignment horizontal="center"/>
    </xf>
    <xf numFmtId="12" fontId="0" fillId="0" borderId="0" xfId="1" applyNumberFormat="1" applyFont="1" applyAlignment="1">
      <alignment horizontal="center"/>
    </xf>
    <xf numFmtId="10" fontId="5" fillId="10" borderId="0" xfId="2" applyNumberFormat="1" applyFont="1" applyFill="1" applyBorder="1" applyAlignment="1">
      <alignment horizontal="center"/>
    </xf>
    <xf numFmtId="9" fontId="0" fillId="0" borderId="0" xfId="2" applyFont="1" applyAlignment="1">
      <alignment horizontal="center"/>
    </xf>
    <xf numFmtId="169" fontId="11" fillId="4" borderId="0" xfId="0" applyNumberFormat="1" applyFont="1" applyFill="1" applyAlignment="1">
      <alignment horizontal="center"/>
    </xf>
    <xf numFmtId="176" fontId="0" fillId="11" borderId="0" xfId="0" applyNumberFormat="1" applyFill="1" applyAlignment="1">
      <alignment horizontal="center"/>
    </xf>
    <xf numFmtId="173" fontId="0" fillId="3" borderId="0" xfId="0" applyNumberFormat="1" applyFill="1" applyAlignment="1">
      <alignment horizontal="center"/>
    </xf>
    <xf numFmtId="168" fontId="11" fillId="4" borderId="0" xfId="0" applyNumberFormat="1" applyFont="1" applyFill="1" applyAlignment="1">
      <alignment horizontal="center"/>
    </xf>
    <xf numFmtId="170" fontId="5" fillId="10" borderId="0" xfId="0" applyNumberFormat="1" applyFont="1" applyFill="1" applyAlignment="1">
      <alignment horizontal="center"/>
    </xf>
    <xf numFmtId="10" fontId="5" fillId="10" borderId="0" xfId="0" applyNumberFormat="1" applyFont="1" applyFill="1" applyAlignment="1">
      <alignment horizontal="center"/>
    </xf>
    <xf numFmtId="10" fontId="2" fillId="10" borderId="0" xfId="0" applyNumberFormat="1" applyFont="1" applyFill="1" applyAlignment="1">
      <alignment horizontal="center"/>
    </xf>
    <xf numFmtId="10" fontId="0" fillId="14" borderId="0" xfId="0" applyNumberFormat="1" applyFill="1" applyAlignment="1">
      <alignment horizontal="center"/>
    </xf>
    <xf numFmtId="10" fontId="0" fillId="10" borderId="0" xfId="0" applyNumberFormat="1" applyFill="1" applyAlignment="1">
      <alignment horizontal="center"/>
    </xf>
    <xf numFmtId="170" fontId="0" fillId="0" borderId="0" xfId="0" applyNumberFormat="1" applyAlignment="1">
      <alignment horizontal="center"/>
    </xf>
    <xf numFmtId="170" fontId="5" fillId="21" borderId="0" xfId="2" applyNumberFormat="1" applyFont="1" applyFill="1" applyAlignment="1">
      <alignment horizontal="center"/>
    </xf>
    <xf numFmtId="9" fontId="0" fillId="0" borderId="0" xfId="2" applyFont="1"/>
    <xf numFmtId="164" fontId="0" fillId="0" borderId="0" xfId="1" applyFont="1"/>
    <xf numFmtId="179" fontId="0" fillId="0" borderId="0" xfId="1" applyNumberFormat="1" applyFont="1"/>
    <xf numFmtId="179" fontId="2" fillId="0" borderId="0" xfId="1" applyNumberFormat="1" applyFont="1"/>
    <xf numFmtId="164" fontId="0" fillId="3" borderId="9" xfId="1" applyFont="1" applyFill="1" applyBorder="1" applyAlignment="1">
      <alignment horizontal="center"/>
    </xf>
    <xf numFmtId="166" fontId="0" fillId="3" borderId="11" xfId="1" applyNumberFormat="1" applyFont="1" applyFill="1" applyBorder="1" applyAlignment="1">
      <alignment horizontal="center"/>
    </xf>
    <xf numFmtId="166" fontId="2" fillId="3" borderId="8" xfId="1" applyNumberFormat="1" applyFont="1" applyFill="1" applyBorder="1" applyAlignment="1">
      <alignment horizontal="center"/>
    </xf>
    <xf numFmtId="166" fontId="2" fillId="3" borderId="10" xfId="1" applyNumberFormat="1" applyFont="1" applyFill="1" applyBorder="1" applyAlignment="1">
      <alignment horizontal="center"/>
    </xf>
    <xf numFmtId="38" fontId="0" fillId="0" borderId="0" xfId="1" applyNumberFormat="1" applyFont="1" applyAlignment="1">
      <alignment horizontal="center"/>
    </xf>
    <xf numFmtId="38" fontId="3" fillId="0" borderId="0" xfId="1" applyNumberFormat="1" applyFont="1" applyAlignment="1">
      <alignment horizontal="center"/>
    </xf>
    <xf numFmtId="38" fontId="0" fillId="0" borderId="0" xfId="1" applyNumberFormat="1" applyFont="1" applyFill="1" applyAlignment="1">
      <alignment horizontal="center"/>
    </xf>
    <xf numFmtId="38" fontId="2" fillId="7" borderId="0" xfId="1" applyNumberFormat="1" applyFont="1" applyFill="1" applyAlignment="1">
      <alignment horizontal="center"/>
    </xf>
    <xf numFmtId="165" fontId="12" fillId="0" borderId="0" xfId="0" applyNumberFormat="1" applyFont="1" applyAlignment="1">
      <alignment horizontal="center"/>
    </xf>
    <xf numFmtId="38" fontId="0" fillId="0" borderId="0" xfId="1" applyNumberFormat="1" applyFont="1" applyAlignment="1"/>
    <xf numFmtId="180" fontId="0" fillId="0" borderId="0" xfId="1" applyNumberFormat="1" applyFont="1" applyAlignment="1">
      <alignment horizontal="center"/>
    </xf>
    <xf numFmtId="164" fontId="8" fillId="0" borderId="4" xfId="1" applyFont="1" applyFill="1" applyBorder="1" applyAlignment="1">
      <alignment horizontal="center"/>
    </xf>
    <xf numFmtId="164" fontId="8" fillId="0" borderId="3" xfId="1" applyFont="1" applyBorder="1" applyAlignment="1">
      <alignment horizontal="center"/>
    </xf>
    <xf numFmtId="164" fontId="17" fillId="0" borderId="3" xfId="1" applyFont="1" applyFill="1" applyBorder="1" applyAlignment="1">
      <alignment horizontal="center"/>
    </xf>
    <xf numFmtId="164" fontId="17" fillId="0" borderId="4" xfId="1" applyFont="1" applyFill="1" applyBorder="1" applyAlignment="1">
      <alignment horizontal="center"/>
    </xf>
    <xf numFmtId="173" fontId="0" fillId="14" borderId="0" xfId="0" applyNumberFormat="1" applyFill="1" applyAlignment="1">
      <alignment horizontal="center"/>
    </xf>
    <xf numFmtId="164" fontId="1" fillId="0" borderId="10" xfId="1" applyFont="1" applyBorder="1" applyAlignment="1">
      <alignment horizontal="center"/>
    </xf>
    <xf numFmtId="164" fontId="0" fillId="0" borderId="6" xfId="0" applyNumberFormat="1" applyBorder="1" applyAlignment="1">
      <alignment horizontal="center"/>
    </xf>
    <xf numFmtId="164" fontId="0" fillId="0" borderId="6" xfId="1" applyFont="1" applyBorder="1" applyAlignment="1">
      <alignment horizontal="center"/>
    </xf>
    <xf numFmtId="170" fontId="2" fillId="0" borderId="6" xfId="2" applyNumberFormat="1" applyFont="1" applyBorder="1" applyAlignment="1">
      <alignment horizontal="center"/>
    </xf>
    <xf numFmtId="170" fontId="2" fillId="0" borderId="11" xfId="2" applyNumberFormat="1" applyFont="1" applyBorder="1" applyAlignment="1">
      <alignment horizontal="center"/>
    </xf>
    <xf numFmtId="164" fontId="2" fillId="0" borderId="13" xfId="1" applyFont="1" applyBorder="1" applyAlignment="1">
      <alignment horizontal="center"/>
    </xf>
    <xf numFmtId="170" fontId="2" fillId="15" borderId="13" xfId="2" applyNumberFormat="1" applyFont="1" applyFill="1" applyBorder="1" applyAlignment="1">
      <alignment horizontal="center"/>
    </xf>
    <xf numFmtId="170" fontId="2" fillId="15" borderId="14" xfId="2" applyNumberFormat="1" applyFont="1" applyFill="1" applyBorder="1" applyAlignment="1">
      <alignment horizontal="center"/>
    </xf>
    <xf numFmtId="164" fontId="2" fillId="0" borderId="16" xfId="1" applyFont="1" applyBorder="1" applyAlignment="1">
      <alignment horizontal="center"/>
    </xf>
    <xf numFmtId="170" fontId="2" fillId="15" borderId="16" xfId="2" applyNumberFormat="1" applyFont="1" applyFill="1" applyBorder="1" applyAlignment="1">
      <alignment horizontal="center"/>
    </xf>
    <xf numFmtId="170" fontId="2" fillId="15" borderId="17" xfId="2" applyNumberFormat="1" applyFont="1" applyFill="1" applyBorder="1" applyAlignment="1">
      <alignment horizontal="center"/>
    </xf>
    <xf numFmtId="165" fontId="2" fillId="10" borderId="5" xfId="0" applyNumberFormat="1" applyFont="1" applyFill="1" applyBorder="1" applyAlignment="1">
      <alignment horizontal="center"/>
    </xf>
    <xf numFmtId="0" fontId="5" fillId="3" borderId="0" xfId="0" applyFont="1" applyFill="1" applyAlignment="1">
      <alignment horizontal="center"/>
    </xf>
    <xf numFmtId="181" fontId="0" fillId="0" borderId="0" xfId="1" applyNumberFormat="1" applyFont="1" applyAlignment="1">
      <alignment horizontal="center"/>
    </xf>
    <xf numFmtId="181" fontId="3" fillId="0" borderId="0" xfId="1" applyNumberFormat="1" applyFont="1" applyAlignment="1">
      <alignment horizontal="center"/>
    </xf>
    <xf numFmtId="0" fontId="2" fillId="2" borderId="1" xfId="0" applyFont="1" applyFill="1" applyBorder="1" applyAlignment="1">
      <alignment horizontal="center"/>
    </xf>
    <xf numFmtId="173" fontId="2" fillId="2" borderId="1" xfId="0" applyNumberFormat="1" applyFont="1" applyFill="1" applyBorder="1" applyAlignment="1">
      <alignment horizontal="center"/>
    </xf>
    <xf numFmtId="164" fontId="2" fillId="2" borderId="1" xfId="1" applyFont="1" applyFill="1" applyBorder="1" applyAlignment="1">
      <alignment horizontal="center"/>
    </xf>
    <xf numFmtId="181" fontId="2" fillId="2" borderId="1" xfId="1" applyNumberFormat="1" applyFont="1" applyFill="1" applyBorder="1" applyAlignment="1">
      <alignment horizontal="center"/>
    </xf>
    <xf numFmtId="166" fontId="2" fillId="0" borderId="0" xfId="1" applyNumberFormat="1" applyFont="1" applyAlignment="1">
      <alignment horizontal="center"/>
    </xf>
    <xf numFmtId="176" fontId="11" fillId="4" borderId="0" xfId="0" applyNumberFormat="1" applyFont="1" applyFill="1" applyAlignment="1">
      <alignment horizontal="center"/>
    </xf>
    <xf numFmtId="176" fontId="11" fillId="4" borderId="0" xfId="1" applyNumberFormat="1" applyFont="1" applyFill="1" applyAlignment="1">
      <alignment horizontal="center"/>
    </xf>
    <xf numFmtId="0" fontId="4" fillId="0" borderId="19" xfId="0" applyFont="1" applyBorder="1"/>
    <xf numFmtId="179" fontId="4" fillId="6" borderId="4" xfId="1" applyNumberFormat="1" applyFont="1" applyFill="1" applyBorder="1"/>
    <xf numFmtId="10" fontId="0" fillId="0" borderId="0" xfId="0" applyNumberFormat="1" applyAlignment="1">
      <alignment horizontal="center"/>
    </xf>
    <xf numFmtId="182" fontId="17" fillId="3" borderId="0" xfId="0" applyNumberFormat="1" applyFont="1" applyFill="1" applyAlignment="1">
      <alignment horizontal="center"/>
    </xf>
    <xf numFmtId="164" fontId="5" fillId="0" borderId="0" xfId="0" applyNumberFormat="1" applyFont="1"/>
    <xf numFmtId="171" fontId="5" fillId="0" borderId="0" xfId="0" applyNumberFormat="1" applyFont="1" applyAlignment="1">
      <alignment horizontal="center"/>
    </xf>
    <xf numFmtId="164" fontId="5" fillId="0" borderId="0" xfId="0" applyNumberFormat="1" applyFont="1" applyAlignment="1">
      <alignment horizontal="center"/>
    </xf>
    <xf numFmtId="38" fontId="5" fillId="0" borderId="0" xfId="0" applyNumberFormat="1" applyFont="1" applyAlignment="1">
      <alignment horizontal="center"/>
    </xf>
    <xf numFmtId="170" fontId="5" fillId="0" borderId="0" xfId="0" applyNumberFormat="1" applyFont="1" applyAlignment="1">
      <alignment horizontal="center"/>
    </xf>
    <xf numFmtId="10" fontId="5" fillId="0" borderId="0" xfId="0" applyNumberFormat="1" applyFont="1" applyAlignment="1">
      <alignment horizontal="center"/>
    </xf>
    <xf numFmtId="174" fontId="5" fillId="0" borderId="0" xfId="0" applyNumberFormat="1" applyFont="1" applyAlignment="1">
      <alignment horizontal="center"/>
    </xf>
    <xf numFmtId="164" fontId="2" fillId="0" borderId="5" xfId="1" applyFont="1" applyBorder="1" applyAlignment="1">
      <alignment horizontal="center"/>
    </xf>
    <xf numFmtId="14" fontId="0" fillId="0" borderId="0" xfId="1" applyNumberFormat="1" applyFont="1" applyAlignment="1">
      <alignment horizontal="center"/>
    </xf>
    <xf numFmtId="10" fontId="11" fillId="4" borderId="0" xfId="0" applyNumberFormat="1" applyFont="1" applyFill="1" applyAlignment="1">
      <alignment horizontal="center"/>
    </xf>
    <xf numFmtId="10" fontId="5" fillId="0" borderId="0" xfId="2" applyNumberFormat="1" applyFont="1" applyAlignment="1">
      <alignment horizontal="center"/>
    </xf>
    <xf numFmtId="183" fontId="0" fillId="0" borderId="0" xfId="2" applyNumberFormat="1" applyFont="1" applyAlignment="1">
      <alignment horizontal="center"/>
    </xf>
    <xf numFmtId="183" fontId="0" fillId="20" borderId="7" xfId="2" applyNumberFormat="1" applyFont="1" applyFill="1" applyBorder="1" applyAlignment="1">
      <alignment horizontal="center"/>
    </xf>
    <xf numFmtId="10" fontId="2" fillId="3" borderId="0" xfId="2" applyNumberFormat="1" applyFont="1" applyFill="1" applyAlignment="1">
      <alignment horizontal="center"/>
    </xf>
    <xf numFmtId="182" fontId="0" fillId="0" borderId="0" xfId="0" applyNumberFormat="1" applyAlignment="1">
      <alignment horizontal="center"/>
    </xf>
    <xf numFmtId="182" fontId="3" fillId="10" borderId="0" xfId="0" applyNumberFormat="1" applyFont="1" applyFill="1" applyAlignment="1">
      <alignment horizontal="center"/>
    </xf>
    <xf numFmtId="182" fontId="0" fillId="4" borderId="0" xfId="0" applyNumberFormat="1" applyFill="1" applyAlignment="1">
      <alignment horizontal="center"/>
    </xf>
    <xf numFmtId="182" fontId="0" fillId="11" borderId="0" xfId="0" applyNumberFormat="1" applyFill="1" applyAlignment="1">
      <alignment horizontal="center"/>
    </xf>
    <xf numFmtId="179" fontId="4" fillId="10" borderId="0" xfId="1" applyNumberFormat="1" applyFont="1" applyFill="1"/>
    <xf numFmtId="173" fontId="0" fillId="20" borderId="7" xfId="0" applyNumberFormat="1" applyFill="1" applyBorder="1" applyAlignment="1">
      <alignment horizontal="center"/>
    </xf>
    <xf numFmtId="173" fontId="0" fillId="24" borderId="7" xfId="0" applyNumberFormat="1" applyFill="1" applyBorder="1" applyAlignment="1">
      <alignment horizontal="center"/>
    </xf>
    <xf numFmtId="182" fontId="24" fillId="10" borderId="7" xfId="0" applyNumberFormat="1" applyFont="1" applyFill="1" applyBorder="1" applyAlignment="1">
      <alignment horizontal="center"/>
    </xf>
    <xf numFmtId="182" fontId="0" fillId="23" borderId="7" xfId="0" applyNumberFormat="1" applyFill="1" applyBorder="1" applyAlignment="1">
      <alignment horizontal="center"/>
    </xf>
    <xf numFmtId="173" fontId="24" fillId="22" borderId="7" xfId="0" applyNumberFormat="1" applyFont="1" applyFill="1" applyBorder="1" applyAlignment="1">
      <alignment horizontal="center"/>
    </xf>
    <xf numFmtId="173" fontId="0" fillId="11" borderId="7" xfId="0" applyNumberFormat="1" applyFill="1" applyBorder="1" applyAlignment="1">
      <alignment horizontal="center"/>
    </xf>
    <xf numFmtId="173" fontId="0" fillId="25" borderId="7" xfId="0" applyNumberFormat="1" applyFill="1" applyBorder="1" applyAlignment="1">
      <alignment horizontal="center"/>
    </xf>
    <xf numFmtId="182" fontId="0" fillId="25" borderId="7" xfId="0" applyNumberFormat="1" applyFill="1" applyBorder="1" applyAlignment="1">
      <alignment horizontal="center"/>
    </xf>
    <xf numFmtId="183" fontId="0" fillId="11" borderId="7" xfId="2" applyNumberFormat="1" applyFont="1" applyFill="1" applyBorder="1" applyAlignment="1">
      <alignment horizontal="center"/>
    </xf>
    <xf numFmtId="173" fontId="3" fillId="10" borderId="0" xfId="0" applyNumberFormat="1" applyFont="1" applyFill="1" applyAlignment="1">
      <alignment horizontal="center"/>
    </xf>
    <xf numFmtId="173" fontId="24" fillId="10" borderId="7" xfId="0" applyNumberFormat="1" applyFont="1" applyFill="1" applyBorder="1" applyAlignment="1">
      <alignment horizontal="center"/>
    </xf>
    <xf numFmtId="183" fontId="0" fillId="10" borderId="7" xfId="2" applyNumberFormat="1" applyFont="1" applyFill="1" applyBorder="1" applyAlignment="1">
      <alignment horizontal="center"/>
    </xf>
    <xf numFmtId="170" fontId="20" fillId="9" borderId="7" xfId="2" applyNumberFormat="1" applyFont="1" applyFill="1" applyBorder="1" applyAlignment="1">
      <alignment horizontal="center"/>
    </xf>
    <xf numFmtId="10" fontId="20" fillId="26" borderId="7" xfId="2" applyNumberFormat="1" applyFont="1" applyFill="1" applyBorder="1" applyAlignment="1">
      <alignment horizontal="center"/>
    </xf>
    <xf numFmtId="173" fontId="20" fillId="26" borderId="7" xfId="0" applyNumberFormat="1" applyFont="1" applyFill="1" applyBorder="1" applyAlignment="1">
      <alignment horizontal="center"/>
    </xf>
    <xf numFmtId="170" fontId="0" fillId="9" borderId="0" xfId="2" applyNumberFormat="1" applyFont="1" applyFill="1" applyAlignment="1">
      <alignment horizontal="center"/>
    </xf>
    <xf numFmtId="173" fontId="0" fillId="20" borderId="0" xfId="0" applyNumberFormat="1" applyFill="1" applyAlignment="1">
      <alignment horizontal="center"/>
    </xf>
    <xf numFmtId="173" fontId="0" fillId="12" borderId="0" xfId="0" applyNumberFormat="1" applyFill="1" applyAlignment="1">
      <alignment horizontal="center"/>
    </xf>
    <xf numFmtId="173" fontId="0" fillId="27" borderId="0" xfId="0" applyNumberFormat="1" applyFill="1" applyAlignment="1">
      <alignment horizontal="center"/>
    </xf>
    <xf numFmtId="164" fontId="2" fillId="3" borderId="3" xfId="1" applyFont="1" applyFill="1" applyBorder="1" applyAlignment="1">
      <alignment horizontal="center"/>
    </xf>
    <xf numFmtId="170" fontId="2" fillId="3" borderId="4" xfId="0" applyNumberFormat="1" applyFont="1" applyFill="1" applyBorder="1" applyAlignment="1">
      <alignment horizontal="center"/>
    </xf>
    <xf numFmtId="184" fontId="0" fillId="0" borderId="0" xfId="1" applyNumberFormat="1" applyFont="1" applyAlignment="1">
      <alignment horizontal="center"/>
    </xf>
    <xf numFmtId="164" fontId="4" fillId="0" borderId="0" xfId="1" applyFont="1" applyAlignment="1">
      <alignment horizontal="center"/>
    </xf>
    <xf numFmtId="164" fontId="25" fillId="2" borderId="0" xfId="0" applyNumberFormat="1" applyFont="1" applyFill="1"/>
    <xf numFmtId="40" fontId="0" fillId="0" borderId="0" xfId="1" applyNumberFormat="1" applyFont="1" applyAlignment="1">
      <alignment horizontal="center"/>
    </xf>
    <xf numFmtId="173" fontId="11" fillId="9" borderId="0" xfId="0" applyNumberFormat="1" applyFont="1" applyFill="1" applyAlignment="1">
      <alignment horizontal="center"/>
    </xf>
    <xf numFmtId="0" fontId="2" fillId="0" borderId="0" xfId="0" applyFont="1"/>
    <xf numFmtId="164" fontId="2" fillId="0" borderId="0" xfId="1" applyFont="1"/>
    <xf numFmtId="183" fontId="5" fillId="10" borderId="0" xfId="2" applyNumberFormat="1" applyFont="1" applyFill="1" applyBorder="1" applyAlignment="1">
      <alignment horizontal="center"/>
    </xf>
    <xf numFmtId="173" fontId="11" fillId="28" borderId="0" xfId="0" applyNumberFormat="1" applyFont="1" applyFill="1" applyAlignment="1">
      <alignment horizontal="center"/>
    </xf>
    <xf numFmtId="173" fontId="20" fillId="3" borderId="7" xfId="1" applyNumberFormat="1" applyFont="1" applyFill="1" applyBorder="1" applyAlignment="1">
      <alignment horizontal="center"/>
    </xf>
    <xf numFmtId="10" fontId="20" fillId="9" borderId="7" xfId="2" applyNumberFormat="1" applyFont="1" applyFill="1" applyBorder="1" applyAlignment="1">
      <alignment horizontal="center"/>
    </xf>
    <xf numFmtId="183" fontId="5" fillId="10" borderId="7" xfId="2" applyNumberFormat="1" applyFont="1" applyFill="1" applyBorder="1" applyAlignment="1">
      <alignment horizontal="center"/>
    </xf>
    <xf numFmtId="185" fontId="0" fillId="0" borderId="0" xfId="2" applyNumberFormat="1" applyFont="1" applyAlignment="1">
      <alignment horizontal="center"/>
    </xf>
    <xf numFmtId="9" fontId="0" fillId="0" borderId="0" xfId="0" applyNumberFormat="1"/>
    <xf numFmtId="186" fontId="0" fillId="0" borderId="0" xfId="0" applyNumberFormat="1" applyAlignment="1">
      <alignment horizontal="center"/>
    </xf>
    <xf numFmtId="164" fontId="2" fillId="21" borderId="0" xfId="1" applyFont="1" applyFill="1" applyAlignment="1">
      <alignment horizontal="center"/>
    </xf>
    <xf numFmtId="166" fontId="2" fillId="21" borderId="0" xfId="1" applyNumberFormat="1" applyFont="1" applyFill="1" applyAlignment="1">
      <alignment horizontal="center"/>
    </xf>
    <xf numFmtId="180" fontId="2" fillId="21" borderId="0" xfId="1" applyNumberFormat="1" applyFont="1" applyFill="1" applyAlignment="1">
      <alignment horizontal="center"/>
    </xf>
    <xf numFmtId="170" fontId="20" fillId="3" borderId="0" xfId="2" applyNumberFormat="1" applyFont="1" applyFill="1" applyAlignment="1">
      <alignment horizontal="center"/>
    </xf>
    <xf numFmtId="179" fontId="4" fillId="6" borderId="3" xfId="1" applyNumberFormat="1" applyFont="1" applyFill="1" applyBorder="1" applyAlignment="1">
      <alignment horizontal="center"/>
    </xf>
    <xf numFmtId="179" fontId="4" fillId="6" borderId="19" xfId="1" applyNumberFormat="1" applyFont="1" applyFill="1" applyBorder="1" applyAlignment="1">
      <alignment horizontal="center"/>
    </xf>
    <xf numFmtId="0" fontId="0" fillId="0" borderId="22" xfId="0" applyBorder="1"/>
    <xf numFmtId="179" fontId="0" fillId="0" borderId="23" xfId="1" applyNumberFormat="1" applyFont="1" applyBorder="1"/>
    <xf numFmtId="179" fontId="0" fillId="0" borderId="0" xfId="1" applyNumberFormat="1" applyFont="1" applyBorder="1"/>
    <xf numFmtId="9" fontId="0" fillId="0" borderId="0" xfId="2" applyFont="1" applyBorder="1"/>
    <xf numFmtId="164" fontId="0" fillId="0" borderId="0" xfId="1" applyFont="1" applyBorder="1"/>
    <xf numFmtId="0" fontId="0" fillId="0" borderId="24" xfId="0" applyBorder="1"/>
    <xf numFmtId="179" fontId="2" fillId="0" borderId="23" xfId="1" applyNumberFormat="1" applyFont="1" applyBorder="1"/>
    <xf numFmtId="179" fontId="0" fillId="0" borderId="10" xfId="1" applyNumberFormat="1" applyFont="1" applyBorder="1"/>
    <xf numFmtId="0" fontId="0" fillId="0" borderId="6" xfId="0" applyBorder="1"/>
    <xf numFmtId="179" fontId="0" fillId="0" borderId="6" xfId="1" applyNumberFormat="1" applyFont="1" applyBorder="1"/>
    <xf numFmtId="9" fontId="0" fillId="0" borderId="6" xfId="2" applyFont="1" applyBorder="1"/>
    <xf numFmtId="164" fontId="0" fillId="0" borderId="6" xfId="1" applyFont="1" applyBorder="1"/>
    <xf numFmtId="0" fontId="0" fillId="0" borderId="11" xfId="0" applyBorder="1"/>
    <xf numFmtId="179" fontId="4" fillId="2" borderId="8" xfId="1" applyNumberFormat="1" applyFont="1" applyFill="1" applyBorder="1" applyAlignment="1">
      <alignment horizontal="center"/>
    </xf>
    <xf numFmtId="179" fontId="2" fillId="0" borderId="22" xfId="1" applyNumberFormat="1" applyFont="1" applyBorder="1"/>
    <xf numFmtId="0" fontId="2" fillId="0" borderId="22" xfId="0" applyFont="1" applyBorder="1"/>
    <xf numFmtId="179" fontId="2" fillId="7" borderId="0" xfId="1" applyNumberFormat="1" applyFont="1" applyFill="1" applyBorder="1"/>
    <xf numFmtId="9" fontId="2" fillId="7" borderId="0" xfId="2" applyFont="1" applyFill="1" applyBorder="1"/>
    <xf numFmtId="164" fontId="2" fillId="7" borderId="0" xfId="1" applyFont="1" applyFill="1" applyBorder="1"/>
    <xf numFmtId="167" fontId="2" fillId="7" borderId="24" xfId="0" applyNumberFormat="1" applyFont="1" applyFill="1" applyBorder="1"/>
    <xf numFmtId="179" fontId="1" fillId="2" borderId="0" xfId="1" applyNumberFormat="1" applyFont="1" applyFill="1"/>
    <xf numFmtId="179" fontId="1" fillId="0" borderId="0" xfId="1" applyNumberFormat="1" applyFont="1" applyFill="1"/>
    <xf numFmtId="170" fontId="5" fillId="14" borderId="0" xfId="2" applyNumberFormat="1" applyFont="1" applyFill="1" applyAlignment="1">
      <alignment horizontal="center"/>
    </xf>
    <xf numFmtId="38" fontId="1" fillId="0" borderId="18" xfId="1" applyNumberFormat="1" applyFont="1" applyBorder="1"/>
    <xf numFmtId="14" fontId="0" fillId="0" borderId="0" xfId="0" applyNumberFormat="1"/>
    <xf numFmtId="179" fontId="2" fillId="7" borderId="23" xfId="1" applyNumberFormat="1" applyFont="1" applyFill="1" applyBorder="1"/>
    <xf numFmtId="184" fontId="2" fillId="15" borderId="3" xfId="1" applyNumberFormat="1" applyFont="1" applyFill="1" applyBorder="1" applyAlignment="1">
      <alignment horizontal="center"/>
    </xf>
    <xf numFmtId="165" fontId="2" fillId="2" borderId="20" xfId="0" applyNumberFormat="1" applyFont="1" applyFill="1" applyBorder="1" applyAlignment="1">
      <alignment horizontal="center"/>
    </xf>
    <xf numFmtId="38" fontId="2" fillId="2" borderId="21" xfId="0" applyNumberFormat="1" applyFont="1" applyFill="1" applyBorder="1" applyAlignment="1">
      <alignment horizontal="center"/>
    </xf>
    <xf numFmtId="10" fontId="2" fillId="0" borderId="20" xfId="2" applyNumberFormat="1" applyFont="1" applyBorder="1" applyAlignment="1">
      <alignment horizontal="center"/>
    </xf>
    <xf numFmtId="164" fontId="0" fillId="3" borderId="0" xfId="1" applyFont="1" applyFill="1" applyAlignment="1">
      <alignment horizontal="center"/>
    </xf>
    <xf numFmtId="164" fontId="2" fillId="2" borderId="0" xfId="0" applyNumberFormat="1" applyFont="1" applyFill="1"/>
    <xf numFmtId="0" fontId="0" fillId="3" borderId="0" xfId="0" applyFill="1" applyAlignment="1">
      <alignment horizontal="center"/>
    </xf>
    <xf numFmtId="10" fontId="4" fillId="0" borderId="0" xfId="2" applyNumberFormat="1" applyFont="1"/>
    <xf numFmtId="179" fontId="0" fillId="0" borderId="0" xfId="0" applyNumberFormat="1"/>
    <xf numFmtId="164" fontId="27" fillId="0" borderId="0" xfId="1" applyFont="1" applyAlignment="1">
      <alignment horizontal="center"/>
    </xf>
    <xf numFmtId="166" fontId="5" fillId="3" borderId="0" xfId="0" applyNumberFormat="1" applyFont="1" applyFill="1" applyAlignment="1">
      <alignment horizontal="center"/>
    </xf>
    <xf numFmtId="173" fontId="0" fillId="0" borderId="0" xfId="0" applyNumberFormat="1" applyAlignment="1">
      <alignment horizontal="left"/>
    </xf>
    <xf numFmtId="182" fontId="0" fillId="0" borderId="0" xfId="0" applyNumberFormat="1" applyAlignment="1">
      <alignment horizontal="left"/>
    </xf>
    <xf numFmtId="173" fontId="11" fillId="29" borderId="0" xfId="0" applyNumberFormat="1" applyFont="1" applyFill="1" applyAlignment="1">
      <alignment horizontal="center"/>
    </xf>
    <xf numFmtId="170" fontId="5" fillId="29" borderId="0" xfId="2" applyNumberFormat="1" applyFont="1" applyFill="1" applyAlignment="1">
      <alignment horizontal="center"/>
    </xf>
    <xf numFmtId="170" fontId="15" fillId="0" borderId="0" xfId="2" applyNumberFormat="1" applyFont="1" applyAlignment="1">
      <alignment horizontal="center"/>
    </xf>
    <xf numFmtId="0" fontId="15" fillId="0" borderId="0" xfId="0" applyFont="1" applyAlignment="1">
      <alignment horizontal="center"/>
    </xf>
    <xf numFmtId="183" fontId="0" fillId="11" borderId="0" xfId="2" applyNumberFormat="1" applyFont="1" applyFill="1" applyBorder="1" applyAlignment="1">
      <alignment horizontal="center"/>
    </xf>
    <xf numFmtId="173" fontId="0" fillId="25" borderId="0" xfId="0" applyNumberFormat="1" applyFill="1" applyAlignment="1">
      <alignment horizontal="center"/>
    </xf>
    <xf numFmtId="182" fontId="0" fillId="25" borderId="0" xfId="0" applyNumberFormat="1" applyFill="1" applyAlignment="1">
      <alignment horizontal="center"/>
    </xf>
    <xf numFmtId="164" fontId="0" fillId="0" borderId="18" xfId="1" applyFont="1" applyBorder="1"/>
    <xf numFmtId="167" fontId="2" fillId="0" borderId="0" xfId="0" applyNumberFormat="1" applyFont="1"/>
    <xf numFmtId="38" fontId="0" fillId="0" borderId="0" xfId="0" applyNumberFormat="1"/>
    <xf numFmtId="0" fontId="0" fillId="7" borderId="0" xfId="0" applyFill="1" applyAlignment="1">
      <alignment horizontal="center"/>
    </xf>
    <xf numFmtId="164" fontId="22" fillId="13" borderId="5" xfId="0" applyNumberFormat="1" applyFont="1" applyFill="1" applyBorder="1" applyAlignment="1">
      <alignment horizontal="center" vertical="center"/>
    </xf>
    <xf numFmtId="164" fontId="19" fillId="13" borderId="5" xfId="0" applyNumberFormat="1" applyFont="1" applyFill="1" applyBorder="1" applyAlignment="1">
      <alignment horizontal="center" vertical="center"/>
    </xf>
    <xf numFmtId="181" fontId="0" fillId="0" borderId="0" xfId="0" applyNumberFormat="1" applyAlignment="1">
      <alignment horizontal="center"/>
    </xf>
    <xf numFmtId="170" fontId="2" fillId="0" borderId="0" xfId="2" applyNumberFormat="1" applyFont="1" applyAlignment="1">
      <alignment horizontal="center"/>
    </xf>
    <xf numFmtId="183" fontId="5" fillId="21" borderId="0" xfId="2" applyNumberFormat="1" applyFont="1" applyFill="1" applyBorder="1" applyAlignment="1">
      <alignment horizontal="center"/>
    </xf>
    <xf numFmtId="175" fontId="11" fillId="4" borderId="0" xfId="0" applyNumberFormat="1" applyFont="1" applyFill="1" applyAlignment="1">
      <alignment horizontal="center"/>
    </xf>
    <xf numFmtId="173" fontId="30" fillId="0" borderId="0" xfId="0" applyNumberFormat="1" applyFont="1" applyAlignment="1">
      <alignment horizontal="center"/>
    </xf>
    <xf numFmtId="173" fontId="30" fillId="29" borderId="0" xfId="0" applyNumberFormat="1" applyFont="1" applyFill="1" applyAlignment="1">
      <alignment horizontal="center"/>
    </xf>
    <xf numFmtId="173" fontId="30" fillId="14" borderId="0" xfId="0" applyNumberFormat="1" applyFont="1" applyFill="1" applyAlignment="1">
      <alignment horizontal="center"/>
    </xf>
    <xf numFmtId="0" fontId="2" fillId="3" borderId="0" xfId="0" applyFont="1" applyFill="1" applyAlignment="1">
      <alignment horizontal="left"/>
    </xf>
    <xf numFmtId="180" fontId="2" fillId="15" borderId="4" xfId="1" applyNumberFormat="1" applyFont="1" applyFill="1" applyBorder="1" applyAlignment="1">
      <alignment horizontal="center"/>
    </xf>
    <xf numFmtId="187" fontId="0" fillId="0" borderId="0" xfId="1" applyNumberFormat="1" applyFont="1"/>
    <xf numFmtId="173" fontId="30" fillId="11" borderId="0" xfId="0" applyNumberFormat="1" applyFont="1" applyFill="1" applyAlignment="1">
      <alignment horizontal="center"/>
    </xf>
    <xf numFmtId="173" fontId="11" fillId="14" borderId="0" xfId="0" applyNumberFormat="1" applyFont="1" applyFill="1" applyAlignment="1">
      <alignment horizontal="center"/>
    </xf>
    <xf numFmtId="40" fontId="0" fillId="0" borderId="0" xfId="1" applyNumberFormat="1" applyFont="1" applyFill="1" applyAlignment="1">
      <alignment horizontal="center"/>
    </xf>
    <xf numFmtId="173" fontId="20" fillId="31" borderId="0" xfId="1" applyNumberFormat="1" applyFont="1" applyFill="1" applyAlignment="1">
      <alignment horizontal="center"/>
    </xf>
    <xf numFmtId="181" fontId="0" fillId="0" borderId="0" xfId="0" applyNumberFormat="1"/>
    <xf numFmtId="0" fontId="2" fillId="3" borderId="0" xfId="0" applyFont="1" applyFill="1" applyAlignment="1">
      <alignment horizontal="center"/>
    </xf>
    <xf numFmtId="188" fontId="0" fillId="0" borderId="0" xfId="0" applyNumberFormat="1" applyAlignment="1">
      <alignment horizontal="center"/>
    </xf>
    <xf numFmtId="43" fontId="0" fillId="0" borderId="0" xfId="1" applyNumberFormat="1" applyFont="1" applyAlignment="1">
      <alignment horizontal="center"/>
    </xf>
    <xf numFmtId="165" fontId="2" fillId="3" borderId="0" xfId="0" applyNumberFormat="1" applyFont="1" applyFill="1" applyAlignment="1">
      <alignment horizontal="center"/>
    </xf>
    <xf numFmtId="0" fontId="2" fillId="9" borderId="0" xfId="0" applyFont="1" applyFill="1" applyAlignment="1">
      <alignment horizontal="center"/>
    </xf>
    <xf numFmtId="166" fontId="0" fillId="0" borderId="0" xfId="0" applyNumberFormat="1" applyAlignment="1">
      <alignment horizontal="center"/>
    </xf>
    <xf numFmtId="189" fontId="0" fillId="0" borderId="0" xfId="0" applyNumberFormat="1" applyAlignment="1">
      <alignment horizontal="center"/>
    </xf>
    <xf numFmtId="173" fontId="31" fillId="0" borderId="0" xfId="0" applyNumberFormat="1" applyFont="1" applyAlignment="1">
      <alignment horizontal="center"/>
    </xf>
    <xf numFmtId="38" fontId="0" fillId="0" borderId="32" xfId="1" applyNumberFormat="1" applyFont="1" applyBorder="1" applyAlignment="1">
      <alignment horizontal="center"/>
    </xf>
    <xf numFmtId="190" fontId="0" fillId="0" borderId="31" xfId="1" applyNumberFormat="1" applyFont="1" applyBorder="1" applyAlignment="1">
      <alignment horizontal="center"/>
    </xf>
    <xf numFmtId="190" fontId="0" fillId="0" borderId="32" xfId="1" applyNumberFormat="1" applyFont="1" applyBorder="1" applyAlignment="1">
      <alignment horizontal="center"/>
    </xf>
    <xf numFmtId="190" fontId="0" fillId="0" borderId="15" xfId="1" applyNumberFormat="1" applyFont="1" applyBorder="1" applyAlignment="1">
      <alignment horizontal="center"/>
    </xf>
    <xf numFmtId="190" fontId="0" fillId="0" borderId="17" xfId="1" applyNumberFormat="1" applyFont="1" applyBorder="1" applyAlignment="1">
      <alignment horizontal="center"/>
    </xf>
    <xf numFmtId="38" fontId="0" fillId="0" borderId="31" xfId="1" applyNumberFormat="1" applyFont="1" applyBorder="1" applyAlignment="1">
      <alignment horizontal="center"/>
    </xf>
    <xf numFmtId="38" fontId="0" fillId="0" borderId="15" xfId="1" applyNumberFormat="1" applyFont="1" applyBorder="1" applyAlignment="1">
      <alignment horizontal="center"/>
    </xf>
    <xf numFmtId="38" fontId="0" fillId="0" borderId="17" xfId="1" applyNumberFormat="1" applyFont="1" applyBorder="1" applyAlignment="1">
      <alignment horizontal="center"/>
    </xf>
    <xf numFmtId="170" fontId="2" fillId="3" borderId="0" xfId="2" applyNumberFormat="1" applyFont="1" applyFill="1" applyAlignment="1">
      <alignment horizontal="center"/>
    </xf>
    <xf numFmtId="40" fontId="0" fillId="0" borderId="33" xfId="1" applyNumberFormat="1" applyFont="1" applyBorder="1" applyAlignment="1">
      <alignment horizontal="center"/>
    </xf>
    <xf numFmtId="38" fontId="0" fillId="0" borderId="34" xfId="1" applyNumberFormat="1" applyFont="1" applyBorder="1" applyAlignment="1">
      <alignment horizontal="center"/>
    </xf>
    <xf numFmtId="167" fontId="0" fillId="7" borderId="0" xfId="0" applyNumberFormat="1" applyFill="1"/>
    <xf numFmtId="3" fontId="2" fillId="7" borderId="0" xfId="0" applyNumberFormat="1" applyFont="1" applyFill="1"/>
    <xf numFmtId="173" fontId="30" fillId="3" borderId="0" xfId="0" applyNumberFormat="1" applyFont="1" applyFill="1" applyAlignment="1">
      <alignment horizontal="center"/>
    </xf>
    <xf numFmtId="170" fontId="5" fillId="3" borderId="0" xfId="2" applyNumberFormat="1" applyFont="1" applyFill="1" applyAlignment="1">
      <alignment horizontal="center"/>
    </xf>
    <xf numFmtId="170" fontId="0" fillId="3" borderId="0" xfId="2" applyNumberFormat="1" applyFont="1" applyFill="1" applyAlignment="1">
      <alignment horizontal="center"/>
    </xf>
    <xf numFmtId="183" fontId="0" fillId="10" borderId="0" xfId="2" applyNumberFormat="1" applyFont="1" applyFill="1" applyBorder="1" applyAlignment="1">
      <alignment horizontal="center"/>
    </xf>
    <xf numFmtId="10" fontId="0" fillId="10" borderId="0" xfId="2" applyNumberFormat="1" applyFont="1" applyFill="1" applyBorder="1" applyAlignment="1">
      <alignment horizontal="center"/>
    </xf>
    <xf numFmtId="173" fontId="11" fillId="3" borderId="0" xfId="0" applyNumberFormat="1" applyFont="1" applyFill="1" applyAlignment="1">
      <alignment horizontal="center"/>
    </xf>
    <xf numFmtId="14" fontId="2" fillId="0" borderId="35" xfId="2" applyNumberFormat="1" applyFont="1" applyBorder="1" applyAlignment="1">
      <alignment horizontal="center"/>
    </xf>
    <xf numFmtId="14" fontId="2" fillId="0" borderId="36" xfId="2" applyNumberFormat="1" applyFont="1" applyBorder="1" applyAlignment="1">
      <alignment horizontal="center"/>
    </xf>
    <xf numFmtId="164" fontId="2" fillId="0" borderId="12" xfId="1" applyFont="1" applyBorder="1" applyAlignment="1">
      <alignment horizontal="center" vertical="center"/>
    </xf>
    <xf numFmtId="164" fontId="2" fillId="0" borderId="15" xfId="1" applyFont="1" applyBorder="1" applyAlignment="1">
      <alignment horizontal="center" vertical="center"/>
    </xf>
    <xf numFmtId="14" fontId="2" fillId="2" borderId="1" xfId="0" applyNumberFormat="1" applyFont="1" applyFill="1" applyBorder="1" applyAlignment="1">
      <alignment horizontal="center"/>
    </xf>
    <xf numFmtId="38" fontId="2" fillId="2" borderId="0" xfId="1" applyNumberFormat="1" applyFont="1" applyFill="1" applyAlignment="1">
      <alignment horizontal="center"/>
    </xf>
    <xf numFmtId="164" fontId="2" fillId="10" borderId="3" xfId="1" applyFont="1" applyFill="1" applyBorder="1" applyAlignment="1">
      <alignment horizontal="center"/>
    </xf>
    <xf numFmtId="164" fontId="2" fillId="10" borderId="4" xfId="1" applyFont="1" applyFill="1" applyBorder="1" applyAlignment="1">
      <alignment horizontal="center"/>
    </xf>
    <xf numFmtId="0" fontId="2" fillId="10" borderId="3" xfId="0" applyFont="1" applyFill="1" applyBorder="1" applyAlignment="1">
      <alignment horizontal="center"/>
    </xf>
    <xf numFmtId="0" fontId="2" fillId="10" borderId="4" xfId="0" applyFont="1" applyFill="1" applyBorder="1" applyAlignment="1">
      <alignment horizontal="center"/>
    </xf>
    <xf numFmtId="164" fontId="2" fillId="7" borderId="0" xfId="1" applyFont="1" applyFill="1" applyAlignment="1">
      <alignment horizontal="center"/>
    </xf>
    <xf numFmtId="0" fontId="4" fillId="0" borderId="0" xfId="0" applyFont="1" applyAlignment="1">
      <alignment horizontal="center"/>
    </xf>
    <xf numFmtId="0" fontId="2" fillId="3" borderId="0" xfId="0" applyFont="1" applyFill="1" applyAlignment="1">
      <alignment horizontal="left"/>
    </xf>
    <xf numFmtId="0" fontId="2" fillId="30" borderId="12" xfId="0" applyFont="1" applyFill="1" applyBorder="1" applyAlignment="1">
      <alignment horizontal="center" vertical="center" textRotation="135" wrapText="1"/>
    </xf>
    <xf numFmtId="0" fontId="2" fillId="30" borderId="15" xfId="0" applyFont="1" applyFill="1" applyBorder="1" applyAlignment="1">
      <alignment horizontal="center" vertical="center" textRotation="135" wrapText="1"/>
    </xf>
    <xf numFmtId="0" fontId="17" fillId="7" borderId="13" xfId="0" applyFont="1" applyFill="1" applyBorder="1" applyAlignment="1">
      <alignment horizontal="center"/>
    </xf>
    <xf numFmtId="0" fontId="17" fillId="7" borderId="28" xfId="0" applyFont="1" applyFill="1" applyBorder="1" applyAlignment="1">
      <alignment horizontal="center"/>
    </xf>
    <xf numFmtId="164" fontId="18" fillId="19" borderId="16" xfId="0" applyNumberFormat="1" applyFont="1" applyFill="1" applyBorder="1" applyAlignment="1">
      <alignment horizontal="center" vertical="center"/>
    </xf>
    <xf numFmtId="164" fontId="18" fillId="19" borderId="29" xfId="0" applyNumberFormat="1" applyFont="1" applyFill="1" applyBorder="1" applyAlignment="1">
      <alignment horizontal="center" vertical="center"/>
    </xf>
    <xf numFmtId="164" fontId="18" fillId="19" borderId="17" xfId="0" applyNumberFormat="1" applyFont="1" applyFill="1" applyBorder="1" applyAlignment="1">
      <alignment horizontal="center" vertical="center"/>
    </xf>
    <xf numFmtId="0" fontId="17" fillId="18" borderId="13" xfId="0" applyFont="1" applyFill="1" applyBorder="1" applyAlignment="1">
      <alignment horizontal="center"/>
    </xf>
    <xf numFmtId="0" fontId="17" fillId="18" borderId="14" xfId="0" applyFont="1" applyFill="1" applyBorder="1" applyAlignment="1">
      <alignment horizontal="center"/>
    </xf>
    <xf numFmtId="0" fontId="21" fillId="2" borderId="6" xfId="0" applyFont="1" applyFill="1" applyBorder="1" applyAlignment="1">
      <alignment horizontal="center"/>
    </xf>
    <xf numFmtId="0" fontId="17" fillId="18" borderId="28" xfId="0" applyFont="1" applyFill="1" applyBorder="1" applyAlignment="1">
      <alignment horizontal="center"/>
    </xf>
    <xf numFmtId="0" fontId="29" fillId="2" borderId="6" xfId="0" applyFont="1" applyFill="1" applyBorder="1" applyAlignment="1">
      <alignment horizontal="center"/>
    </xf>
    <xf numFmtId="0" fontId="17" fillId="18" borderId="22" xfId="0" applyFont="1" applyFill="1" applyBorder="1" applyAlignment="1">
      <alignment horizontal="center"/>
    </xf>
    <xf numFmtId="0" fontId="17" fillId="18" borderId="9" xfId="0" applyFont="1" applyFill="1" applyBorder="1" applyAlignment="1">
      <alignment horizontal="center"/>
    </xf>
    <xf numFmtId="164" fontId="18" fillId="19" borderId="26" xfId="0" applyNumberFormat="1" applyFont="1" applyFill="1" applyBorder="1" applyAlignment="1">
      <alignment horizontal="center" vertical="center"/>
    </xf>
    <xf numFmtId="164" fontId="18" fillId="19" borderId="27" xfId="0" applyNumberFormat="1" applyFont="1" applyFill="1" applyBorder="1" applyAlignment="1">
      <alignment horizontal="center" vertical="center"/>
    </xf>
    <xf numFmtId="0" fontId="2" fillId="3" borderId="0" xfId="0" applyFont="1" applyFill="1" applyAlignment="1">
      <alignment horizontal="center"/>
    </xf>
    <xf numFmtId="0" fontId="28" fillId="0" borderId="2" xfId="0" applyFont="1" applyBorder="1" applyAlignment="1">
      <alignment horizontal="center" vertical="center" textRotation="135"/>
    </xf>
    <xf numFmtId="0" fontId="28" fillId="0" borderId="30" xfId="0" applyFont="1" applyBorder="1" applyAlignment="1">
      <alignment horizontal="center" vertical="center" textRotation="135"/>
    </xf>
    <xf numFmtId="0" fontId="28" fillId="0" borderId="25" xfId="0" applyFont="1" applyBorder="1" applyAlignment="1">
      <alignment horizontal="center" vertical="center" textRotation="135"/>
    </xf>
    <xf numFmtId="179" fontId="2" fillId="2" borderId="2" xfId="1" applyNumberFormat="1" applyFont="1" applyFill="1" applyBorder="1" applyAlignment="1">
      <alignment horizontal="center" vertical="center"/>
    </xf>
    <xf numFmtId="179" fontId="2" fillId="2" borderId="25" xfId="1" applyNumberFormat="1" applyFont="1" applyFill="1" applyBorder="1" applyAlignment="1">
      <alignment horizontal="center" vertical="center"/>
    </xf>
    <xf numFmtId="9" fontId="2" fillId="2" borderId="2" xfId="2" applyFont="1" applyFill="1" applyBorder="1" applyAlignment="1">
      <alignment horizontal="center" vertical="center"/>
    </xf>
    <xf numFmtId="9" fontId="2" fillId="2" borderId="25" xfId="2" applyFont="1" applyFill="1" applyBorder="1" applyAlignment="1">
      <alignment horizontal="center" vertical="center"/>
    </xf>
    <xf numFmtId="179" fontId="2" fillId="7" borderId="0" xfId="1" applyNumberFormat="1" applyFont="1" applyFill="1" applyAlignment="1">
      <alignment horizont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9" fontId="2" fillId="2" borderId="0" xfId="2" applyFont="1" applyFill="1" applyAlignment="1">
      <alignment horizontal="center" vertical="center"/>
    </xf>
    <xf numFmtId="0" fontId="2" fillId="2" borderId="0" xfId="0" applyFont="1" applyFill="1" applyAlignment="1">
      <alignment horizontal="center" vertical="center"/>
    </xf>
    <xf numFmtId="179" fontId="2" fillId="2" borderId="0" xfId="1" applyNumberFormat="1" applyFont="1" applyFill="1" applyAlignment="1">
      <alignment horizontal="center" vertical="center"/>
    </xf>
    <xf numFmtId="164" fontId="2" fillId="9" borderId="3" xfId="1" applyFont="1" applyFill="1" applyBorder="1" applyAlignment="1">
      <alignment horizontal="center"/>
    </xf>
    <xf numFmtId="164" fontId="2" fillId="9" borderId="4" xfId="1" applyFont="1" applyFill="1" applyBorder="1" applyAlignment="1">
      <alignment horizontal="center"/>
    </xf>
  </cellXfs>
  <cellStyles count="6">
    <cellStyle name="Estilo 1" xfId="3" xr:uid="{A9BDA282-6A83-D144-BB49-B6FD62B7053F}"/>
    <cellStyle name="Estilo 2" xfId="4" xr:uid="{E395565D-3F85-0C40-897E-77E1547F31BC}"/>
    <cellStyle name="Estilo 3" xfId="5" xr:uid="{CF8F5537-5C75-6346-A85B-EBDB5C907E23}"/>
    <cellStyle name="Millares" xfId="1" builtinId="3"/>
    <cellStyle name="Normal" xfId="0" builtinId="0"/>
    <cellStyle name="Porcentaje" xfId="2" builtinId="5"/>
  </cellStyles>
  <dxfs count="242">
    <dxf>
      <numFmt numFmtId="164" formatCode="_(* #,##0.00_);_(* \(#,##0.00\);_(* &quot;-&quot;??_);_(@_)"/>
    </dxf>
    <dxf>
      <numFmt numFmtId="170" formatCode="0.0%"/>
      <alignment horizontal="center" vertical="bottom" textRotation="0" wrapText="0" indent="0" justifyLastLine="0" shrinkToFit="0" readingOrder="0"/>
    </dxf>
    <dxf>
      <numFmt numFmtId="14" formatCode="0.00%"/>
      <fill>
        <patternFill patternType="solid">
          <fgColor indexed="64"/>
          <bgColor theme="9"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4" formatCode="0.00%"/>
      <fill>
        <patternFill patternType="solid">
          <fgColor indexed="64"/>
          <bgColor theme="7"/>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9" formatCode="d/m/yy"/>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9" formatCode="d/m/yy"/>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82" formatCode="0_ ;[Red]\-0\ "/>
      <alignment horizontal="center" vertical="bottom" textRotation="0" wrapText="0" indent="0" justifyLastLine="0" shrinkToFit="0" readingOrder="0"/>
    </dxf>
    <dxf>
      <numFmt numFmtId="182" formatCode="0_ ;[Red]\-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9"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color rgb="FF9C0006"/>
      </font>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0006"/>
      </font>
      <fill>
        <patternFill>
          <bgColor rgb="FFFFC7C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dxf>
    <dxf>
      <font>
        <color rgb="FF9C0006"/>
      </font>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81" formatCode="#,##0.00_ ;[Red]\-#,##0.00\ "/>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numFmt numFmtId="191" formatCode="[$-F800]dddd\,\ mmmm\ dd\,\ 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numFmt numFmtId="181"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0" formatCode="0.0%"/>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4" formatCode="0.00%"/>
      <fill>
        <patternFill patternType="solid">
          <fgColor indexed="64"/>
          <bgColor theme="7"/>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3" formatCode="0.00_ ;[Red]\-0.00\ "/>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4" formatCode="0.00%"/>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3" formatCode="0.00_ ;[Red]\-0.00\ "/>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0" formatCode="0.0%"/>
      <fill>
        <patternFill patternType="solid">
          <fgColor indexed="64"/>
          <bgColor theme="7" tint="0.59999389629810485"/>
        </patternFill>
      </fill>
      <alignment horizontal="center" vertical="bottom" textRotation="0" wrapText="0" indent="0" justifyLastLine="0" shrinkToFit="0" readingOrder="0"/>
    </dxf>
    <dxf>
      <numFmt numFmtId="173" formatCode="0.00_ ;[Red]\-0.00\ "/>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92" formatCode="m/d/yy"/>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92" formatCode="m/d/yy"/>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82" formatCode="0_ ;[Red]\-0\ "/>
      <alignment horizontal="center" vertical="bottom" textRotation="0" wrapText="0" indent="0" justifyLastLine="0" shrinkToFit="0" readingOrder="0"/>
    </dxf>
    <dxf>
      <numFmt numFmtId="182" formatCode="0_ ;[Red]\-0\ "/>
      <alignment horizontal="center" vertical="bottom" textRotation="0" wrapText="0" indent="0" justifyLastLine="0" shrinkToFit="0" readingOrder="0"/>
    </dxf>
    <dxf>
      <numFmt numFmtId="175" formatCode="0.000_ ;[Red]\-0.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73" formatCode="0.00_ ;[Red]\-0.00\ "/>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83" formatCode="0.00%\ ;[Red]\-0.00\ %"/>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83" formatCode="0.00%\ ;[Red]\-0.00\ %"/>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83" formatCode="0.00%\ ;[Red]\-0.00\ %"/>
      <fill>
        <patternFill patternType="solid">
          <fgColor indexed="64"/>
          <bgColor theme="7" tint="0.59999389629810485"/>
        </patternFill>
      </fill>
      <alignment horizontal="center" vertical="bottom" textRotation="0" wrapText="0" indent="0" justifyLastLine="0" shrinkToFit="0" readingOrder="0"/>
    </dxf>
    <dxf>
      <font>
        <color theme="5"/>
      </font>
      <numFmt numFmtId="170" formatCode="0.0%"/>
      <fill>
        <patternFill patternType="solid">
          <fgColor indexed="64"/>
          <bgColor theme="7" tint="0.59999389629810485"/>
        </patternFill>
      </fill>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73" formatCode="0.00_ ;[Red]\-0.00\ "/>
      <alignment horizontal="center" vertical="bottom" textRotation="0" wrapText="0" indent="0" justifyLastLine="0" shrinkToFit="0" readingOrder="0"/>
    </dxf>
  </dxfs>
  <tableStyles count="0" defaultTableStyle="TableStyleMedium2" defaultPivotStyle="PivotStyleLight16"/>
  <colors>
    <mruColors>
      <color rgb="FFFF6669"/>
      <color rgb="FFFD53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_tradnl"/>
              <a:t>Evolución Mensual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Ref>
              <c:f>Semanal!$D$4:$D$52</c:f>
              <c:strCache>
                <c:ptCount val="49"/>
                <c:pt idx="0">
                  <c:v>Enero</c:v>
                </c:pt>
                <c:pt idx="5">
                  <c:v>Febrero</c:v>
                </c:pt>
                <c:pt idx="9">
                  <c:v>Marzo</c:v>
                </c:pt>
                <c:pt idx="13">
                  <c:v>Abril</c:v>
                </c:pt>
                <c:pt idx="17">
                  <c:v>Mayo</c:v>
                </c:pt>
                <c:pt idx="22">
                  <c:v>Junio</c:v>
                </c:pt>
                <c:pt idx="26">
                  <c:v>Julio</c:v>
                </c:pt>
                <c:pt idx="30">
                  <c:v>Agosto</c:v>
                </c:pt>
                <c:pt idx="35">
                  <c:v>Septiembre</c:v>
                </c:pt>
                <c:pt idx="39">
                  <c:v>Octubre</c:v>
                </c:pt>
                <c:pt idx="44">
                  <c:v>Noviembre</c:v>
                </c:pt>
                <c:pt idx="48">
                  <c:v>Diciembre</c:v>
                </c:pt>
              </c:strCache>
            </c:strRef>
          </c:cat>
          <c:val>
            <c:numRef>
              <c:f>Semanal!$E$4:$E$52</c:f>
              <c:numCache>
                <c:formatCode>General</c:formatCode>
                <c:ptCount val="49"/>
                <c:pt idx="0" formatCode="#,##0.00_ ;[Red]\-#,##0.00\ ">
                  <c:v>67241.97</c:v>
                </c:pt>
                <c:pt idx="5" formatCode="#,##0.00_ ;[Red]\-#,##0.00\ ">
                  <c:v>13236.660000000003</c:v>
                </c:pt>
                <c:pt idx="9" formatCode="#,##0.00_ ;[Red]\-#,##0.00\ ">
                  <c:v>-41704.85</c:v>
                </c:pt>
                <c:pt idx="13" formatCode="#,##0.00_ ;[Red]\-#,##0.00\ ">
                  <c:v>-36919.460000000014</c:v>
                </c:pt>
                <c:pt idx="17" formatCode="#,##0.00_ ;[Red]\-#,##0.00\ ">
                  <c:v>93056.9</c:v>
                </c:pt>
                <c:pt idx="22" formatCode="#,##0.00_ ;[Red]\-#,##0.00\ ">
                  <c:v>69548.359999999986</c:v>
                </c:pt>
                <c:pt idx="26" formatCode="#,##0.00_ ;[Red]\-#,##0.00\ ">
                  <c:v>44701.850000000006</c:v>
                </c:pt>
                <c:pt idx="30" formatCode="#,##0.00_ ;[Red]\-#,##0.00\ ">
                  <c:v>-2029.3500000000058</c:v>
                </c:pt>
                <c:pt idx="35" formatCode="#,##0.00_ ;[Red]\-#,##0.00\ ">
                  <c:v>10713.269999999999</c:v>
                </c:pt>
                <c:pt idx="39" formatCode="#,##0.00_ ;[Red]\-#,##0.00\ ">
                  <c:v>40140.179999999993</c:v>
                </c:pt>
                <c:pt idx="44" formatCode="#,##0.00_ ;[Red]\-#,##0.00\ ">
                  <c:v>-10073.270000000004</c:v>
                </c:pt>
                <c:pt idx="48" formatCode="#,##0.00_ ;[Red]\-#,##0.00\ ">
                  <c:v>34066</c:v>
                </c:pt>
              </c:numCache>
            </c:numRef>
          </c:val>
          <c:extLst>
            <c:ext xmlns:c16="http://schemas.microsoft.com/office/drawing/2014/chart" uri="{C3380CC4-5D6E-409C-BE32-E72D297353CC}">
              <c16:uniqueId val="{00000000-5EBD-B44E-A072-D94AA4FCF921}"/>
            </c:ext>
          </c:extLst>
        </c:ser>
        <c:ser>
          <c:idx val="1"/>
          <c:order val="1"/>
          <c:spPr>
            <a:solidFill>
              <a:schemeClr val="accent2"/>
            </a:solidFill>
            <a:ln>
              <a:noFill/>
            </a:ln>
            <a:effectLst/>
          </c:spPr>
          <c:invertIfNegative val="0"/>
          <c:cat>
            <c:strRef>
              <c:f>Semanal!$D$4:$D$52</c:f>
              <c:strCache>
                <c:ptCount val="49"/>
                <c:pt idx="0">
                  <c:v>Enero</c:v>
                </c:pt>
                <c:pt idx="5">
                  <c:v>Febrero</c:v>
                </c:pt>
                <c:pt idx="9">
                  <c:v>Marzo</c:v>
                </c:pt>
                <c:pt idx="13">
                  <c:v>Abril</c:v>
                </c:pt>
                <c:pt idx="17">
                  <c:v>Mayo</c:v>
                </c:pt>
                <c:pt idx="22">
                  <c:v>Junio</c:v>
                </c:pt>
                <c:pt idx="26">
                  <c:v>Julio</c:v>
                </c:pt>
                <c:pt idx="30">
                  <c:v>Agosto</c:v>
                </c:pt>
                <c:pt idx="35">
                  <c:v>Septiembre</c:v>
                </c:pt>
                <c:pt idx="39">
                  <c:v>Octubre</c:v>
                </c:pt>
                <c:pt idx="44">
                  <c:v>Noviembre</c:v>
                </c:pt>
                <c:pt idx="48">
                  <c:v>Diciembre</c:v>
                </c:pt>
              </c:strCache>
            </c:strRef>
          </c:cat>
          <c:val>
            <c:numRef>
              <c:f>Semanal!$F$4:$F$52</c:f>
              <c:numCache>
                <c:formatCode>General</c:formatCode>
                <c:ptCount val="49"/>
                <c:pt idx="0" formatCode="#,##0.00_ ;[Red]\-#,##0.00\ ">
                  <c:v>54077.34</c:v>
                </c:pt>
                <c:pt idx="5" formatCode="#,##0.00_ ;[Red]\-#,##0.00\ ">
                  <c:v>50754</c:v>
                </c:pt>
                <c:pt idx="9" formatCode="#,##0.00_ ;[Red]\-#,##0.00\ ">
                  <c:v>-169959</c:v>
                </c:pt>
                <c:pt idx="13" formatCode="#,##0.00_ ;[Red]\-#,##0.00\ ">
                  <c:v>172423</c:v>
                </c:pt>
                <c:pt idx="17" formatCode="#,##0.00_ ;[Red]\-#,##0.00\ ">
                  <c:v>0</c:v>
                </c:pt>
                <c:pt idx="22" formatCode="#,##0.00_ ;[Red]\-#,##0.00\ ">
                  <c:v>0</c:v>
                </c:pt>
                <c:pt idx="26" formatCode="#,##0.00_ ;[Red]\-#,##0.00\ ">
                  <c:v>0</c:v>
                </c:pt>
                <c:pt idx="30" formatCode="#,##0.00_ ;[Red]\-#,##0.00\ ">
                  <c:v>0</c:v>
                </c:pt>
                <c:pt idx="35" formatCode="#,##0.00_ ;[Red]\-#,##0.00\ ">
                  <c:v>0</c:v>
                </c:pt>
                <c:pt idx="39" formatCode="#,##0.00_ ;[Red]\-#,##0.00\ ">
                  <c:v>0</c:v>
                </c:pt>
                <c:pt idx="44" formatCode="#,##0.00_ ;[Red]\-#,##0.00\ ">
                  <c:v>0</c:v>
                </c:pt>
                <c:pt idx="48" formatCode="#,##0.00_ ;[Red]\-#,##0.00\ ">
                  <c:v>0</c:v>
                </c:pt>
              </c:numCache>
            </c:numRef>
          </c:val>
          <c:extLst>
            <c:ext xmlns:c16="http://schemas.microsoft.com/office/drawing/2014/chart" uri="{C3380CC4-5D6E-409C-BE32-E72D297353CC}">
              <c16:uniqueId val="{00000000-992F-574C-A1D5-F44AE833B953}"/>
            </c:ext>
          </c:extLst>
        </c:ser>
        <c:dLbls>
          <c:showLegendKey val="0"/>
          <c:showVal val="0"/>
          <c:showCatName val="0"/>
          <c:showSerName val="0"/>
          <c:showPercent val="0"/>
          <c:showBubbleSize val="0"/>
        </c:dLbls>
        <c:gapWidth val="219"/>
        <c:overlap val="-27"/>
        <c:axId val="1862549552"/>
        <c:axId val="1862596208"/>
      </c:barChart>
      <c:catAx>
        <c:axId val="1862549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862596208"/>
        <c:crosses val="autoZero"/>
        <c:auto val="1"/>
        <c:lblAlgn val="ctr"/>
        <c:lblOffset val="100"/>
        <c:noMultiLvlLbl val="0"/>
      </c:catAx>
      <c:valAx>
        <c:axId val="1862596208"/>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862549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_tradnl"/>
              <a:t>Evolución Anual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v>2025</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Semanal!$E$57</c:f>
              <c:numCache>
                <c:formatCode>#,##0.00_ ;[Red]\-#,##0.00\ </c:formatCode>
                <c:ptCount val="1"/>
                <c:pt idx="0">
                  <c:v>281978.25999999995</c:v>
                </c:pt>
              </c:numCache>
            </c:numRef>
          </c:val>
          <c:extLst>
            <c:ext xmlns:c16="http://schemas.microsoft.com/office/drawing/2014/chart" uri="{C3380CC4-5D6E-409C-BE32-E72D297353CC}">
              <c16:uniqueId val="{00000000-A20D-1A40-B8F3-18432C1680D7}"/>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Semanal!$F$57</c:f>
              <c:numCache>
                <c:formatCode>#,##0.00_ ;[Red]\-#,##0.00\ </c:formatCode>
                <c:ptCount val="1"/>
                <c:pt idx="0">
                  <c:v>107295.34</c:v>
                </c:pt>
              </c:numCache>
            </c:numRef>
          </c:val>
          <c:extLst>
            <c:ext xmlns:c16="http://schemas.microsoft.com/office/drawing/2014/chart" uri="{C3380CC4-5D6E-409C-BE32-E72D297353CC}">
              <c16:uniqueId val="{00000001-DC33-7944-AD0D-05AF9F3618D4}"/>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Semanal!$G$57</c:f>
              <c:numCache>
                <c:formatCode>#,##0.00_ ;[Red]\-#,##0.00\ </c:formatCode>
                <c:ptCount val="1"/>
                <c:pt idx="0">
                  <c:v>-174682.91999999993</c:v>
                </c:pt>
              </c:numCache>
            </c:numRef>
          </c:val>
          <c:extLst>
            <c:ext xmlns:c16="http://schemas.microsoft.com/office/drawing/2014/chart" uri="{C3380CC4-5D6E-409C-BE32-E72D297353CC}">
              <c16:uniqueId val="{00000002-DC33-7944-AD0D-05AF9F3618D4}"/>
            </c:ext>
          </c:extLst>
        </c:ser>
        <c:dLbls>
          <c:showLegendKey val="0"/>
          <c:showVal val="0"/>
          <c:showCatName val="0"/>
          <c:showSerName val="0"/>
          <c:showPercent val="0"/>
          <c:showBubbleSize val="0"/>
        </c:dLbls>
        <c:gapWidth val="219"/>
        <c:overlap val="-27"/>
        <c:axId val="1862549552"/>
        <c:axId val="1862596208"/>
      </c:barChart>
      <c:catAx>
        <c:axId val="1862549552"/>
        <c:scaling>
          <c:orientation val="minMax"/>
        </c:scaling>
        <c:delete val="1"/>
        <c:axPos val="b"/>
        <c:numFmt formatCode="General" sourceLinked="1"/>
        <c:majorTickMark val="none"/>
        <c:minorTickMark val="none"/>
        <c:tickLblPos val="nextTo"/>
        <c:crossAx val="1862596208"/>
        <c:crosses val="autoZero"/>
        <c:auto val="1"/>
        <c:lblAlgn val="ctr"/>
        <c:lblOffset val="100"/>
        <c:noMultiLvlLbl val="0"/>
      </c:catAx>
      <c:valAx>
        <c:axId val="1862596208"/>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862549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'Gráfico posiciones activas'!$A$1</c:f>
              <c:strCache>
                <c:ptCount val="1"/>
                <c:pt idx="0">
                  <c:v>Fecha</c:v>
                </c:pt>
              </c:strCache>
            </c:strRef>
          </c:tx>
          <c:spPr>
            <a:ln w="28575" cap="rnd">
              <a:solidFill>
                <a:schemeClr val="accent1"/>
              </a:solidFill>
              <a:round/>
            </a:ln>
            <a:effectLst/>
          </c:spPr>
          <c:marker>
            <c:symbol val="none"/>
          </c:marker>
          <c:val>
            <c:numRef>
              <c:f>'Gráfico posiciones activas'!$A$2:$A$11</c:f>
              <c:numCache>
                <c:formatCode>m/d/yy</c:formatCode>
                <c:ptCount val="10"/>
                <c:pt idx="0">
                  <c:v>45814</c:v>
                </c:pt>
                <c:pt idx="1">
                  <c:v>45814</c:v>
                </c:pt>
                <c:pt idx="2">
                  <c:v>45814</c:v>
                </c:pt>
                <c:pt idx="3">
                  <c:v>45814</c:v>
                </c:pt>
              </c:numCache>
            </c:numRef>
          </c:val>
          <c:smooth val="0"/>
          <c:extLst>
            <c:ext xmlns:c16="http://schemas.microsoft.com/office/drawing/2014/chart" uri="{C3380CC4-5D6E-409C-BE32-E72D297353CC}">
              <c16:uniqueId val="{00000000-3C1E-B648-92B6-D1BB93C7A0F1}"/>
            </c:ext>
          </c:extLst>
        </c:ser>
        <c:ser>
          <c:idx val="1"/>
          <c:order val="1"/>
          <c:tx>
            <c:strRef>
              <c:f>'Gráfico posiciones activas'!$B$1</c:f>
              <c:strCache>
                <c:ptCount val="1"/>
                <c:pt idx="0">
                  <c:v>Total Activo</c:v>
                </c:pt>
              </c:strCache>
            </c:strRef>
          </c:tx>
          <c:spPr>
            <a:ln w="28575" cap="rnd">
              <a:solidFill>
                <a:schemeClr val="accent2"/>
              </a:solidFill>
              <a:round/>
            </a:ln>
            <a:effectLst/>
          </c:spPr>
          <c:marker>
            <c:symbol val="none"/>
          </c:marker>
          <c:val>
            <c:numRef>
              <c:f>'Gráfico posiciones activas'!$B$2:$B$11</c:f>
              <c:numCache>
                <c:formatCode>General</c:formatCode>
                <c:ptCount val="10"/>
                <c:pt idx="0" formatCode="_(* #,##0.00_);_(* \(#,##0.00\);_(* &quot;-&quot;??_);_(@_)">
                  <c:v>2139393.1874684417</c:v>
                </c:pt>
                <c:pt idx="1">
                  <c:v>1795727.7167990594</c:v>
                </c:pt>
                <c:pt idx="2" formatCode="m/d/yy">
                  <c:v>1795727.7167990594</c:v>
                </c:pt>
                <c:pt idx="3">
                  <c:v>1795727.7167990594</c:v>
                </c:pt>
              </c:numCache>
            </c:numRef>
          </c:val>
          <c:smooth val="0"/>
          <c:extLst>
            <c:ext xmlns:c16="http://schemas.microsoft.com/office/drawing/2014/chart" uri="{C3380CC4-5D6E-409C-BE32-E72D297353CC}">
              <c16:uniqueId val="{00000001-3C1E-B648-92B6-D1BB93C7A0F1}"/>
            </c:ext>
          </c:extLst>
        </c:ser>
        <c:dLbls>
          <c:showLegendKey val="0"/>
          <c:showVal val="0"/>
          <c:showCatName val="0"/>
          <c:showSerName val="0"/>
          <c:showPercent val="0"/>
          <c:showBubbleSize val="0"/>
        </c:dLbls>
        <c:smooth val="0"/>
        <c:axId val="740844896"/>
        <c:axId val="720196272"/>
      </c:lineChart>
      <c:catAx>
        <c:axId val="740844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20196272"/>
        <c:crosses val="autoZero"/>
        <c:auto val="1"/>
        <c:lblAlgn val="ctr"/>
        <c:lblOffset val="100"/>
        <c:noMultiLvlLbl val="0"/>
      </c:catAx>
      <c:valAx>
        <c:axId val="720196272"/>
        <c:scaling>
          <c:orientation val="minMax"/>
        </c:scaling>
        <c:delete val="0"/>
        <c:axPos val="l"/>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4084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457200</xdr:colOff>
      <xdr:row>2</xdr:row>
      <xdr:rowOff>63500</xdr:rowOff>
    </xdr:from>
    <xdr:to>
      <xdr:col>16</xdr:col>
      <xdr:colOff>533400</xdr:colOff>
      <xdr:row>28</xdr:row>
      <xdr:rowOff>50800</xdr:rowOff>
    </xdr:to>
    <xdr:graphicFrame macro="">
      <xdr:nvGraphicFramePr>
        <xdr:cNvPr id="2" name="Gráfico 1">
          <a:extLst>
            <a:ext uri="{FF2B5EF4-FFF2-40B4-BE49-F238E27FC236}">
              <a16:creationId xmlns:a16="http://schemas.microsoft.com/office/drawing/2014/main" id="{D1A884A3-03AD-1091-E2F5-4E75F0AF28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444500</xdr:colOff>
      <xdr:row>29</xdr:row>
      <xdr:rowOff>88900</xdr:rowOff>
    </xdr:from>
    <xdr:to>
      <xdr:col>16</xdr:col>
      <xdr:colOff>520700</xdr:colOff>
      <xdr:row>55</xdr:row>
      <xdr:rowOff>76200</xdr:rowOff>
    </xdr:to>
    <xdr:graphicFrame macro="">
      <xdr:nvGraphicFramePr>
        <xdr:cNvPr id="3" name="Gráfico 2">
          <a:extLst>
            <a:ext uri="{FF2B5EF4-FFF2-40B4-BE49-F238E27FC236}">
              <a16:creationId xmlns:a16="http://schemas.microsoft.com/office/drawing/2014/main" id="{23954892-E30F-AC47-B7E5-A4154AB06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800100</xdr:colOff>
          <xdr:row>4</xdr:row>
          <xdr:rowOff>63500</xdr:rowOff>
        </xdr:from>
        <xdr:to>
          <xdr:col>8</xdr:col>
          <xdr:colOff>673100</xdr:colOff>
          <xdr:row>6</xdr:row>
          <xdr:rowOff>38100</xdr:rowOff>
        </xdr:to>
        <xdr:sp macro="" textlink="">
          <xdr:nvSpPr>
            <xdr:cNvPr id="18434" name="Button 2" descr="Actualiza"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Aptos Narrow" charset="0"/>
                </a:rPr>
                <a:t>Actualiza</a:t>
              </a:r>
            </a:p>
          </xdr:txBody>
        </xdr:sp>
        <xdr:clientData fPrintsWithSheet="0"/>
      </xdr:twoCellAnchor>
    </mc:Choice>
    <mc:Fallback/>
  </mc:AlternateContent>
  <xdr:twoCellAnchor>
    <xdr:from>
      <xdr:col>8</xdr:col>
      <xdr:colOff>539750</xdr:colOff>
      <xdr:row>11</xdr:row>
      <xdr:rowOff>152400</xdr:rowOff>
    </xdr:from>
    <xdr:to>
      <xdr:col>14</xdr:col>
      <xdr:colOff>158750</xdr:colOff>
      <xdr:row>25</xdr:row>
      <xdr:rowOff>50800</xdr:rowOff>
    </xdr:to>
    <xdr:graphicFrame macro="">
      <xdr:nvGraphicFramePr>
        <xdr:cNvPr id="2" name="Gráfico 1">
          <a:extLst>
            <a:ext uri="{FF2B5EF4-FFF2-40B4-BE49-F238E27FC236}">
              <a16:creationId xmlns:a16="http://schemas.microsoft.com/office/drawing/2014/main" id="{3CF7A9CA-3C58-41C5-3F6F-6EC78461B3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Mario Abascal Acebal" id="{11888C3C-36D9-B34E-A311-8037CF59BFE7}" userId="da75c1089582ba4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382">
  <rv s="0">
    <v>https://www.bing.com/financeapi/forcetrigger?t=a1mqbh&amp;q=XNAS%3aABEO&amp;form=skydnc</v>
    <v>Learn more on Bing</v>
  </rv>
  <rv s="1">
    <v>0</v>
    <v>ABEONA THERAPEUTICS INC. (XNAS:ABEO)</v>
    <v>2</v>
    <v>3</v>
    <v>Finance</v>
    <v>4</v>
    <v>en</v>
    <v>a1mqbh</v>
    <v>268435456</v>
    <v>1</v>
    <v>Powered by Refinitiv</v>
    <v>7.5400999999999998</v>
    <v>4</v>
    <v>1.3288</v>
    <v>-0.05</v>
    <v>-9.2759999999999995E-3</v>
    <v>-0.04</v>
    <v>-7.4910000000000003E-3</v>
    <v>USD</v>
    <v>Abeona Therapeutics Inc. is a commercial-stage biopharmaceutical company developing cell and gene therapies for serious diseases. The Company's ZEVASKYN (prademagene zamikeracel) is an autologous cell-based gene therapy for the treatment of wounds in adults and pediatric patients with recessive dystrophic epidermolysis bullosa. Its fully integrated cell and gene therapy cGMP manufacturing facility in Cleveland, Ohio serves as the manufacturing site for ZEVASKYN commercial production. Its development portfolio features adeno-associated virus (AAV)-based gene therapies for ophthalmic diseases with high unmet medical need. Its AAV capsids are being evaluated to improve tropism profiles for a variety of devastating diseases. Its pipeline programs include ABO-504 (Stargardt disease), ABO-503 (X-linked retinoschisis), ABO-505 (autosomal dominant optic atrophy), UX111 (Sanfilippo Syndrome Type A (MPS IIIA)), TSHA-102 (Rett Syndrome), and TSHA-118 (Infantile Batten Disease (CLN1 Disease)).</v>
    <v>226</v>
    <v>Nasdaq Stock Market</v>
    <v>XNAS</v>
    <v>XNAS</v>
    <v>6555 CARNEGIE AVE, 4TH FLOOR, CLEVELAND, OH, 44103 US</v>
    <v>5.48</v>
    <v>Pharmaceuticals</v>
    <v>Stock</v>
    <v>46139.876971874997</v>
    <v>0</v>
    <v>5.3</v>
    <v>304641766</v>
    <v>ABEONA THERAPEUTICS INC.</v>
    <v>ABEONA THERAPEUTICS INC.</v>
    <v>5.38</v>
    <v>5.8220999999999998</v>
    <v>5.39</v>
    <v>5.34</v>
    <v>5.3</v>
    <v>57049020</v>
    <v>ABEO</v>
    <v>ABEONA THERAPEUTICS INC. (XNAS:ABEO)</v>
    <v>597637</v>
    <v>1143919</v>
    <v>1989</v>
  </rv>
  <rv s="2">
    <v>1</v>
  </rv>
  <rv s="0">
    <v>https://www.bing.com/financeapi/forcetrigger?t=bww2mw&amp;q=XNAS%3aABCL&amp;form=skydnc</v>
    <v>Learn more on Bing</v>
  </rv>
  <rv s="1">
    <v>0</v>
    <v>ABCELLERA BIOLOGICS INC. (XNAS:ABCL)</v>
    <v>2</v>
    <v>3</v>
    <v>Finance</v>
    <v>5</v>
    <v>en</v>
    <v>bww2mw</v>
    <v>268435456</v>
    <v>1</v>
    <v>Powered by Refinitiv</v>
    <v>6.5149999999999997</v>
    <v>1.94</v>
    <v>1.0263</v>
    <v>0.01</v>
    <v>2.4099999999999998E-3</v>
    <v>0.03</v>
    <v>7.2119999999999997E-3</v>
    <v>USD</v>
    <v>AbCellera Biologics Inc. discovers and develops antibody medicines for indications across therapeutic areas, including cancer, metabolic and endocrine conditions, and autoimmune disorders. Its platform integrates technology, data science, infrastructure, and interdisciplinary teams to solve the challenging antibody discovery problems. It is focused on advancing an internal pipeline of programs and collaborating on drug development programs with partners. Its first two internal programs, ABCL635 and ABCL575, are in late-preclinical studies. ABCL635 is an antibody drug candidate for metabolic and endocrine conditions, and ABCL575 is an antibody drug candidate with broad potential in inflammatory conditions and autoimmune diseases and an initial indication in atopic dermatitis. ABCL575 binds OX40L to disrupt OX40/OX40L signaling, a regulator of inflammatory pathways in AD. In addition to ABCL635 and ABCL575, it is advancing a pipeline of more than 20 internal discovery programs.</v>
    <v>562</v>
    <v>Nasdaq Stock Market</v>
    <v>XNAS</v>
    <v>XNAS</v>
    <v>150 W 4Th Avenue, VANCOUVER, BC, V5Y 1G6 CA</v>
    <v>4.38</v>
    <v>Biotechnology &amp; Medical Research</v>
    <v>Stock</v>
    <v>46139.933932337502</v>
    <v>3</v>
    <v>4.1100000000000003</v>
    <v>1261147680</v>
    <v>ABCELLERA BIOLOGICS INC.</v>
    <v>ABCELLERA BIOLOGICS INC.</v>
    <v>4.1500000000000004</v>
    <v>0</v>
    <v>4.1500000000000004</v>
    <v>4.16</v>
    <v>4.1900000000000004</v>
    <v>303160500</v>
    <v>ABCL</v>
    <v>ABCELLERA BIOLOGICS INC. (XNAS:ABCL)</v>
    <v>11904220</v>
    <v>3465203</v>
    <v>2012</v>
  </rv>
  <rv s="2">
    <v>4</v>
  </rv>
  <rv s="0">
    <v>https://www.bing.com/financeapi/forcetrigger?t=a1msoc&amp;q=XNAS%3aACHC&amp;form=skydnc</v>
    <v>Learn more on Bing</v>
  </rv>
  <rv s="1">
    <v>0</v>
    <v>ACADIA HEALTHCARE COMPANY, INC. (XNAS:ACHC)</v>
    <v>2</v>
    <v>3</v>
    <v>Finance</v>
    <v>4</v>
    <v>en</v>
    <v>a1msoc</v>
    <v>268435456</v>
    <v>1</v>
    <v>Powered by Refinitiv</v>
    <v>28.48</v>
    <v>11.43</v>
    <v>0.77810000000000001</v>
    <v>0.77</v>
    <v>2.8122999999999999E-2</v>
    <v>0.01</v>
    <v>3.5520000000000001E-4</v>
    <v>USD</v>
    <v>Acadia Healthcare Company, Inc. is a provider of behavioral healthcare services. The Company owns and operates acute inpatient psychiatric facilities, specialty treatment facilities, comprehensive treatment centers (CTCs), residential treatment centers and facilities providing outpatient behavioral healthcare services to serve the behavioral healthcare and recovery needs of communities throughout the United States and Puerto Rico. Its acute inpatient psychiatric facilities provide a high level of care in order to stabilize patients that are either a threat to themselves or to others. Its CTCs specialize in providing medication-assisted treatment in an outpatient setting. Its specialty treatment facilities primarily consist of residential recovery facilities. It provides a comprehensive continuum of care for adults with addictive disorders and co-occurring mental disorders. Its residential treatment centers treat patients with behavioral disorders in a non-hospital setting.</v>
    <v>19000</v>
    <v>Nasdaq Stock Market</v>
    <v>XNAS</v>
    <v>XNAS</v>
    <v>6100 Tower Circle, Suite 1000, FRANKLIN, TN, 37067 US</v>
    <v>28.47</v>
    <v>Healthcare Providers &amp; Services</v>
    <v>Stock</v>
    <v>46139.91785060156</v>
    <v>6</v>
    <v>27.26</v>
    <v>2590763293</v>
    <v>ACADIA HEALTHCARE COMPANY, INC.</v>
    <v>ACADIA HEALTHCARE COMPANY, INC.</v>
    <v>27.37</v>
    <v>0</v>
    <v>27.38</v>
    <v>28.15</v>
    <v>28.16</v>
    <v>92034220</v>
    <v>ACHC</v>
    <v>ACADIA HEALTHCARE COMPANY, INC. (XNAS:ACHC)</v>
    <v>2277908</v>
    <v>2859236</v>
    <v>2005</v>
  </rv>
  <rv s="2">
    <v>7</v>
  </rv>
  <rv s="0">
    <v>https://www.bing.com/financeapi/forcetrigger?t=amfrgh&amp;q=BMEX%3aANA&amp;form=skydnc</v>
    <v>Learn more on Bing</v>
  </rv>
  <rv s="3">
    <v>6</v>
    <v>Acciona SA (BMEX:ANA)</v>
    <v>2</v>
    <v>7</v>
    <v>Finance</v>
    <v>8</v>
    <v>en</v>
    <v>amfrgh</v>
    <v>268435456</v>
    <v>1</v>
    <v>Powered by Refinitiv</v>
    <v>260</v>
    <v>122.6</v>
    <v>0.92079999999999995</v>
    <v>5</v>
    <v>2.1079000000000001E-2</v>
    <v>EUR</v>
    <v>Acciona SA is a Spain-based company engaged in renewable energy and infrastructure, developing, building and running renewable generation assets and commercializing energy. The Company also provides wind‑turbine manufacturing, construction, engineering, water treatment and management, transport concessions, asset management and other services.</v>
    <v>68502</v>
    <v>Bolsas y Mercados Espanoles</v>
    <v>BMEX</v>
    <v>BMEX</v>
    <v>Avenida de la Gran Via de Hortaleza, 3,, ALCOBENDAS, MADRID, 28033 ES</v>
    <v>249</v>
    <v>Construction &amp; Engineering</v>
    <v>Stock</v>
    <v>46139.666666666664</v>
    <v>9</v>
    <v>237.8</v>
    <v>10378880000</v>
    <v>Acciona SA</v>
    <v>Acciona SA</v>
    <v>239.2</v>
    <v>16.092500000000001</v>
    <v>237.2</v>
    <v>242.2</v>
    <v>54856650</v>
    <v>ANA</v>
    <v>Acciona SA (BMEX:ANA)</v>
    <v>65904</v>
    <v>67780</v>
    <v>1916</v>
  </rv>
  <rv s="2">
    <v>10</v>
  </rv>
  <rv s="0">
    <v>https://www.bing.com/financeapi/forcetrigger?t=amfqbh&amp;q=BMEX%3aACX&amp;form=skydnc</v>
    <v>Learn more on Bing</v>
  </rv>
  <rv s="4">
    <v>9</v>
    <v>Acerinox SA (BMEX:ACX)</v>
    <v>2</v>
    <v>10</v>
    <v>Finance</v>
    <v>8</v>
    <v>en</v>
    <v>amfqbh</v>
    <v>268435456</v>
    <v>1</v>
    <v>Powered by Refinitiv</v>
    <v>14.1</v>
    <v>9.7550000000000008</v>
    <v>1.2297</v>
    <v>0.03</v>
    <v>2.2799999999999999E-3</v>
    <v>EUR</v>
    <v>Acerinox SA is a Spain-based company active in the steel sector. It is engaged in the manufacturing, alloy and distribution of flat and long stainless steel products. The Company’s activities are divided into three business segments: Flat stainless steel products, which offers slabs, flats, coils, plates, sheets, circles and flat bars; Long stainless steel products, which provides bars, angles, wires and wire rod, and Other, which includes other stainless steel products. The Company owns factories, warehouses, service centers and representative office in Europe, the Americas, Asia, Oceania and Africa. The Company is a parent of the Acerinox Group, which comprises a number of subsidiaries, such as Acerinox Europa SAU, North American Stainless Inc, Columbus Stainless Pty Ltd, Bahru Stainless SDN BHD, Roldan SA and Inoxfil SA.</v>
    <v>9068</v>
    <v>Bolsas y Mercados Espanoles</v>
    <v>BMEX</v>
    <v>BMEX</v>
    <v>SANTIAGO DE COMPOSTELA 100, MADRID, 28035 ES</v>
    <v>13.46</v>
    <v>Metals &amp; Mining</v>
    <v>Stock</v>
    <v>46139.666666666664</v>
    <v>12</v>
    <v>13.18</v>
    <v>3326134000</v>
    <v>Acerinox SA</v>
    <v>Acerinox SA</v>
    <v>13.25</v>
    <v>13.16</v>
    <v>13.19</v>
    <v>249335400</v>
    <v>ACX</v>
    <v>Acerinox SA (BMEX:ACX)</v>
    <v>591312</v>
    <v>726120</v>
    <v>1970</v>
  </rv>
  <rv s="2">
    <v>13</v>
  </rv>
  <rv s="0">
    <v>https://www.bing.com/financeapi/forcetrigger?t=af3y27&amp;q=XFRA%3aADS&amp;form=skydnc</v>
    <v>Learn more on Bing</v>
  </rv>
  <rv s="3">
    <v>6</v>
    <v>Adidas AG (XFRA:ADS)</v>
    <v>2</v>
    <v>7</v>
    <v>Finance</v>
    <v>8</v>
    <v>en</v>
    <v>af3y27</v>
    <v>268435456</v>
    <v>1</v>
    <v>Powered by Refinitiv</v>
    <v>335.05</v>
    <v>93.44</v>
    <v>1.1740999999999999</v>
    <v>1.1000000000000001</v>
    <v>8.0059999999999992E-3</v>
    <v>EUR</v>
    <v>Adidas AG is a Germany-based company that designs, develops, produces, and markets a range of athletic and sports lifestyle products. The Company's segments include Europe, North America, Asia-Pacific, Russia/CIS, Latin America; Emerging Markets, Adidas Golf, Runtastic, and other centrally managed businesses. Its segment includes wholesale, retail, and e-commerce business activities relating to the distribution and sale of products of the Adidas brand to retail customers and end consumers. The Company has over 2,500 own-retail stores, mono-branded franchise stores, shop-in-shops, joint ventures with retail partners and co-branded stores, and an e-commerce channel, which is available to customers in over 50 countries. Adidas branded products include footwear, apparel, and hardware, such as bags and balls.</v>
    <v>64938</v>
    <v>Deutsche Boerse AG</v>
    <v>XFRA</v>
    <v>XFRA</v>
    <v>Adi-Dassler-Strasse 1, HERZOGENAURACH, BAYERN, 91074 DE</v>
    <v>138.85</v>
    <v>Textiles &amp; Apparel</v>
    <v>Stock</v>
    <v>46139.836805555555</v>
    <v>15</v>
    <v>137.35</v>
    <v>29295000000</v>
    <v>Adidas AG</v>
    <v>Adidas AG</v>
    <v>137.35</v>
    <v>18.55</v>
    <v>137.4</v>
    <v>138.5</v>
    <v>180000000</v>
    <v>ADS</v>
    <v>Adidas AG (XFRA:ADS)</v>
    <v>600</v>
    <v>528910</v>
    <v>1989</v>
  </rv>
  <rv s="2">
    <v>16</v>
  </rv>
  <rv s="0">
    <v>https://www.bing.com/financeapi/forcetrigger?t=aydgec&amp;q=XNYS%3aADT&amp;form=skydnc</v>
    <v>Learn more on Bing</v>
  </rv>
  <rv s="1">
    <v>0</v>
    <v>ADT INC. (XNYS:ADT)</v>
    <v>2</v>
    <v>3</v>
    <v>Finance</v>
    <v>4</v>
    <v>en</v>
    <v>aydgec</v>
    <v>268435456</v>
    <v>1</v>
    <v>Powered by Refinitiv</v>
    <v>8.9350000000000005</v>
    <v>6.25</v>
    <v>1.0437000000000001</v>
    <v>-0.04</v>
    <v>-5.5100000000000001E-3</v>
    <v>0</v>
    <v>0</v>
    <v>USD</v>
    <v>ADT Inc. is a provider of security, interactive, and smart home solutions serving residential and small business customers. The Company's core security offerings include burglar and life safety alarms, smart security cameras, smart home automation systems, and video surveillance systems. Its security offerings are designed to detect intrusion; control access; sense movement, smoke, fire, carbon monoxide, leaks, temperature, and other environmental conditions and hazards; and address personal medical emergencies such as injuries or unanticipated falls. It offers customers routine maintenance and the installation of upgraded or additional equipment. Additionally, its personal emergency response system products and services utilize its security monitoring infrastructure to provide customers with solutions that help to sustain independent living, detect when a fall occurs, and provide protection while on the go with geolocation capability.</v>
    <v>12200</v>
    <v>New York Stock Exchange</v>
    <v>XNYS</v>
    <v>XNYS</v>
    <v>1501 Yamato Road, BOCA RATON, FL, 33431 US</v>
    <v>7.31</v>
    <v>Communications &amp; Networking</v>
    <v>Stock</v>
    <v>46139.894712568748</v>
    <v>18</v>
    <v>7.1849999999999996</v>
    <v>5783441654</v>
    <v>ADT INC.</v>
    <v>ADT INC.</v>
    <v>7.22</v>
    <v>10.5274</v>
    <v>7.26</v>
    <v>7.22</v>
    <v>7.22</v>
    <v>801030700</v>
    <v>ADT</v>
    <v>ADT INC. (XNYS:ADT)</v>
    <v>5769796</v>
    <v>8238944</v>
    <v>2015</v>
  </rv>
  <rv s="2">
    <v>19</v>
  </rv>
  <rv s="0">
    <v>https://www.bing.com/financeapi/forcetrigger?t=a1ndww&amp;q=XNAS%3aAMD&amp;form=skydnc</v>
    <v>Learn more on Bing</v>
  </rv>
  <rv s="1">
    <v>0</v>
    <v>ADVANCED MICRO DEVICES, INC. (XNAS:AMD)</v>
    <v>2</v>
    <v>3</v>
    <v>Finance</v>
    <v>5</v>
    <v>en</v>
    <v>a1ndww</v>
    <v>268435456</v>
    <v>1</v>
    <v>Powered by Refinitiv</v>
    <v>352.99</v>
    <v>91.87</v>
    <v>2.3592</v>
    <v>-13.32</v>
    <v>-3.8296999999999998E-2</v>
    <v>0.93</v>
    <v>2.7789999999999998E-3</v>
    <v>USD</v>
    <v>Advanced Micro Devices, Inc. is a global semiconductor company. The Company is focused on high-performance computing and artificial intelligence (AI). Its segments include Data Center, Client and Gaming, and Embedded. Data Center segment includes AI accelerators, microprocessors (CPUs) for servers, graphics processing units (GPUs), accelerated processing units (APUs), data processing units (DPUs), Field Programmable Gate Arrays (FPGAs), and Adaptive system-on-Chip (SoC) products for data centers. Client and Gaming segment includes CPUs, APUs, chipsets for desktops and notebooks, discrete GPUs, and semi-custom SoC products and development services. Embedded segment includes embedded CPUs, APUs, FPGAs, system on modules (SOMs), and Adaptive SoC products. It markets and sells its products under the AMD trademark. Its products include AMD EPYC, AMD Ryzen, AMD Ryzen PRO, Virtex UltraScale+, among others.</v>
    <v>31000</v>
    <v>Nasdaq Stock Market</v>
    <v>XNAS</v>
    <v>XNAS</v>
    <v>2485 Augustine Drive, SANTA CLARA, CA, 95054 US</v>
    <v>349.21</v>
    <v>Semiconductors &amp; Semiconductor Equipment</v>
    <v>Stock</v>
    <v>46139.935410381251</v>
    <v>21</v>
    <v>328.81</v>
    <v>545332092110</v>
    <v>ADVANCED MICRO DEVICES, INC.</v>
    <v>ADVANCED MICRO DEVICES, INC.</v>
    <v>346.32</v>
    <v>128.43270000000001</v>
    <v>347.81</v>
    <v>334.49</v>
    <v>335.56</v>
    <v>1630339000</v>
    <v>AMD</v>
    <v>ADVANCED MICRO DEVICES, INC. (XNAS:AMD)</v>
    <v>50468545</v>
    <v>38640651</v>
    <v>1969</v>
  </rv>
  <rv s="2">
    <v>22</v>
  </rv>
  <rv s="0">
    <v>https://www.bing.com/financeapi/forcetrigger?t=aapyim&amp;q=XBRU%3aAED&amp;form=skydnc</v>
    <v>Learn more on Bing</v>
  </rv>
  <rv s="3">
    <v>6</v>
    <v>Aedifica NV (XBRU:AED)</v>
    <v>2</v>
    <v>7</v>
    <v>Finance</v>
    <v>8</v>
    <v>en</v>
    <v>aapyim</v>
    <v>268435456</v>
    <v>1</v>
    <v>Powered by Refinitiv</v>
    <v>80.05</v>
    <v>59.5</v>
    <v>1.5256000000000001</v>
    <v>0.1</v>
    <v>1.3700000000000001E-3</v>
    <v>EUR</v>
    <v>Aedifica SA is a Belgium-based company engaged in the financial industry. The Company is a Regulated Real Estate Company (Belgian REIT) that aims itself as the entity active in the real estate residential sector. Its strategy is based on two demographic trends: population ageing in Western Europe and population growth in Belgium's main cities. Aedifica SA operates through two pillars in which it concentrates activities, such as senior housing in Western Europe and apartment buildings in Belgium's cities. Its two poles are concentrated in two main segments, including senior housing and apartment buildings, with a residual non-strategic segment comprising hotels and other types of building. Aedifica SA holds a German subsidiary Aedifica Asset Management GmbH, which advises and supports the Company in the development and management of its real estate portfolio in Germany. It also operates through a number healthcare sites and a care residence in the Netherlands.</v>
    <v>125</v>
    <v>Euronext Brussels</v>
    <v>XBRU</v>
    <v>XBRU</v>
    <v>Rue Belliard 40, Bte 11, BRUXELLES, BRUXELLES-CAPITALE, 1040 BE</v>
    <v>73.55</v>
    <v>Residential &amp; Commercial REIT</v>
    <v>Stock</v>
    <v>46139.666666666664</v>
    <v>24</v>
    <v>72.7</v>
    <v>3485424000</v>
    <v>Aedifica NV</v>
    <v>Aedifica NV</v>
    <v>72.95</v>
    <v>15.583600000000001</v>
    <v>73</v>
    <v>73.099999999999994</v>
    <v>83470540</v>
    <v>AED</v>
    <v>Aedifica NV (XBRU:AED)</v>
    <v>87284</v>
    <v>117050</v>
    <v>2005</v>
  </rv>
  <rv s="2">
    <v>25</v>
  </rv>
  <rv s="0">
    <v>https://www.bing.com/financeapi/forcetrigger?t=a1mnrw&amp;q=XNYS%3aA&amp;form=skydnc</v>
    <v>Learn more on Bing</v>
  </rv>
  <rv s="1">
    <v>0</v>
    <v>AGILENT TECHNOLOGIES, INC. (XNYS:A)</v>
    <v>2</v>
    <v>3</v>
    <v>Finance</v>
    <v>4</v>
    <v>en</v>
    <v>a1mnrw</v>
    <v>268435456</v>
    <v>1</v>
    <v>Powered by Refinitiv</v>
    <v>160.27000000000001</v>
    <v>104.1014</v>
    <v>1.2306999999999999</v>
    <v>7.0000000000000007E-2</v>
    <v>6.0579999999999998E-4</v>
    <v>0.97</v>
    <v>8.3899999999999999E-3</v>
    <v>USD</v>
    <v>Agilent Technologies, Inc. specializes in life sciences, diagnostics and applied markets, providing application-focused solutions that include instruments, software, services and consumables for the entire laboratory workflow. Its segments include Life Sciences and Diagnostics Markets, Agilent CrossLab and Applied Markets. The Life Sciences and Diagnostics Markets segment provides contract development and manufacturing services for pharmaceutical customers as well as solutions that include reagents, instruments, software and consumables which enable customers in the clinical and life sciences research areas to interrogate samples at the cellular and molecular level. The Agilent CrossLab segment spans the entire lab with its services and consumables portfolio in addition to software and laboratory automation solutions, which are designed to improve customer outcomes and represent a range of offerings designed to serve customer needs across end-markets and applications.</v>
    <v>18000</v>
    <v>New York Stock Exchange</v>
    <v>XNYS</v>
    <v>XNYS</v>
    <v>5301 Stevens Creek Blvd, SANTA CLARA, CA, 95051 US</v>
    <v>117.33</v>
    <v>Healthcare Equipment &amp; Supplies</v>
    <v>Stock</v>
    <v>46139.872667650001</v>
    <v>27</v>
    <v>115.18</v>
    <v>32674477926</v>
    <v>AGILENT TECHNOLOGIES, INC.</v>
    <v>AGILENT TECHNOLOGIES, INC.</v>
    <v>115.18</v>
    <v>25.507200000000001</v>
    <v>115.55</v>
    <v>115.62</v>
    <v>116.59</v>
    <v>282602300</v>
    <v>A</v>
    <v>AGILENT TECHNOLOGIES, INC. (XNYS:A)</v>
    <v>1467296</v>
    <v>1924232</v>
    <v>1999</v>
  </rv>
  <rv s="2">
    <v>28</v>
  </rv>
  <rv s="0">
    <v>https://www.bing.com/financeapi/forcetrigger?t=alnynm&amp;q=XAMS%3aAKZA&amp;form=skydnc</v>
    <v>Learn more on Bing</v>
  </rv>
  <rv s="5">
    <v>11</v>
    <v>Akzo Nobel NV (XAMS:AKZA)</v>
    <v>2</v>
    <v>12</v>
    <v>Finance</v>
    <v>8</v>
    <v>en</v>
    <v>alnynm</v>
    <v>268435456</v>
    <v>1</v>
    <v>Powered by Refinitiv</v>
    <v>62.74</v>
    <v>46.18</v>
    <v>1.0999000000000001</v>
    <v>0.38</v>
    <v>7.4860000000000005E-3</v>
    <v>EUR</v>
    <v>Akzo Nobel NV is a paints and coatings company based in the Netherlands. The Company operates through two business segments: Decorative Paints and Performance Coatings. The Decorative Paints segment supplies a range of products, including paints, lacquers and varnishes. It also offers a range of mixing machines and color concepts for the building and renovation industry, as well as specialty coatings for metal, wood and other critical building materials. The Performance Coatings segment has a portfolio, which includes paints and coatings for ships, cars, aircraft, yachts and architectural components (structural steel, building products, flooring), consumer goods (mobile devices, appliances, beverage cans, furniture), and oil and gas facilities.</v>
    <v>31100</v>
    <v>Euronext Amsterdam</v>
    <v>XAMS</v>
    <v>XAMS</v>
    <v>AkzoNobel Center, Christian Neefestraat 2, AMSTERDAM, NOORD-HOLLAND, 1077 WW NL</v>
    <v>51.46</v>
    <v>Chemicals</v>
    <v>Stock</v>
    <v>46139.666666666664</v>
    <v>30</v>
    <v>50.68</v>
    <v>10088670000</v>
    <v>Akzo Nobel NV</v>
    <v>Akzo Nobel NV</v>
    <v>50.9</v>
    <v>14.4077</v>
    <v>50.76</v>
    <v>51.14</v>
    <v>171052300</v>
    <v>AKZA</v>
    <v>Akzo Nobel NV (XAMS:AKZA)</v>
    <v>492046</v>
    <v>815560</v>
  </rv>
  <rv s="2">
    <v>31</v>
  </rv>
  <rv s="0">
    <v>https://www.bing.com/financeapi/forcetrigger?t=amfr52&amp;q=BMEX%3aALM&amp;form=skydnc</v>
    <v>Learn more on Bing</v>
  </rv>
  <rv s="5">
    <v>11</v>
    <v>Almirall SA (BMEX:ALM)</v>
    <v>2</v>
    <v>12</v>
    <v>Finance</v>
    <v>8</v>
    <v>en</v>
    <v>amfr52</v>
    <v>268435456</v>
    <v>1</v>
    <v>Powered by Refinitiv</v>
    <v>13.98</v>
    <v>9.5609999999999999</v>
    <v>0.49049999999999999</v>
    <v>-0.14000000000000001</v>
    <v>-1.1006E-2</v>
    <v>EUR</v>
    <v>Almirall SA is a Spain-based company principally engaged in the pharmaceuticals manufacture. The Company focuses on development and marketing of drugs applied in various therapeutic areas, such as nervous system, gastrointestinal, dermatological, respiratory system, antiinfectives, as well as antineoplastic and immunomodulating agents. The Company's activities are divided into four business segments: Own network, which focuses on the commercialization of pharmaceuticals through own brand names; Licenses, which sells product rights to third parties; Research and development (R&amp;D), which is responsible for the creation of drug candidates, as well as Dermatology, which includes sale of dermatological medicines in the United States. The Company operates through numerous subsidiaries in Europe, the Americas, Africa, Asia and Australia.</v>
    <v>2108</v>
    <v>Bolsas y Mercados Espanoles</v>
    <v>BMEX</v>
    <v>BMEX</v>
    <v>Ronda General Mitre 151, 08022 ES</v>
    <v>12.8</v>
    <v>Pharmaceuticals</v>
    <v>Stock</v>
    <v>46139.666666666664</v>
    <v>33</v>
    <v>12.54</v>
    <v>2809390000</v>
    <v>Almirall SA</v>
    <v>Almirall SA</v>
    <v>12.66</v>
    <v>58.9435</v>
    <v>12.72</v>
    <v>12.58</v>
    <v>214785200</v>
    <v>ALM</v>
    <v>Almirall SA (BMEX:ALM)</v>
    <v>65589</v>
    <v>117590</v>
  </rv>
  <rv s="2">
    <v>34</v>
  </rv>
  <rv s="0">
    <v>https://www.bing.com/financeapi/forcetrigger?t=a1nkp2&amp;q=XNAS%3aAOSL&amp;form=skydnc</v>
    <v>Learn more on Bing</v>
  </rv>
  <rv s="1">
    <v>0</v>
    <v>ALPHA AND OMEGA SEMICONDUCTOR LIMITED (XNAS:AOSL)</v>
    <v>2</v>
    <v>3</v>
    <v>Finance</v>
    <v>5</v>
    <v>en</v>
    <v>a1nkp2</v>
    <v>268435456</v>
    <v>1</v>
    <v>Powered by Refinitiv</v>
    <v>45.969900000000003</v>
    <v>17.010000000000002</v>
    <v>2.5909</v>
    <v>-2.11</v>
    <v>-4.7469000000000004E-2</v>
    <v>0.08</v>
    <v>1.8890000000000001E-3</v>
    <v>USD</v>
    <v>Alpha and Omega Semiconductor Limited is a designer, developer and global supplier of a broad portfolio of power semiconductors. Its portfolio of products targets high-volume applications, including personal computers, graphic cards, game consoles, flat panel televisions (TV), home appliances, power tools, smart phones, battery packs, consumer and industrial motor controls and power supplies for TVs, computers, servers and telecommunications equipment. Its product portfolio consists of two categories: power discrete and power ICs that serve the large and diverse analog market for power semiconductors. Its power discrete products consist of low, medium and high voltage power MOSFETs. Its power ICs deliver power and control and regulate the power management variables, such as the flow of current and level of voltage. Its portfolio of power semiconductors includes approximately 2,700 products. It conducts its operations in the United States of America, Hong Kong, China, and South Korea.</v>
    <v>2428</v>
    <v>Nasdaq Stock Market</v>
    <v>XNAS</v>
    <v>XNAS</v>
    <v>475 Oakmead Parkway, CA, 94085 US</v>
    <v>45.43</v>
    <v>Semiconductors &amp; Semiconductor Equipment</v>
    <v>Stock</v>
    <v>46139.930858633597</v>
    <v>36</v>
    <v>40.880000000000003</v>
    <v>1260073542</v>
    <v>ALPHA AND OMEGA SEMICONDUCTOR LIMITED</v>
    <v>ALPHA AND OMEGA SEMICONDUCTOR LIMITED</v>
    <v>44.8</v>
    <v>0</v>
    <v>44.45</v>
    <v>42.34</v>
    <v>42.42</v>
    <v>29760830</v>
    <v>AOSL</v>
    <v>ALPHA AND OMEGA SEMICONDUCTOR LIMITED (XNAS:AOSL)</v>
    <v>1439850</v>
    <v>686822</v>
    <v>2000</v>
  </rv>
  <rv s="2">
    <v>37</v>
  </rv>
  <rv s="0">
    <v>https://www.bing.com/financeapi/forcetrigger?t=ae7lz2&amp;q=XPAR%3aALO&amp;form=skydnc</v>
    <v>Learn more on Bing</v>
  </rv>
  <rv s="3">
    <v>6</v>
    <v>Alstom SA (XPAR:ALO)</v>
    <v>2</v>
    <v>7</v>
    <v>Finance</v>
    <v>8</v>
    <v>en</v>
    <v>ae7lz2</v>
    <v>268435456</v>
    <v>1</v>
    <v>Powered by Refinitiv</v>
    <v>30.23</v>
    <v>14.72</v>
    <v>1.1115999999999999</v>
    <v>-0.2</v>
    <v>-1.2107000000000001E-2</v>
    <v>EUR</v>
    <v>Alstom SA is a France-based manufacturer of infrastructures for rail transport sector. The Company’s offer includes a range of solutions including rolling stock, systems, services as well as signaling for passenger and freight railway transportation. The Company’s railway services include maintenance, modernization, management of spare parts, support and technical assistance services included. The Company’s railway infrastructures include infrastructures for the track laying, lines electrical power systems, electromechanical equipment, telecommunication devices and traveler information in station, terminals for automatic purchase of tickets, access to escalators, lifts for disabled, automatic landing doors on platforms, ventilation, air conditioning, and lighting systems, among others. Alstom markets its products and services worldwide.</v>
    <v>86039</v>
    <v>Euronext Paris</v>
    <v>XPAR</v>
    <v>XPAR</v>
    <v>48 rue Albert Dhalenne, Saint-Ouen-sur-Seine, 93400 FR</v>
    <v>16.93</v>
    <v>Machinery, Equipment &amp; Components</v>
    <v>Stock</v>
    <v>46139.680914351855</v>
    <v>39</v>
    <v>16.22</v>
    <v>11814110000</v>
    <v>Alstom SA</v>
    <v>Alstom SA</v>
    <v>16.59</v>
    <v>24.137899999999998</v>
    <v>16.52</v>
    <v>16.32</v>
    <v>462030000</v>
    <v>ALO</v>
    <v>Alstom SA (XPAR:ALO)</v>
    <v>2111264</v>
    <v>4973090</v>
    <v>1992</v>
  </rv>
  <rv s="2">
    <v>40</v>
  </rv>
  <rv s="0">
    <v>https://www.bing.com/financeapi/forcetrigger?t=a1ng7w&amp;q=XNYS%3aAMRC&amp;form=skydnc</v>
    <v>Learn more on Bing</v>
  </rv>
  <rv s="1">
    <v>0</v>
    <v>AMERESCO, INC. (XNYS:AMRC)</v>
    <v>2</v>
    <v>3</v>
    <v>Finance</v>
    <v>4</v>
    <v>en</v>
    <v>a1ng7w</v>
    <v>268435456</v>
    <v>1</v>
    <v>Powered by Refinitiv</v>
    <v>44.93</v>
    <v>10.164999999999999</v>
    <v>2.5158999999999998</v>
    <v>-0.01</v>
    <v>-3.5819999999999998E-4</v>
    <v>0</v>
    <v>0</v>
    <v>USD</v>
    <v>Ameresco, Inc. is a cleantech integrator and renewable energy asset developer, owner, and operator. The Company's comprehensive portfolio includes energy efficiency, infrastructure upgrades, asset sustainability and renewable energy supply solutions. Its North America Regions, U.S. Federal and Europe segments include the design, engineering and installation of equipment and other measures to improve the efficiency and control the operation of a facility's energy infrastructure, renewable energy solutions and services and the development and construction of small-scale plants. Its Alternative Fuels segment sells electricity and processed renewable natural gas (RNG) derived from biomethane from small-scale plants that it owns and operates and provides operations and maintenance services for customer owned small-scale plants. The Company's All Other segment offers consulting services and the sale of solar photovoltaic energy products and systems.</v>
    <v>1601</v>
    <v>New York Stock Exchange</v>
    <v>XNYS</v>
    <v>XNYS</v>
    <v>111 Speen St, FRAMINGHAM, MA, 01701-2000 US</v>
    <v>28.82</v>
    <v>Renewable Energy</v>
    <v>Stock</v>
    <v>46139.840332001564</v>
    <v>42</v>
    <v>27.49</v>
    <v>1477539212</v>
    <v>AMERESCO, INC.</v>
    <v>AMERESCO, INC.</v>
    <v>28.16</v>
    <v>33.829300000000003</v>
    <v>27.92</v>
    <v>27.91</v>
    <v>27.91</v>
    <v>52939420</v>
    <v>AMRC</v>
    <v>AMERESCO, INC. (XNYS:AMRC)</v>
    <v>408388</v>
    <v>589580</v>
    <v>2000</v>
  </rv>
  <rv s="2">
    <v>43</v>
  </rv>
  <rv s="0">
    <v>https://www.bing.com/financeapi/forcetrigger?t=amfrar&amp;q=BMEX%3aAMP&amp;form=skydnc</v>
    <v>Learn more on Bing</v>
  </rv>
  <rv s="3">
    <v>6</v>
    <v>Amper SA (BMEX:AMP)</v>
    <v>2</v>
    <v>7</v>
    <v>Finance</v>
    <v>8</v>
    <v>en</v>
    <v>amfrar</v>
    <v>268435456</v>
    <v>1</v>
    <v>Powered by Refinitiv</v>
    <v>0.20699999999999999</v>
    <v>0.123</v>
    <v>1.0758000000000001</v>
    <v>-1E-3</v>
    <v>-5.4819999999999999E-3</v>
    <v>EUR</v>
    <v>Amper SA is a Spain-based company primarily engaged in the communication and networking industry. The Company focuses on the manufacture and marketing of telecommunications equipment for voice, data and video transmission, design and installation of integrated communication networks, as well as development of solutions for emergency management and control centers, among others. Its activities are divided into two business lines: Telecommunications, as well as Communication and security. It offers products and services to customers active in various sectors, such as telecommunications, financial, public administration, defense and industrial. The Company operates in Spain, the United States, as well as in the Latin America and South Pacific region. It owns numerous subsidiaries, such as Amper Do Brasil Telecom Ltd, Amper Sistemas SA, DescaTransistemas SA and CTT Peru SAC.</v>
    <v>2782</v>
    <v>Bolsas y Mercados Espanoles</v>
    <v>BMEX</v>
    <v>BMEX</v>
    <v>Virgilio , Ciudad de la Imagen 2 Edificio 4, 28223 ES</v>
    <v>0.18440000000000001</v>
    <v>Communications &amp; Networking</v>
    <v>Stock</v>
    <v>46139.666666666664</v>
    <v>45</v>
    <v>0.1782</v>
    <v>434284500</v>
    <v>Amper SA</v>
    <v>Amper SA</v>
    <v>0.18360000000000001</v>
    <v>152</v>
    <v>0.18240000000000001</v>
    <v>0.18140000000000001</v>
    <v>2276124000</v>
    <v>AMP</v>
    <v>Amper SA (BMEX:AMP)</v>
    <v>7422138</v>
    <v>12987580</v>
    <v>1971</v>
  </rv>
  <rv s="2">
    <v>46</v>
  </rv>
  <rv s="0">
    <v>https://www.bing.com/financeapi/forcetrigger?t=aapy4c&amp;q=XBRU%3aABI&amp;form=skydnc</v>
    <v>Learn more on Bing</v>
  </rv>
  <rv s="3">
    <v>6</v>
    <v>Anheuser-Busch Inbev SA (XBRU:ABI)</v>
    <v>2</v>
    <v>7</v>
    <v>Finance</v>
    <v>8</v>
    <v>en</v>
    <v>aapy4c</v>
    <v>268435456</v>
    <v>1</v>
    <v>Powered by Refinitiv</v>
    <v>68.819999999999993</v>
    <v>48.87</v>
    <v>0.82899999999999996</v>
    <v>0.46</v>
    <v>7.4000000000000003E-3</v>
    <v>EUR</v>
    <v>Anheuser-Busch Inbev SA is a Belgium-based company. The Company is primarily engaged in the manufacturing of beer. The Company operates through six segments: North America, Middle Americas, South America, EMEA, Asia Pacific, Global Export and Holding companies. The Company's brand portfolio includes global brands, such as Budweiser, Corona and Stella Artois; international brands, including Beck's, Leffe and Hoegaarden, and local champions, such as Bud Light, Skol, Brahma, Antarctica, Quilmes, Victoria, Modelo Especial, Michelob Ultra, Harbin, Sedrin, Klinskoye, Sibirskaya Korona, Chernigivske, Cass and Jupiler. The Company's soft drinks business consists of both own production and agreements with PepsiCo related to bottling and distribution arrangements between its various subsidiaries and PepsiCo. Ambev, which is a subsidiary of the Company, is a PepsiCo bottler. Brands that are distributed under these agreements are Pepsi, 7UP and Gatorade.</v>
    <v>136805</v>
    <v>Euronext Brussels</v>
    <v>XBRU</v>
    <v>XBRU</v>
    <v>Brouwerijplein 1B, LEUVEN (LOUVAIN), VLAAMS-BRABANT, 3000 BE</v>
    <v>62.98</v>
    <v>Beverages</v>
    <v>Stock</v>
    <v>46139.666666666664</v>
    <v>48</v>
    <v>61.76</v>
    <v>103353100000</v>
    <v>Anheuser-Busch Inbev SA</v>
    <v>Anheuser-Busch Inbev SA</v>
    <v>61.76</v>
    <v>21.191099999999999</v>
    <v>62.16</v>
    <v>62.62</v>
    <v>1797204000</v>
    <v>ABI</v>
    <v>Anheuser-Busch Inbev SA (XBRU:ABI)</v>
    <v>1365169</v>
    <v>1783950</v>
    <v>1977</v>
  </rv>
  <rv s="2">
    <v>49</v>
  </rv>
  <rv s="0">
    <v>https://www.bing.com/financeapi/forcetrigger?t=a1mrgh&amp;q=XNAS%3aABUS&amp;form=skydnc</v>
    <v>Learn more on Bing</v>
  </rv>
  <rv s="1">
    <v>0</v>
    <v>ARBUTUS BIOPHARMA CORPORATION (XNAS:ABUS)</v>
    <v>2</v>
    <v>3</v>
    <v>Finance</v>
    <v>4</v>
    <v>en</v>
    <v>a1mrgh</v>
    <v>268435456</v>
    <v>1</v>
    <v>Powered by Refinitiv</v>
    <v>5.0999999999999996</v>
    <v>2.94</v>
    <v>0.63380000000000003</v>
    <v>0.08</v>
    <v>1.9047999999999999E-2</v>
    <v>3.1800000000000002E-2</v>
    <v>7.43E-3</v>
    <v>USD</v>
    <v>Arbutus Biopharma Corporation is a clinical-stage biopharmaceutical company focused on infectious disease. The Company is developing imdusiran (AB-729), its proprietary, conjugated GalNAc, subcutaneously delivered RNAi therapeutic, and AB-101, its proprietary oral PD-L1 inhibitor, for the treatment of chronic hepatitis B (cHBV). Its HBV product pipeline includes Imdusiran and AB-101. Its pipeline includes two product candidates that target various steps in the HBV viral lifecycle and consists of various programs: RNAi therapeutic (imdusiran, AB-729) and Oral PD-L1 Inhibitor (AB-101). RNAi therapeutics utilize a natural pathway within cells to silence genes by eliminating the disease-causing proteins that they code for. PD-L1 inhibitors complement its pipeline of agents and could potentially be a part of a combination therapy for the treatment of HBV by reawakening the immune system.</v>
    <v>19</v>
    <v>Nasdaq Stock Market</v>
    <v>XNAS</v>
    <v>XNAS</v>
    <v>701 Veterans Circle, WARMINSTER, PA, 18974 US</v>
    <v>4.33</v>
    <v>Biotechnology &amp; Medical Research</v>
    <v>Stock</v>
    <v>46139.912801712497</v>
    <v>51</v>
    <v>4.17</v>
    <v>842901916</v>
    <v>ARBUTUS BIOPHARMA CORPORATION</v>
    <v>ARBUTUS BIOPHARMA CORPORATION</v>
    <v>4.17</v>
    <v>0</v>
    <v>4.2</v>
    <v>4.28</v>
    <v>4.3117999999999999</v>
    <v>196939700</v>
    <v>ABUS</v>
    <v>ARBUTUS BIOPHARMA CORPORATION (XNAS:ABUS)</v>
    <v>5061137</v>
    <v>2265936</v>
    <v>2017</v>
  </rv>
  <rv s="2">
    <v>52</v>
  </rv>
  <rv s="0">
    <v>https://www.bing.com/financeapi/forcetrigger?t=alnyz2&amp;q=XAMS%3aARCAD&amp;form=skydnc</v>
    <v>Learn more on Bing</v>
  </rv>
  <rv s="3">
    <v>6</v>
    <v>Arcadis NV (XAMS:ARCAD)</v>
    <v>2</v>
    <v>7</v>
    <v>Finance</v>
    <v>8</v>
    <v>en</v>
    <v>alnyz2</v>
    <v>268435456</v>
    <v>1</v>
    <v>Powered by Refinitiv</v>
    <v>51.25</v>
    <v>25.88</v>
    <v>1.0044</v>
    <v>0.54</v>
    <v>1.7297E-2</v>
    <v>EUR</v>
    <v>Arcadis NV is a company based in the Netherlands. The company engaged in delivering sustainable design, engineering, and consultancy solutions. It performs feasibility studies, develops projects, offers financial and legal consulting services, assists in the permitting process, and offers design and maintenance services.</v>
    <v>31361</v>
    <v>Euronext Amsterdam</v>
    <v>XAMS</v>
    <v>XAMS</v>
    <v>Parnassusweg 793, AMSTERDAM, NOORD-HOLLAND, 1082LZ NL</v>
    <v>32.08</v>
    <v>Construction &amp; Engineering</v>
    <v>Stock</v>
    <v>46139.666666666664</v>
    <v>54</v>
    <v>31.14</v>
    <v>3384343000</v>
    <v>Arcadis NV</v>
    <v>Arcadis NV</v>
    <v>31.14</v>
    <v>13.4101</v>
    <v>31.22</v>
    <v>31.76</v>
    <v>90442090</v>
    <v>ARCAD</v>
    <v>Arcadis NV (XAMS:ARCAD)</v>
    <v>147549</v>
    <v>206480</v>
    <v>1982</v>
  </rv>
  <rv s="2">
    <v>55</v>
  </rv>
  <rv s="0">
    <v>https://www.bing.com/financeapi/forcetrigger?t=amfzar&amp;q=BMEX%3aMTS&amp;form=skydnc</v>
    <v>Learn more on Bing</v>
  </rv>
  <rv s="3">
    <v>6</v>
    <v>ArcelorMittal SA (BMEX:MTS)</v>
    <v>2</v>
    <v>7</v>
    <v>Finance</v>
    <v>8</v>
    <v>en</v>
    <v>amfzar</v>
    <v>268435456</v>
    <v>1</v>
    <v>Powered by Refinitiv</v>
    <v>57.4</v>
    <v>24.65</v>
    <v>1.6473</v>
    <v>-0.32</v>
    <v>-6.3239999999999998E-3</v>
    <v>EUR</v>
    <v>ArcelorMittal SA is a Luxembourg-based holding company. The Company, via its subsidiaries, owns and operates steel, iron ore manufacturing and coal mining facilities in Europe, North and South America, Asia, and Africa. The Company is organized in five operating segments: NAFTA; Brazil; Europe; Africa and Commonwealth of Independent States (ACIS), and Mining. The NAFTA, Brazil, Europe, and ACIS segments produce flat, long, and tubular products including slabs, hot-rolled coil, cold-rolled coil, coated steel products, among others. The Mining segment provides steel operations and comprises all mines owned by the Company in the Americas, Europe, Africa, and countries of the Commonwealth of Independent States (CIS).</v>
    <v>125554</v>
    <v>Bolsas y Mercados Espanoles</v>
    <v>BMEX</v>
    <v>BMEX</v>
    <v>24-26 Boulevard d'Avranches, LUXEMBOURG, 1160 LU</v>
    <v>51.3</v>
    <v>Metals &amp; Mining</v>
    <v>Stock</v>
    <v>46139.666666666664</v>
    <v>57</v>
    <v>50.06</v>
    <v>32071060000</v>
    <v>ArcelorMittal SA</v>
    <v>ArcelorMittal SA</v>
    <v>50.84</v>
    <v>14.3828</v>
    <v>50.6</v>
    <v>50.28</v>
    <v>775000000</v>
    <v>MTS</v>
    <v>ArcelorMittal SA (BMEX:MTS)</v>
    <v>119175</v>
    <v>1872930</v>
    <v>2001</v>
  </rv>
  <rv s="2">
    <v>58</v>
  </rv>
  <rv s="0">
    <v>https://www.bing.com/financeapi/forcetrigger?t=c48rk2&amp;q=XMIL%3aARIS&amp;form=skydnc</v>
    <v>Learn more on Bing</v>
  </rv>
  <rv s="5">
    <v>11</v>
    <v>Ariston Holding N.v (XMIL:ARIS)</v>
    <v>2</v>
    <v>12</v>
    <v>Finance</v>
    <v>13</v>
    <v>en</v>
    <v>c48rk2</v>
    <v>268435456</v>
    <v>1</v>
    <v>Powered by Refinitiv</v>
    <v>5.72</v>
    <v>3.45</v>
    <v>0.89629999999999999</v>
    <v>-2.5999999999999999E-2</v>
    <v>-6.5990000000000007E-3</v>
    <v>EUR</v>
    <v>Ariston Holding NV is an Italy-based company engaged in the thermal comfort market for residential and commercial spaces. It operates as a manufacturer of heating devices. The Company diversifies its activity into four business sectors: Heating and water heating which provides electric heat pumps and condensing boilers; Water heating delivering high-efficiency electric and gas-fired water heaters; Burners delivering wide range of burners; Components engaged in manufacturing of Electric Water Heaters, Appliances, Professional Applications, Industrial Applications. The Company operates worldwide trough brands, such as Ariston, Elco, Racold, Calorex, NTI, HTP, ATAG, Thermowatt, Chaffoteaux and Elco Cuenod Ecoflam Bce.</v>
    <v>10830</v>
    <v>Borsa Italiana</v>
    <v>XMIL</v>
    <v>XMIL</v>
    <v>Via Broletto 44, 20121 IT</v>
    <v>4.07</v>
    <v>Machinery, Equipment &amp; Components</v>
    <v>Stock</v>
    <v>46139.666666666664</v>
    <v>60</v>
    <v>3.8980000000000001</v>
    <v>552473000</v>
    <v>Ariston Holding N.v</v>
    <v>Ariston Holding N.v</v>
    <v>3.94</v>
    <v>10.9536</v>
    <v>3.94</v>
    <v>3.9140000000000001</v>
    <v>125505000</v>
    <v>ARIS</v>
    <v>Ariston Holding N.v (XMIL:ARIS)</v>
    <v>71521</v>
    <v>212400</v>
  </rv>
  <rv s="2">
    <v>61</v>
  </rv>
  <rv s="0">
    <v>https://www.bing.com/financeapi/forcetrigger?t=bvt3nm&amp;q=XNYS%3aASAN&amp;form=skydnc</v>
    <v>Learn more on Bing</v>
  </rv>
  <rv s="6">
    <v>14</v>
    <v>ASANA, INC. (XNYS:ASAN)</v>
    <v>2</v>
    <v>15</v>
    <v>Finance</v>
    <v>4</v>
    <v>en</v>
    <v>bvt3nm</v>
    <v>268435456</v>
    <v>1</v>
    <v>Powered by Refinitiv</v>
    <v>19</v>
    <v>5.38</v>
    <v>0.97140000000000004</v>
    <v>-0.15</v>
    <v>-2.3473999999999998E-2</v>
    <v>0.14000000000000001</v>
    <v>2.2435999999999998E-2</v>
    <v>USD</v>
    <v>Asana, Inc. is an enterprise work management software platform. It enables organizations to align work to goals, coordinate cross-functional work, gain visibility into progress, automate workflows across departments, and scale work securely. It offers two products within the Asana platform to meet the needs of diverse organizations. The Asana platform maintains an application programming interface that enables developers to build apps on Asana and integrate with hundreds of third-party applications like Microsoft Teams, Slack, Jira, Salesforce, Google Workspace, Adobe Creative Cloud and many more. Its flagship product, Asana Work Graph, provides a map of how all work gets done inside an organization. It is built for scale and captures the relationship between the work that teams undertake, the information about that work, the people doing the work, and the outcomes of that work. It provides interactive dynamic views list, calendar, board, timeline, goals, portfolio, reports and more.</v>
    <v>1767</v>
    <v>New York Stock Exchange</v>
    <v>XNYS</v>
    <v>XNYS</v>
    <v>633 FOLSOM STREET, SUITE 100, SAN FRANCISCO, CA, 94107 US</v>
    <v>6.4749999999999996</v>
    <v>Software &amp; IT Services</v>
    <v>Stock</v>
    <v>46139.908593738284</v>
    <v>63</v>
    <v>6.24</v>
    <v>1481146992</v>
    <v>ASANA, INC.</v>
    <v>ASANA, INC.</v>
    <v>6.32</v>
    <v>6.39</v>
    <v>6.24</v>
    <v>6.38</v>
    <v>237363300</v>
    <v>ASAN</v>
    <v>ASANA, INC. (XNYS:ASAN)</v>
    <v>4360397</v>
    <v>7042534</v>
    <v>2008</v>
  </rv>
  <rv s="2">
    <v>64</v>
  </rv>
  <rv s="0">
    <v>https://www.bing.com/financeapi/forcetrigger?t=amfptc&amp;q=BMEX%3aA3M&amp;form=skydnc</v>
    <v>Learn more on Bing</v>
  </rv>
  <rv s="5">
    <v>11</v>
    <v>Atresmedia Corporacion de Medios de Comunicacion SA (BMEX:A3M)</v>
    <v>2</v>
    <v>12</v>
    <v>Finance</v>
    <v>8</v>
    <v>en</v>
    <v>amfptc</v>
    <v>268435456</v>
    <v>1</v>
    <v>Powered by Refinitiv</v>
    <v>6.29</v>
    <v>4.5650000000000004</v>
    <v>0.93030000000000002</v>
    <v>0.04</v>
    <v>7.7520000000000002E-3</v>
    <v>EUR</v>
    <v>Atresmedia Corporacion de Medios de Comunicacion SA, formerly Antena 3 de Television SA, is a Spain-based company primarily engaged in the television (TV) broadcasting. The Company’s activities are divided into three business segments: Television, which specializes in TV broadcasting through its network of channels, such as Antena 3, Neox, Nova, Atresseries and LaSexta; Radio, which focuses on radio broadcasting through a number of radio stations, including Onda Cero, Europa FM and Melodia FM, and Others, which offers advertising services, production of motion pictures and TV movies, as well as development of promotional events, among others. The Company transmits programs in Spain, Colombia, Mexico and the United States, among others.</v>
    <v>2639</v>
    <v>Bolsas y Mercados Espanoles</v>
    <v>BMEX</v>
    <v>BMEX</v>
    <v>Avda. Isla Graciosa 13, 28703 ES</v>
    <v>5.21</v>
    <v>Media &amp; Publishing</v>
    <v>Stock</v>
    <v>46139.666666666664</v>
    <v>66</v>
    <v>5.12</v>
    <v>1130921000</v>
    <v>Atresmedia Corporacion de Medios de Comunicacion SA</v>
    <v>Atresmedia Corporacion de Medios de Comunicacion SA</v>
    <v>5.17</v>
    <v>18.709199999999999</v>
    <v>5.16</v>
    <v>5.2</v>
    <v>225732800</v>
    <v>A3M</v>
    <v>Atresmedia Corporacion de Medios de Comunicacion SA (BMEX:A3M)</v>
    <v>270740</v>
    <v>417830</v>
  </rv>
  <rv s="2">
    <v>67</v>
  </rv>
  <rv s="0">
    <v>https://www.bing.com/financeapi/forcetrigger?t=amfqh7&amp;q=BMEX%3aADX&amp;form=skydnc</v>
    <v>Learn more on Bing</v>
  </rv>
  <rv s="3">
    <v>6</v>
    <v>Audax Renovables SA (BMEX:ADX)</v>
    <v>2</v>
    <v>7</v>
    <v>Finance</v>
    <v>8</v>
    <v>en</v>
    <v>amfqh7</v>
    <v>268435456</v>
    <v>1</v>
    <v>Powered by Refinitiv</v>
    <v>1.712</v>
    <v>1.196</v>
    <v>1.5884</v>
    <v>1.4E-2</v>
    <v>9.4720000000000013E-3</v>
    <v>EUR</v>
    <v>Audax Renovables SA, formerly Fersa Energias Renovables SA, is a Spain-based holding company that is primarily involved in the promotion and development of renewable energy projects. The Company generates electricity from renewable sources, such as wind energy and to lesser extent solar energy. The Company’s installed power in Spain is 139.3 Megawatt (MW), and in France is 12 MW, as well as the Company has two wind farms operating in India, Gadaj and Hanumanhati, with total installed capacity of 81.6 MW. The Company operates through its subsidiaries in Spain, France and India, which include Eolica El Pedregoso SL, Eolica del Pino SL, Parque Eolica Hinojal SL, Gestora Fotovoltaica de Castellon SL and Parc Eolic Mudefer SL, Eolinnes de Beausemblant SAS, Generacion Eolica India Limited and EN Renewable Energy Limited.</v>
    <v>835</v>
    <v>Bolsas y Mercados Espanoles</v>
    <v>BMEX</v>
    <v>BMEX</v>
    <v>Calle de la Electronica, n 19, planta 7, puerta C, BADALONA, BARCELONA, 08915 ES</v>
    <v>1.518</v>
    <v>Multiline Utilities</v>
    <v>Stock</v>
    <v>46139.666666666664</v>
    <v>69</v>
    <v>1.468</v>
    <v>610317800</v>
    <v>Audax Renovables SA</v>
    <v>Audax Renovables SA</v>
    <v>1.476</v>
    <v>33.976999999999997</v>
    <v>1.478</v>
    <v>1.492</v>
    <v>453430800</v>
    <v>ADX</v>
    <v>Audax Renovables SA (BMEX:ADX)</v>
    <v>470081</v>
    <v>329250</v>
    <v>2000</v>
  </rv>
  <rv s="2">
    <v>70</v>
  </rv>
  <rv s="0">
    <v>https://www.bing.com/financeapi/forcetrigger?t=a1ogsm&amp;q=XNAS%3aBKR&amp;form=skydnc</v>
    <v>Learn more on Bing</v>
  </rv>
  <rv s="1">
    <v>0</v>
    <v>BAKER HUGHES COMPANY (XNAS:BKR)</v>
    <v>2</v>
    <v>3</v>
    <v>Finance</v>
    <v>5</v>
    <v>en</v>
    <v>a1ogsm</v>
    <v>268435456</v>
    <v>1</v>
    <v>Powered by Refinitiv</v>
    <v>70.41</v>
    <v>34.56</v>
    <v>0.96419999999999995</v>
    <v>-0.56000000000000005</v>
    <v>-8.123E-3</v>
    <v>0.01</v>
    <v>1.462E-4</v>
    <v>USD</v>
    <v>Baker Hughes Company is an energy technology company that provides solutions to energy and industrial customers worldwide. The Company's segments include Oilfield Services &amp; Equipment (OFSE) and Industrial &amp; Energy Technology (IET). OFSE segment provides products and services for onshore and offshore oilfield operations across the lifecycle of a well, ranging from exploration, appraisal, and development, to production, rejuvenation, and decommissioning. OFSE segment is organized into four product lines: Well Construction; Completions, Intervention, and Measurements; Production Solutions, and Subsea. IET segment provides technology solutions and services for mechanical-drive, compression and power-generation applications across the energy industry including oil and gas, liquefied natural gas operations, downstream refining, and petrochemical markets, as well as lower carbon solutions to broader energy and industrial sectors. IET segment also provides equipment, software, and services.</v>
    <v>56000</v>
    <v>Nasdaq Stock Market</v>
    <v>XNAS</v>
    <v>XNAS</v>
    <v>575 NORTH DAIRY ASHFORD ROAD, SUITE 100, HOUSTON, TX, 77079-1121 US</v>
    <v>70.41</v>
    <v>Oil &amp; Gas Related Equipment and Services</v>
    <v>Stock</v>
    <v>46139.924835034377</v>
    <v>72</v>
    <v>68.28</v>
    <v>67816364173</v>
    <v>BAKER HUGHES COMPANY</v>
    <v>BAKER HUGHES COMPANY</v>
    <v>70</v>
    <v>21.811800000000002</v>
    <v>68.94</v>
    <v>68.38</v>
    <v>68.39</v>
    <v>991757300</v>
    <v>BKR</v>
    <v>BAKER HUGHES COMPANY (XNAS:BKR)</v>
    <v>14272355</v>
    <v>9054905</v>
    <v>2016</v>
  </rv>
  <rv s="2">
    <v>73</v>
  </rv>
  <rv s="0">
    <v>https://www.bing.com/financeapi/forcetrigger?t=c64kz2&amp;q=XNYS%3aBLCO&amp;form=skydnc</v>
    <v>Learn more on Bing</v>
  </rv>
  <rv s="6">
    <v>14</v>
    <v>Bausch + Lomb Corporation (XNYS:BLCO)</v>
    <v>2</v>
    <v>15</v>
    <v>Finance</v>
    <v>4</v>
    <v>en</v>
    <v>c64kz2</v>
    <v>268435456</v>
    <v>1</v>
    <v>Powered by Refinitiv</v>
    <v>18.914999999999999</v>
    <v>10.45</v>
    <v>0.59399999999999997</v>
    <v>0.06</v>
    <v>3.7930000000000004E-3</v>
    <v>0</v>
    <v>0</v>
    <v>USD</v>
    <v>Bausch + Lomb Corporation is an eye health company. It operates through three segments: Vision Care, Pharmaceuticals, and Surgical. Vision Care segment includes both a contact lens and a consumer eye care business that consists of contact lens care products, over-the-counter eye drops and eye vitamins. Pharmaceuticals segment consists of generic pharmaceutical products for post-operative treatments and treatments for a number of eye conditions, such as glaucoma, eye inflammation, ocular hypertension, dry eyes and retinal diseases. Surgical segment consists of medical device equipment, consumables, instruments and technologies for the treatment of cataracts, corneal and vitreous and retinal eye conditions, which includes delivery systems, phacoemulsification equipment and other surgical instruments and devices for cataract surgery. Its brands consist of PreserVision, Biotrue, Artelac, Alaway, Mioclear, Ocuvite, ScoutPro, XIIDRA, Vyzulta, Lotemax, Prolensa, Minims, INFUSE, and many more.</v>
    <v>13000</v>
    <v>New York Stock Exchange</v>
    <v>XNYS</v>
    <v>XNYS</v>
    <v>520 Applewood Crescent, VAUGHAN, ON, L4K 4B4 CA</v>
    <v>16.23</v>
    <v>Healthcare Equipment &amp; Supplies</v>
    <v>Stock</v>
    <v>46139.86462201328</v>
    <v>75</v>
    <v>15.8</v>
    <v>5659578008</v>
    <v>Bausch + Lomb Corporation</v>
    <v>Bausch + Lomb Corporation</v>
    <v>15.8</v>
    <v>15.82</v>
    <v>15.88</v>
    <v>15.88</v>
    <v>356396600</v>
    <v>BLCO</v>
    <v>Bausch + Lomb Corporation (XNYS:BLCO)</v>
    <v>432898</v>
    <v>389703</v>
    <v>2020</v>
  </rv>
  <rv s="2">
    <v>76</v>
  </rv>
  <rv s="0">
    <v>https://www.bing.com/financeapi/forcetrigger?t=a1o76h&amp;q=XNYS%3aBAX&amp;form=skydnc</v>
    <v>Learn more on Bing</v>
  </rv>
  <rv s="6">
    <v>14</v>
    <v>BAXTER INTERNATIONAL INC. (XNYS:BAX)</v>
    <v>2</v>
    <v>15</v>
    <v>Finance</v>
    <v>4</v>
    <v>en</v>
    <v>a1o76h</v>
    <v>268435456</v>
    <v>1</v>
    <v>Powered by Refinitiv</v>
    <v>32.68</v>
    <v>15.73</v>
    <v>0.64810000000000001</v>
    <v>0.33</v>
    <v>1.8172000000000001E-2</v>
    <v>0.18</v>
    <v>9.7350000000000006E-3</v>
    <v>USD</v>
    <v>Baxter International Inc. is a global medtech company. Its segments include Medical Products and Therapies, Healthcare Systems and Technologies, and Pharmaceuticals. The Medical Products and Therapies segment includes sales of sterile IV solutions, infusion systems, administration sets, parenteral nutrition therapies and surgical hemostat, sealant, and adhesion prevention products. The Healthcare Systems and Technologies segment includes sales of its connected care solutions and collaboration tools, including smart bed systems, patient monitoring systems and diagnostic technologies, respiratory health devices, and advanced equipment for the surgical space, including operating room integration technologies, precision positioning devices, and other accessories. The Pharmaceuticals segment includes sales of specialty injectable pharmaceuticals, inhaled anesthesia, and drug compounding. Its products are used in hospitals, rehabilitation centers, ambulatory surgery centers, and others.</v>
    <v>37500</v>
    <v>New York Stock Exchange</v>
    <v>XNYS</v>
    <v>XNYS</v>
    <v>One Baxter Parkway, DEERFIELD, IL, 60015 US</v>
    <v>18.670000000000002</v>
    <v>Healthcare Equipment &amp; Supplies</v>
    <v>Stock</v>
    <v>46139.912419293752</v>
    <v>78</v>
    <v>18.14</v>
    <v>9545508725</v>
    <v>BAXTER INTERNATIONAL INC.</v>
    <v>BAXTER INTERNATIONAL INC.</v>
    <v>18.14</v>
    <v>18.16</v>
    <v>18.489999999999998</v>
    <v>18.670000000000002</v>
    <v>516252500</v>
    <v>BAX</v>
    <v>BAXTER INTERNATIONAL INC. (XNYS:BAX)</v>
    <v>7138204</v>
    <v>7435103</v>
    <v>1931</v>
  </rv>
  <rv s="2">
    <v>79</v>
  </rv>
  <rv s="0">
    <v>https://www.bing.com/financeapi/forcetrigger?t=af56c7&amp;q=XFRA%3aBAYN&amp;form=skydnc</v>
    <v>Learn more on Bing</v>
  </rv>
  <rv s="4">
    <v>9</v>
    <v>Bayer AG (XFRA:BAYN)</v>
    <v>2</v>
    <v>10</v>
    <v>Finance</v>
    <v>8</v>
    <v>en</v>
    <v>af56c7</v>
    <v>268435456</v>
    <v>1</v>
    <v>Powered by Refinitiv</v>
    <v>105.98699999999999</v>
    <v>18.5</v>
    <v>0.78190000000000004</v>
    <v>-0.19</v>
    <v>-4.9150000000000001E-3</v>
    <v>EUR</v>
    <v>Bayer AG is a German-based life science company. The Company's segments are Crop Science, Pharmaceuticals and Consumer Health. The Crop Science segment focuses on development, production and marketing of products in seeds and plant traits, crop protection, digital solutions and customer services to promote sustainable agriculture. The Pharmaceuticals segment focuses on prescription products, especially for cardiology and women's healthcare and specialty therapeutics focused on the areas of cardiology, oncology, hematology and ophthalmology, as well as gene therapy and others. The Consumer Health segment develops, produces and markets nonprescription over-the-counter medicines for self-medication. Its Consumer Health segment portfolio consists of products in dermatology, nutritional supplements, digestive health, allergy, cough and cold, and pain and cardiovascular risk prevention categories.</v>
    <v>88078</v>
    <v>Deutsche Boerse AG</v>
    <v>XFRA</v>
    <v>XFRA</v>
    <v>Kaiser-Wilhelm-Allee 1, LEVERKUSEN, NORDRHEIN-WESTFALEN, 51373 DE</v>
    <v>38.76</v>
    <v>Pharmaceuticals</v>
    <v>Stock</v>
    <v>46139.836805555555</v>
    <v>81</v>
    <v>38.19</v>
    <v>38260510000</v>
    <v>Bayer AG</v>
    <v>Bayer AG</v>
    <v>38.549999999999997</v>
    <v>38.659999999999997</v>
    <v>38.47</v>
    <v>982424100</v>
    <v>BAYN</v>
    <v>Bayer AG (XFRA:BAYN)</v>
    <v>3484</v>
    <v>2524770</v>
    <v>1952</v>
  </rv>
  <rv s="2">
    <v>82</v>
  </rv>
  <rv s="0">
    <v>https://www.bing.com/financeapi/forcetrigger?t=af5lim&amp;q=XFRA%3aBMW&amp;form=skydnc</v>
    <v>Learn more on Bing</v>
  </rv>
  <rv s="3">
    <v>6</v>
    <v>Bayerische Motoren Werke AG (XFRA:BMW)</v>
    <v>2</v>
    <v>7</v>
    <v>Finance</v>
    <v>8</v>
    <v>en</v>
    <v>af5lim</v>
    <v>268435456</v>
    <v>1</v>
    <v>Powered by Refinitiv</v>
    <v>115.25</v>
    <v>36.884999999999998</v>
    <v>0.98809999999999998</v>
    <v>-0.2</v>
    <v>-2.5000000000000001E-3</v>
    <v>EUR</v>
    <v>Bayerische Motoren Werke AG (BMW) is a Germany-based company. The Company is engaged in the development and manufacturing of automobiles and motorcycles. Its business is divided into three segments: Automotive segment, Motorcycles segment, and Financial Services segment. The Automotive segment has three brands BMW, MINI and Rolls-Royce. The product range includes automobiles ranging from the compact class to the luxury class. The Motorcycles segment develops manufactures and sells motorcycles and scooters in the Sport, Tour, Roadster, Heritage, Adventure and Urban Mobility categories, as well as motorcycles for private use and special-purpose vehicles for operational use. The Financial Services segment offers credit financing and the leasing of BMW Group brand automobiles and motorcycles to retail customers. It also handles financing for dealerships and customer deposits.</v>
    <v>154540</v>
    <v>Deutsche Boerse AG</v>
    <v>XFRA</v>
    <v>XFRA</v>
    <v>Petuelring 130, MUNICH, BAYERN, 80809 DE</v>
    <v>80.22</v>
    <v>Automobiles &amp; Auto Parts</v>
    <v>Stock</v>
    <v>46139.836805555555</v>
    <v>84</v>
    <v>79.5</v>
    <v>54471310000</v>
    <v>Bayerische Motoren Werke AG</v>
    <v>Bayerische Motoren Werke AG</v>
    <v>79.88</v>
    <v>6.84</v>
    <v>80</v>
    <v>79.8</v>
    <v>615810400</v>
    <v>BMW</v>
    <v>Bayerische Motoren Werke AG (XFRA:BMW)</v>
    <v>2136</v>
    <v>947810</v>
    <v>1995</v>
  </rv>
  <rv s="2">
    <v>85</v>
  </rv>
  <rv s="0">
    <v>https://www.bing.com/financeapi/forcetrigger?t=af5car&amp;q=XFRA%3aBEI&amp;form=skydnc</v>
    <v>Learn more on Bing</v>
  </rv>
  <rv s="3">
    <v>6</v>
    <v>Beiersdorf AG (XFRA:BEI)</v>
    <v>2</v>
    <v>7</v>
    <v>Finance</v>
    <v>8</v>
    <v>en</v>
    <v>af5car</v>
    <v>268435456</v>
    <v>1</v>
    <v>Powered by Refinitiv</v>
    <v>147.55000000000001</v>
    <v>71.7</v>
    <v>0.50339999999999996</v>
    <v>-0.4</v>
    <v>-5.5100000000000001E-3</v>
    <v>EUR</v>
    <v>Beiersdorf Aktiengesellschaft is a Germany‑based company engaged in manufacturing chemical consumer goods through its Consumer and tesa business segments. The Consumer segment provides skin and beauty care products under brands such as NIVEA, Eucerin, La Prairie and Hansaplast. The tesa segment develops adhesive tapes and self‑adhesive solutions for industrial and consumer applications, supported by research and development activities.</v>
    <v>22399</v>
    <v>Deutsche Boerse AG</v>
    <v>XFRA</v>
    <v>XFRA</v>
    <v>Beiersdorfstrasse 1-9, HAMBURG, HAMBURG, 22529 DE</v>
    <v>72.599999999999994</v>
    <v>Personal &amp; Household Products &amp; Services</v>
    <v>Stock</v>
    <v>46139.836805555555</v>
    <v>87</v>
    <v>71.739999999999995</v>
    <v>23672910000</v>
    <v>Beiersdorf AG</v>
    <v>Beiersdorf AG</v>
    <v>72.599999999999994</v>
    <v>17.43</v>
    <v>72.599999999999994</v>
    <v>72.2</v>
    <v>243000000</v>
    <v>BEI</v>
    <v>Beiersdorf AG (XFRA:BEI)</v>
    <v>1202</v>
    <v>451720</v>
    <v>1922</v>
  </rv>
  <rv s="2">
    <v>88</v>
  </rv>
  <rv s="0">
    <v>https://www.bing.com/financeapi/forcetrigger?t=bvm4c7&amp;q=XNAS%3aBSY&amp;form=skydnc</v>
    <v>Learn more on Bing</v>
  </rv>
  <rv s="1">
    <v>0</v>
    <v>BENTLEY SYSTEMS, INCORPORATED (XNAS:BSY)</v>
    <v>2</v>
    <v>3</v>
    <v>Finance</v>
    <v>4</v>
    <v>en</v>
    <v>bvm4c7</v>
    <v>268435456</v>
    <v>1</v>
    <v>Powered by Refinitiv</v>
    <v>59.25</v>
    <v>30.83</v>
    <v>1.0378000000000001</v>
    <v>-0.61</v>
    <v>-1.8242000000000001E-2</v>
    <v>-0.28000000000000003</v>
    <v>-8.5290000000000001E-3</v>
    <v>USD</v>
    <v>Bentley Systems, Incorporated is an infrastructure engineering software company. Its products are used by infrastructure professionals in designing, building, and operating infrastructure for transportation, water, energy, cities, and more. Its portfolio of integrated software offerings comprises Bentley Open Applications, Seequent, Bentley Infrastructure Cloud, Bentley Asset Analytics and Cesium and iTwin Platform. Bentley Open Applications offer an open modeling environment comprising domain‑specific modeling and simulation applications that analyze the functional performance of designs. Seequent applications support modeling and simulation to help geoprofessionals and infrastructure engineers develop a detailed understanding, and take full account of, near and deep subsurface conditions. Bentley Infrastructure Cloud is its enterprise information system that spans the end‑to‑end lifecycle and value chain of the infrastructure. Bentley Asset Analytics is its asset analytics product.</v>
    <v>5800</v>
    <v>Nasdaq Stock Market</v>
    <v>XNAS</v>
    <v>XNAS</v>
    <v>685 Stockton Drive, EXTON, PA, 19341 US</v>
    <v>33.72</v>
    <v>Software &amp; IT Services</v>
    <v>Stock</v>
    <v>46139.878722823436</v>
    <v>90</v>
    <v>32.79</v>
    <v>9955589161</v>
    <v>BENTLEY SYSTEMS, INCORPORATED</v>
    <v>BENTLEY SYSTEMS, INCORPORATED</v>
    <v>33.24</v>
    <v>39.148699999999998</v>
    <v>33.44</v>
    <v>32.83</v>
    <v>32.549999999999997</v>
    <v>303246700</v>
    <v>BSY</v>
    <v>BENTLEY SYSTEMS, INCORPORATED (XNAS:BSY)</v>
    <v>1114257</v>
    <v>2423070</v>
    <v>1987</v>
  </rv>
  <rv s="2">
    <v>91</v>
  </rv>
  <rv s="0">
    <v>https://www.bing.com/financeapi/forcetrigger?t=a1ob3m&amp;q=XNAS%3aBCRX&amp;form=skydnc</v>
    <v>Learn more on Bing</v>
  </rv>
  <rv s="1">
    <v>0</v>
    <v>BIOCRYST PHARMACEUTICALS, INC. (XNAS:BCRX)</v>
    <v>2</v>
    <v>3</v>
    <v>Finance</v>
    <v>5</v>
    <v>en</v>
    <v>a1ob3m</v>
    <v>268435456</v>
    <v>1</v>
    <v>Powered by Refinitiv</v>
    <v>11.31</v>
    <v>6</v>
    <v>0.56030000000000002</v>
    <v>-0.04</v>
    <v>-4.4740000000000005E-3</v>
    <v>0.06</v>
    <v>6.7420000000000006E-3</v>
    <v>USD</v>
    <v>BioCryst Pharmaceuticals, Inc. is a biotechnology company focused on developing and commercializing medicines for hereditary angioedema (HAE) and other rare diseases. Its marketed products include oral, once-daily ORLADEYO for the prevention of hereditary angioedema (HAE) attacks and RAPIVAB (peramivir injection) for the treatment of acute uncomplicated influenza in the United States. Its other products and product candidates include BCX10013, RAPIACTA (peramivir injection), PERAMIFLU (peramivir injection), and early-stage discovery programs. BCX10013, is a potent and specific Factor D inhibitor. RAPIACTA focuses on uncomplicated seasonal influenza. The RAPIVAB (peramivir injection) is approved in the United States for the treatment of acute uncomplicated influenza for patients six months and older. Its portfolio also includes navenibart, which is a late-stage, long-acting plasma kallikrein inhibitor. It has also obtained an early-stage program for atopic dermatitis, STAR0310.</v>
    <v>435</v>
    <v>Nasdaq Stock Market</v>
    <v>XNAS</v>
    <v>XNAS</v>
    <v>4505 Emperor Blvd Ste 200, DURHAM, NC, 27703-8457 US</v>
    <v>9.1999999999999993</v>
    <v>Biotechnology &amp; Medical Research</v>
    <v>Stock</v>
    <v>46139.93106956016</v>
    <v>93</v>
    <v>8.8800000000000008</v>
    <v>2261542510</v>
    <v>BIOCRYST PHARMACEUTICALS, INC.</v>
    <v>BIOCRYST PHARMACEUTICALS, INC.</v>
    <v>8.8800000000000008</v>
    <v>7.3975999999999997</v>
    <v>8.94</v>
    <v>8.9</v>
    <v>8.9600000000000009</v>
    <v>254105900</v>
    <v>BCRX</v>
    <v>BIOCRYST PHARMACEUTICALS, INC. (XNAS:BCRX)</v>
    <v>3086927</v>
    <v>5379653</v>
    <v>1991</v>
  </rv>
  <rv s="2">
    <v>94</v>
  </rv>
  <rv s="0">
    <v>https://www.bing.com/financeapi/forcetrigger?t=c2wam7&amp;q=XNAS%3aBSGA&amp;form=skydnc</v>
    <v>Learn more on Bing</v>
  </rv>
  <rv s="1">
    <v>0</v>
    <v>Bitdeer Technologies Group (XNAS:BTDR)</v>
    <v>2</v>
    <v>3</v>
    <v>Finance</v>
    <v>5</v>
    <v>en</v>
    <v>c2wam7</v>
    <v>268435456</v>
    <v>1</v>
    <v>Powered by Refinitiv</v>
    <v>27.8</v>
    <v>6.9157000000000002</v>
    <v>2.3904000000000001</v>
    <v>-0.55000000000000004</v>
    <v>-4.5605E-2</v>
    <v>1.0200000000000001E-2</v>
    <v>8.8620000000000007E-4</v>
    <v>USD</v>
    <v>Bitdeer Technologies Group is a technology company for blockchain. It provides computing solutions for customers. The Company handles processes involved in computing, such as equipment procurement, transport logistics, datacenter design and construction, and equipment management. It primarily operates three business lines, namely self-mining, hash rate sharing, and hosting. Self-mining refers to cryptocurrency mining for its own account, which allows it to directly capture the high appreciation potential of cryptocurrency. It offers two types of hash rate sharing solutions, namely Cloud Hash Rate and Hash Rate Marketplace. Through Cloud Hash Rate, the Company sells its hash rate to customers. It offers hash rate subscription plans at a fixed price and shares mining income with them under certain arrangements. Its hosting services offer customers one-stop mining rig hosting solutions encompassing deployment, maintenance, and management services for efficient cryptocurrency mining.</v>
    <v>246</v>
    <v>Nasdaq Stock Market</v>
    <v>XNAS</v>
    <v>XNAS</v>
    <v>08 Kallang Avenue, Aperia Tower 1, #09-0, 339509 SG</v>
    <v>12.11</v>
    <v>Financial Technology (Fintech) &amp; Infrastructure</v>
    <v>Stock</v>
    <v>46139.931788610935</v>
    <v>96</v>
    <v>11.15</v>
    <v>2774544201</v>
    <v>Bitdeer Technologies Group</v>
    <v>Bitdeer Technologies Group</v>
    <v>12.06</v>
    <v>195.90639999999999</v>
    <v>12.06</v>
    <v>11.51</v>
    <v>11.520200000000001</v>
    <v>241055100</v>
    <v>BTDR</v>
    <v>Bitdeer Technologies Group (XNAS:BTDR)</v>
    <v>6401543</v>
    <v>7091299</v>
    <v>2021</v>
  </rv>
  <rv s="2">
    <v>97</v>
  </rv>
  <rv s="7">
    <v>16</v>
    <v>Biohaven Ltd. (XNYS:BHVN)</v>
    <v>17</v>
    <v>15</v>
    <v>Finance</v>
    <v>4</v>
    <v>en</v>
    <v>c7ez52</v>
    <v>268435456</v>
    <v>1</v>
    <v>Powered by Refinitiv</v>
    <v>24.06</v>
    <v>7.48</v>
    <v>3.4015</v>
    <v>-0.28999999999999998</v>
    <v>-2.9352E-2</v>
    <v>0.19</v>
    <v>1.9812E-2</v>
    <v>USD</v>
    <v>Biohaven Ltd. is a biopharmaceutical company focused on the discovery, development and commercialization of treatments in key therapeutic areas, including immunology, neuroscience, and oncology. It is advancing its portfolio of therapeutics, leveraging its drug development experience and multiple proprietary drug development platforms. Its clinical and preclinical programs include Kv7 ion channel modulation for epilepsy and mood disorders; extracellular protein degradation for immunological diseases; TRPM3 antagonism for migraine and neuropathic pain; TYK2/JAK1 inhibition for neuroinflammatory disorders; glutamate modulation for obsessive-compulsive disorder (OCD) and spinocerebellar ataxia (SCA); myostatin inhibition for neuromuscular and metabolic diseases, including spinal muscular atrophy (SMA) and obesity; antibody recruiting bispecific molecules; and antibody drug conjugates for cancer. Its advanced product candidate from its glutamate receptor antagonist platform is troriluzole.</v>
    <v>274</v>
    <v>New York Stock Exchange</v>
    <v>XNYS</v>
    <v>XNYS</v>
    <v>215 Church Street, NEW HAVEN, CT, 06510 US</v>
    <v>10.14</v>
    <v>Biotechnology &amp; Medical Research</v>
    <v>Stock</v>
    <v>46139.919961075779</v>
    <v>9.51</v>
    <v>1442533554</v>
    <v>Biohaven Ltd.</v>
    <v>Biohaven Ltd.</v>
    <v>9.77</v>
    <v>9.8800000000000008</v>
    <v>9.59</v>
    <v>9.7799999999999994</v>
    <v>150420600</v>
    <v>BHVN</v>
    <v>Biohaven Ltd. (XNYS:BHVN)</v>
    <v>1372668</v>
    <v>2202538</v>
    <v>2022</v>
  </rv>
  <rv s="2">
    <v>99</v>
  </rv>
  <rv s="0">
    <v>https://www.bing.com/financeapi/forcetrigger?t=af5oar&amp;q=XFRA%3aBNR&amp;form=skydnc</v>
    <v>Learn more on Bing</v>
  </rv>
  <rv s="3">
    <v>6</v>
    <v>Brenntag SE (XFRA:BNR)</v>
    <v>2</v>
    <v>7</v>
    <v>Finance</v>
    <v>8</v>
    <v>en</v>
    <v>af5oar</v>
    <v>268435456</v>
    <v>1</v>
    <v>Powered by Refinitiv</v>
    <v>88.34</v>
    <v>29.32</v>
    <v>0.55930000000000002</v>
    <v>0.18</v>
    <v>2.9949999999999998E-3</v>
    <v>EUR</v>
    <v>Brenntag SE is a Germany-based company active in the fields of chemicals and ingredients distribution. The Company offers a broad product range comprising more than 20,000 chemicals and ingredients as well as services such as just-in-time delivery, product mixing, repackaging, inventory management and drum return handling. It also offers tailor-made application, marketing and supply chain solutions, technical and formulation support, comprehensive regulatory know-how and digital solutions such as digital sales channels and product platforms. The Company manages its business through two global divisions: Brenntag Specialties focuses on selling ingredients and value-added services, and it focuses on industries Nutrition, Pharma, Personal Care/Home, Industrial &amp; Institutional, Material Science (Coatings &amp; Construction, Polymers, Rubber), Water Treatment and Lubricants. Brenntag Essentials markets a broad portfolio of process chemicals across a wide range of industries and applications.</v>
    <v>17339</v>
    <v>Deutsche Boerse AG</v>
    <v>XFRA</v>
    <v>XFRA</v>
    <v>Messeallee 11, ESSEN, NORDRHEIN-WESTFALEN, 45131 DE</v>
    <v>60.28</v>
    <v>Chemicals</v>
    <v>Stock</v>
    <v>46139.836805555555</v>
    <v>101</v>
    <v>59.82</v>
    <v>7288574000</v>
    <v>Brenntag SE</v>
    <v>Brenntag SE</v>
    <v>59.82</v>
    <v>32.450000000000003</v>
    <v>60.1</v>
    <v>60.28</v>
    <v>144385400</v>
    <v>BNR</v>
    <v>Brenntag SE (XFRA:BNR)</v>
    <v>100</v>
    <v>351100</v>
    <v>2021</v>
  </rv>
  <rv s="2">
    <v>102</v>
  </rv>
  <rv s="0">
    <v>https://www.bing.com/financeapi/forcetrigger?t=bx8zr7&amp;q=XNYS%3aAI&amp;form=skydnc</v>
    <v>Learn more on Bing</v>
  </rv>
  <rv s="1">
    <v>0</v>
    <v>C3.AI, INC. (XNYS:AI)</v>
    <v>2</v>
    <v>3</v>
    <v>Finance</v>
    <v>5</v>
    <v>en</v>
    <v>bx8zr7</v>
    <v>268435456</v>
    <v>1</v>
    <v>Powered by Refinitiv</v>
    <v>30.24</v>
    <v>7.6749999999999998</v>
    <v>1.9878</v>
    <v>0.155</v>
    <v>1.7940000000000001E-2</v>
    <v>0.02</v>
    <v>2.2750000000000001E-3</v>
    <v>USD</v>
    <v>C3.ai, Inc. is an enterprise artificial intelligence (AI) application software company. The Company has built a solution that enables its customers to develop, deploy, and operate enterprise AI applications. It offers software solutions, which it collectively refers to as its C3 AI software, comprises The C3 Agentic AI Platform, C3 AI Applications, and C3 Generative AI. The C3 Agentic AI Platform, its core technology, is a comprehensive, end-to-end application development and runtime environment that is designed to allow its customers to design, develop, and deploy Enterprise AI applications of any type. Its C3 AI Applications, built using the C3 AI Platform, is a portfolio of pre-built, extensible, industry-specific, and application-specific software-as-a-service offerings (SaaS) Enterprise AI applications. Its C3 Generative AI combines the utility of large language models, generative AI, reinforcement learning, and natural language processing.</v>
    <v>1181</v>
    <v>New York Stock Exchange</v>
    <v>XNYS</v>
    <v>XNYS</v>
    <v>1400 Seaport Blvd, REDWOOD CITY, CA, 94063 US</v>
    <v>8.91</v>
    <v>Software &amp; IT Services</v>
    <v>Stock</v>
    <v>46139.933064490622</v>
    <v>104</v>
    <v>8.58</v>
    <v>1277836104</v>
    <v>C3.AI, INC.</v>
    <v>C3.AI, INC.</v>
    <v>8.65</v>
    <v>0</v>
    <v>8.64</v>
    <v>8.7949999999999999</v>
    <v>8.81</v>
    <v>145291200</v>
    <v>AI</v>
    <v>C3.AI, INC. (XNYS:AI)</v>
    <v>3771389</v>
    <v>4911011</v>
    <v>2009</v>
  </rv>
  <rv s="2">
    <v>105</v>
  </rv>
  <rv s="0">
    <v>https://www.bing.com/financeapi/forcetrigger?t=amfsr7&amp;q=BMEX%3aCABK&amp;form=skydnc</v>
    <v>Learn more on Bing</v>
  </rv>
  <rv s="5">
    <v>11</v>
    <v>CaixaBank SA (BMEX:CABK)</v>
    <v>2</v>
    <v>12</v>
    <v>Finance</v>
    <v>8</v>
    <v>en</v>
    <v>amfsr7</v>
    <v>268435456</v>
    <v>1</v>
    <v>Powered by Refinitiv</v>
    <v>11.574999999999999</v>
    <v>6.56</v>
    <v>0.64170000000000005</v>
    <v>-0.01</v>
    <v>-9.6429999999999997E-4</v>
    <v>EUR</v>
    <v>Caixabank SA is a Spain-based bank. Its activities are divided into two business segments: Banking and insurance, as well as Investments. The Banking and insurance division provides financial services for individual customers, including retail, private and personal banking, business customers, such as commercial and corporate banking, cash management and markets solutions, as well as offers insurance products. The Investments division includes investments in the international banking investee portfolio, as well as stakes in other companies, such as Repsol SA and Telefonica SA. The Bank operates through domestic and foreign branches, as well as representative offices in Europe, the Americas, Africa and Asia.</v>
    <v>47120</v>
    <v>Bolsas y Mercados Espanoles</v>
    <v>BMEX</v>
    <v>BMEX</v>
    <v>CALLE PINTOR SOROLLA 2 - 4, 46002 ES</v>
    <v>10.445</v>
    <v>Banking Services</v>
    <v>Stock</v>
    <v>46139.666666666664</v>
    <v>107</v>
    <v>10.324999999999999</v>
    <v>75373110000</v>
    <v>CaixaBank SA</v>
    <v>CaixaBank SA</v>
    <v>10.4</v>
    <v>12.4415</v>
    <v>10.37</v>
    <v>10.36</v>
    <v>7024521000</v>
    <v>CABK</v>
    <v>CaixaBank SA (BMEX:CABK)</v>
    <v>3024472</v>
    <v>6381870</v>
  </rv>
  <rv s="2">
    <v>108</v>
  </rv>
  <rv s="0">
    <v>https://www.bing.com/financeapi/forcetrigger?t=a1s5xm&amp;q=XNAS%3aCZR&amp;form=skydnc</v>
    <v>Learn more on Bing</v>
  </rv>
  <rv s="1">
    <v>0</v>
    <v>CAESARS ENTERTAINMENT, INC. (XNAS:CZR)</v>
    <v>2</v>
    <v>3</v>
    <v>Finance</v>
    <v>4</v>
    <v>en</v>
    <v>a1s5xm</v>
    <v>268435456</v>
    <v>1</v>
    <v>Powered by Refinitiv</v>
    <v>31.58</v>
    <v>17.86</v>
    <v>1.7939000000000001</v>
    <v>-0.09</v>
    <v>-3.2009999999999999E-3</v>
    <v>0</v>
    <v>0</v>
    <v>USD</v>
    <v>Caesars Entertainment, Inc. is a casino-entertainment company and a diversified gaming and hospitality provider. It operates primarily under the Caesars, Harrah's, Horseshoe, and Eldorado brand names. Its segments include Las Vegas, Regional, Caesars Digital, and Managed and Branded, in addition to Corporate and Other. It offers diversified gaming, entertainment and hospitality amenities, destinations, and a full suite of mobile and online gaming and sports betting experiences. It owns, leases or manages an aggregate of 52 domestic properties in 18 states. It also operates and conducts sports wagering across 34 jurisdictions in North America, 27 of which offer online sports betting, and operates iGaming in five jurisdictions in North America. It operates the Caesars Sportsbook app, the Caesars Racebook app, the Caesars Palace Online Casino app and the new Horseshoe Online Casino app. It offers various online casino games, including slots, table games, live dealer and video poker.</v>
    <v>50000</v>
    <v>Nasdaq Stock Market</v>
    <v>XNAS</v>
    <v>XNAS</v>
    <v>100 West Liberty Street, 12Th Floor, RENO, NV, 89501 US</v>
    <v>28.41</v>
    <v>Hotels &amp; Entertainment Services</v>
    <v>Stock</v>
    <v>46139.882299409372</v>
    <v>110</v>
    <v>28.004999999999999</v>
    <v>5708783207</v>
    <v>CAESARS ENTERTAINMENT, INC.</v>
    <v>CAESARS ENTERTAINMENT, INC.</v>
    <v>28.04</v>
    <v>0</v>
    <v>28.12</v>
    <v>28.03</v>
    <v>28.03</v>
    <v>203666900</v>
    <v>CZR</v>
    <v>CAESARS ENTERTAINMENT, INC. (XNAS:CZR)</v>
    <v>3398904</v>
    <v>3995833</v>
    <v>2020</v>
  </rv>
  <rv s="2">
    <v>111</v>
  </rv>
  <rv s="0">
    <v>https://www.bing.com/financeapi/forcetrigger?t=a1p627&amp;q=XNAS%3aCALM&amp;form=skydnc</v>
    <v>Learn more on Bing</v>
  </rv>
  <rv s="1">
    <v>0</v>
    <v>CAL-MAINE FOODS, INC. (XNAS:CALM)</v>
    <v>2</v>
    <v>3</v>
    <v>Finance</v>
    <v>5</v>
    <v>en</v>
    <v>a1p627</v>
    <v>268435456</v>
    <v>1</v>
    <v>Powered by Refinitiv</v>
    <v>126.4</v>
    <v>71.92</v>
    <v>0.26029999999999998</v>
    <v>1.54</v>
    <v>2.0198999999999998E-2</v>
    <v>-0.69799999999999995</v>
    <v>-8.9739999999999993E-3</v>
    <v>USD</v>
    <v>Cal-Maine Foods, Inc. is primarily engaged in the production, packaging, marketing and distribution of fresh shell eggs, including conventional, cage-free, organic, brown, free-range, pasture-raised and nutritionally enhanced eggs, as well as a variety of ready-to-eat egg products. The Company’s integrated operations consist of hatching chicks, growing and maintaining flocks of pullets, layers and breeders, manufacturing feed, and producing, processing, packaging, and distributing shell eggs. The Company provides specialty and conventional eggs. Specialty eggs encompass a broad range of products, such as cage-free, organic, brown, free-range, pasture-raised and nutritionally enhanced eggs. Its Farmhouse Eggs brand eggs are produced at its facilities by hens that are provided with a vegetarian diet. It markets organic, vegetarian and omega-3 eggs under its 4-Grain brand, which consists of conventional and cage-free eggs. Its Sunups and Sunny Meadow brands are sold as conventional eggs.</v>
    <v>3828</v>
    <v>Nasdaq Stock Market</v>
    <v>XNAS</v>
    <v>XNAS</v>
    <v>1052 Highland Colony Pkwy, Suite 200, RIDGELAND, MS, 39157 US</v>
    <v>77.91</v>
    <v>Food &amp; Tobacco</v>
    <v>Stock</v>
    <v>46139.926817349216</v>
    <v>113</v>
    <v>76.290000000000006</v>
    <v>3684951170</v>
    <v>CAL-MAINE FOODS, INC.</v>
    <v>CAL-MAINE FOODS, INC.</v>
    <v>76.38</v>
    <v>5.3129999999999997</v>
    <v>76.239999999999995</v>
    <v>77.78</v>
    <v>77.081999999999994</v>
    <v>47376590</v>
    <v>CALM</v>
    <v>CAL-MAINE FOODS, INC. (XNAS:CALM)</v>
    <v>630289</v>
    <v>1008646</v>
    <v>1969</v>
  </rv>
  <rv s="2">
    <v>114</v>
  </rv>
  <rv s="0">
    <v>https://www.bing.com/financeapi/forcetrigger?t=ae7zrw&amp;q=XPAR%3aCA&amp;form=skydnc</v>
    <v>Learn more on Bing</v>
  </rv>
  <rv s="3">
    <v>6</v>
    <v>Carrefour SA (XPAR:CA)</v>
    <v>2</v>
    <v>7</v>
    <v>Finance</v>
    <v>8</v>
    <v>en</v>
    <v>ae7zrw</v>
    <v>268435456</v>
    <v>1</v>
    <v>Powered by Refinitiv</v>
    <v>16.920000000000002</v>
    <v>11.58</v>
    <v>0.79449999999999998</v>
    <v>-0.1</v>
    <v>-6.0369999999999998E-3</v>
    <v>EUR</v>
    <v>Carrefour SA is a France-based retail distribution group, which operates through four geographical segments: France, Rest of Europe, Latin America and Asia. The Group operates more than 12,000 stores and e-commerce sites in more than 30 countries across the globe. Its stores come in a variety of formats and channels, such as hypermarkets, supermarkets, convenience stores, cash and carry stores, hyper cash stores, drive and e-commerce. Its product offering includes a wide range of local fresh produce, meats prepared on site, fresh fish, as well as bakery products, consumer goods and nonfood products. Additionally, the Group offers complementary services, including package pick-up points, key copying, vehicle hire, pharmacies and health/beauty care, fuel oil delivery, financial and insurance services, together with leisure services, such as travel agencies, tickets for shows and photo services, among others.</v>
    <v>298604</v>
    <v>Euronext Paris</v>
    <v>XPAR</v>
    <v>XPAR</v>
    <v>93 Avenue de Paris, MASSY, 91300 FR</v>
    <v>16.605</v>
    <v>Food &amp; Drug Retailing</v>
    <v>Stock</v>
    <v>46139.666666666664</v>
    <v>116</v>
    <v>16.45</v>
    <v>10242140000</v>
    <v>Carrefour SA</v>
    <v>Carrefour SA</v>
    <v>16.515000000000001</v>
    <v>40.540900000000001</v>
    <v>16.565000000000001</v>
    <v>16.465</v>
    <v>736314800</v>
    <v>CA</v>
    <v>Carrefour SA (XPAR:CA)</v>
    <v>1367435</v>
    <v>2267710</v>
    <v>1963</v>
  </rv>
  <rv s="2">
    <v>117</v>
  </rv>
  <rv s="0">
    <v>https://www.bing.com/financeapi/forcetrigger?t=amfthw&amp;q=BMEX%3aCLNX&amp;form=skydnc</v>
    <v>Learn more on Bing</v>
  </rv>
  <rv s="4">
    <v>9</v>
    <v>Cellnex Telecom S.a (BMEX:CLNX)</v>
    <v>2</v>
    <v>10</v>
    <v>Finance</v>
    <v>8</v>
    <v>en</v>
    <v>amfthw</v>
    <v>268435456</v>
    <v>1</v>
    <v>Powered by Refinitiv</v>
    <v>35.950000000000003</v>
    <v>24.72</v>
    <v>1.0968</v>
    <v>-0.28999999999999998</v>
    <v>-1.0133000000000001E-2</v>
    <v>EUR</v>
    <v>Cellnex Telecom SA is a Spain-based company. The Company engaged in the wireless telecommunications (telecom) business. Its activities are divided into three segments: Broadcasting infrastructure, Telecom site rental, as well as Network services and other. Its broadcasting infrastructure division comprises distribution and transmission of television (TV) and frequency modulation (FM) radio signals, operation and maintenance (O&amp;M) of radio broadcasting network, as well as over-the-top (OTT) radio services, among others. The Company's telecom site rental division provides access to wireless infrastructure, primarily through infrastructure hosting and telecom equipment co-location, mainly for mobile network operators and other wireless and broadband telecom network operators. Its network services and other division offers connectivity services for a variety of telecom operators and radio communication, among others.</v>
    <v>2511</v>
    <v>Bolsas y Mercados Espanoles</v>
    <v>BMEX</v>
    <v>BMEX</v>
    <v>Calle Juan Esplandiu, 11-13, MADRID, MADRID, 28007 ES</v>
    <v>28.62</v>
    <v>Telecommunications Services</v>
    <v>Stock</v>
    <v>46139.666666666664</v>
    <v>119</v>
    <v>28.24</v>
    <v>17947410000</v>
    <v>Cellnex Telecom S.a</v>
    <v>Cellnex Telecom S.a</v>
    <v>28.39</v>
    <v>28.62</v>
    <v>28.33</v>
    <v>682410900</v>
    <v>CLNX</v>
    <v>Cellnex Telecom S.a (BMEX:CLNX)</v>
    <v>759504</v>
    <v>1294980</v>
    <v>2008</v>
  </rv>
  <rv s="2">
    <v>120</v>
  </rv>
  <rv s="0">
    <v>https://www.bing.com/financeapi/forcetrigger?t=bwzzzr&amp;q=XNAS%3aCERT&amp;form=skydnc</v>
    <v>Learn more on Bing</v>
  </rv>
  <rv s="1">
    <v>0</v>
    <v>CERTARA, INC. (XNAS:CERT)</v>
    <v>2</v>
    <v>3</v>
    <v>Finance</v>
    <v>4</v>
    <v>en</v>
    <v>bwzzzr</v>
    <v>268435456</v>
    <v>1</v>
    <v>Powered by Refinitiv</v>
    <v>14.39</v>
    <v>5.19</v>
    <v>1.5697000000000001</v>
    <v>-0.08</v>
    <v>-1.2658000000000001E-2</v>
    <v>0.01</v>
    <v>1.603E-3</v>
    <v>USD</v>
    <v>Certara, Inc. is a provider of biosimulation technology and solutions for using Model-Informed Drug Development (MIDD) in the global biopharmaceutical industry. It accelerates medicine using biosimulation software, technology and services to transform traditional drug discovery and development. It delivers software products and technology-driven services to customers to carry out and realize the full benefits of biosimulation in drug discovery, preclinical and clinical research, regulatory submissions and market access. Its regulatory science and market access software and services, such as regulatory submissions software, natural language processing and Bayesian analytics. It offers both mechanistic and empirical biosimulation solutions providing clients with a comprehensive offering based on their therapy goals, mechanism of action, and available data sources. Its clients include 2,400 biopharmaceutical companies, academic institutions and regulatory agencies across 70 countries.</v>
    <v>1515</v>
    <v>Nasdaq Stock Market</v>
    <v>XNAS</v>
    <v>XNAS</v>
    <v>4 Radnor Corporate Center, Suite 350, RADNOR, PA, 19087 US</v>
    <v>6.46</v>
    <v>Software &amp; IT Services</v>
    <v>Stock</v>
    <v>46139.920614918752</v>
    <v>122</v>
    <v>6.24</v>
    <v>956748624</v>
    <v>CERTARA, INC.</v>
    <v>CERTARA, INC.</v>
    <v>6.27</v>
    <v>0</v>
    <v>6.32</v>
    <v>6.24</v>
    <v>6.25</v>
    <v>153325100</v>
    <v>CERT</v>
    <v>CERTARA, INC. (XNAS:CERT)</v>
    <v>2145008</v>
    <v>4252188</v>
    <v>2017</v>
  </rv>
  <rv s="2">
    <v>123</v>
  </rv>
  <rv s="0">
    <v>https://www.bing.com/financeapi/forcetrigger?t=brijoc&amp;q=XNAS%3aCRNC&amp;form=skydnc</v>
    <v>Learn more on Bing</v>
  </rv>
  <rv s="1">
    <v>0</v>
    <v>CERENCE INC. (XNAS:CRNC)</v>
    <v>2</v>
    <v>3</v>
    <v>Finance</v>
    <v>4</v>
    <v>en</v>
    <v>brijoc</v>
    <v>268435456</v>
    <v>1</v>
    <v>Powered by Refinitiv</v>
    <v>13.738</v>
    <v>5.85</v>
    <v>2.8527</v>
    <v>0.19</v>
    <v>2.1739000000000001E-2</v>
    <v>-0.08</v>
    <v>-8.9589999999999999E-3</v>
    <v>USD</v>
    <v>Cerence Inc. is a provider of artificial intelligence (AI)-powered assistants for connected and autonomous vehicles. The Company builds AI-powered virtual assistants for the mobility/transportation market. Its software platform is used to build virtual assistants that can communicate, find information and take action across an expanding variety of categories. Its software platform has hybrid architecture combining edge software components with cloud-connected components. Its Edge software components are installed on a vehicle’s head unit and can operate without access to external networks and information. Its Cloud-connected components comprise certain speech and natural language understanding-related technologies, AI-enabled personalization and context-based response frameworks, and a content integration platform. It also offers a solution portfolio that includes conversational and generative AI as well as audio and communications AI.</v>
    <v>1300</v>
    <v>Nasdaq Stock Market</v>
    <v>XNAS</v>
    <v>XNAS</v>
    <v>25 Mall Road, Suite 416, BURLINGTON, MA, 01803 US</v>
    <v>9.0399999999999991</v>
    <v>Software &amp; IT Services</v>
    <v>Stock</v>
    <v>46139.908131053126</v>
    <v>125</v>
    <v>8.7249999999999996</v>
    <v>402011454</v>
    <v>CERENCE INC.</v>
    <v>CERENCE INC.</v>
    <v>8.74</v>
    <v>0</v>
    <v>8.74</v>
    <v>8.93</v>
    <v>8.85</v>
    <v>45018080</v>
    <v>CRNC</v>
    <v>CERENCE INC. (XNAS:CRNC)</v>
    <v>512849</v>
    <v>677549</v>
    <v>2019</v>
  </rv>
  <rv s="2">
    <v>126</v>
  </rv>
  <rv s="0">
    <v>https://www.bing.com/financeapi/forcetrigger?t=briidm&amp;q=XNYS%3aCHPT&amp;form=skydnc</v>
    <v>Learn more on Bing</v>
  </rv>
  <rv s="6">
    <v>14</v>
    <v>CHARGEPOINT HOLDINGS, INC. (XNYS:CHPT)</v>
    <v>2</v>
    <v>15</v>
    <v>Finance</v>
    <v>4</v>
    <v>en</v>
    <v>briidm</v>
    <v>268435456</v>
    <v>1</v>
    <v>Powered by Refinitiv</v>
    <v>17.78</v>
    <v>4.4400000000000004</v>
    <v>1.7541</v>
    <v>-0.1</v>
    <v>-1.4514000000000001E-2</v>
    <v>0.01</v>
    <v>1.4729999999999999E-3</v>
    <v>USD</v>
    <v>ChargePoint Holdings, Inc. is a provider of electric vehicle (EV) charging technology solutions. The Company is driving the transition to electric mobility across North America and Europe. It offers a comprehensive portfolio of charging solutions. The ChargePoint cloud subscription platform and software-defined charging hardware are designed to include options for every charging scenario from home and multifamily to workplace, parking, hospitality, retail and transport fleets of all types. Its hardware, software, and services are designed to scale alongside the EV ecosystem, serving the needs of three core customer groups: Charge Point Operators (CPOs), e-Mobility Service Providers, and EV drivers. Its portfolio includes Networked Charging System Portfolio, Advanced ChargePoint Platform, ChargePoint CMS Service, ChargePoint eMSP Service, ChargePoint Mobile App and ChargePoint Services and Support Portfolio. It powers over 342,000 active charging ports.</v>
    <v>1440</v>
    <v>New York Stock Exchange</v>
    <v>XNYS</v>
    <v>XNYS</v>
    <v>240 East Hacienda Avenue, CAMPBELL, CA, 95008 US</v>
    <v>6.85</v>
    <v>Machinery, Equipment &amp; Components</v>
    <v>Stock</v>
    <v>46139.921205381252</v>
    <v>128</v>
    <v>6.6</v>
    <v>165786269</v>
    <v>CHARGEPOINT HOLDINGS, INC.</v>
    <v>CHARGEPOINT HOLDINGS, INC.</v>
    <v>6.83</v>
    <v>6.89</v>
    <v>6.79</v>
    <v>6.8</v>
    <v>24416240</v>
    <v>CHPT</v>
    <v>CHARGEPOINT HOLDINGS, INC. (XNYS:CHPT)</v>
    <v>374760</v>
    <v>523714</v>
    <v>2019</v>
  </rv>
  <rv s="2">
    <v>129</v>
  </rv>
  <rv s="0">
    <v>https://www.bing.com/financeapi/forcetrigger?t=a1qlz2&amp;q=XNYS%3aCVX&amp;form=skydnc</v>
    <v>Learn more on Bing</v>
  </rv>
  <rv s="1">
    <v>0</v>
    <v>CHEVRON CORPORATION (XNYS:CVX)</v>
    <v>2</v>
    <v>3</v>
    <v>Finance</v>
    <v>5</v>
    <v>en</v>
    <v>a1qlz2</v>
    <v>268435456</v>
    <v>1</v>
    <v>Powered by Refinitiv</v>
    <v>214.71</v>
    <v>133.77000000000001</v>
    <v>0.4824</v>
    <v>-0.42</v>
    <v>-2.2680000000000001E-3</v>
    <v>0.02</v>
    <v>1.082E-4</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43039</v>
    <v>New York Stock Exchange</v>
    <v>XNYS</v>
    <v>XNYS</v>
    <v>1400 SMITH STREET, HOUSTON, TX, 77002 US</v>
    <v>188.37</v>
    <v>Oil &amp; Gas</v>
    <v>Stock</v>
    <v>46139.933460034372</v>
    <v>131</v>
    <v>183.67</v>
    <v>368083016210</v>
    <v>CHEVRON CORPORATION</v>
    <v>CHEVRON CORPORATION</v>
    <v>186.19</v>
    <v>27.805099999999999</v>
    <v>185.21</v>
    <v>184.79</v>
    <v>184.8</v>
    <v>1991899000</v>
    <v>CVX</v>
    <v>CHEVRON CORPORATION (XNYS:CVX)</v>
    <v>10833561</v>
    <v>13016701</v>
    <v>1926</v>
  </rv>
  <rv s="2">
    <v>132</v>
  </rv>
  <rv s="0">
    <v>https://www.bing.com/financeapi/forcetrigger?t=amftc7&amp;q=BMEX%3aCIE&amp;form=skydnc</v>
    <v>Learn more on Bing</v>
  </rv>
  <rv s="3">
    <v>6</v>
    <v>CIE Automotive SA (BMEX:CIE)</v>
    <v>2</v>
    <v>7</v>
    <v>Finance</v>
    <v>8</v>
    <v>en</v>
    <v>amftc7</v>
    <v>268435456</v>
    <v>1</v>
    <v>Powered by Refinitiv</v>
    <v>33</v>
    <v>22.9</v>
    <v>0.89139999999999997</v>
    <v>-0.05</v>
    <v>-1.7669999999999999E-3</v>
    <v>EUR</v>
    <v>CIE Automotive SA is a Spain-based company engaged, through its subsidiaries, in the production of biofuels, as well as in the supply of components and subassemblies for the automotive industry. The Company is also involved in the Information Technology (IT) sector, with the provision of technological solutions for the healthcare, education, sustainability, transport and communications sectors. The Company is a parent of Grupo CIE Automotive, a group which comprises a number of controlled entities with operations established in Spain, Portugal, France, Lithuania, Morocco, Czech Republic, Romania, Brazil, Argentina, China, Russia, Guatemala and Mexico, among others. The Company has such subsidiaries as Global Dominion Access SA, CIE Inversiones e Inmuebles Sociedad Limitada and CIE Berriz Sociedad Limitada, among others. In February 2014, the Company acquired a 50% stake in RS Automotive NV owned by VEP Fund I Holding Cooperatief WA.</v>
    <v>25902</v>
    <v>Bolsas y Mercados Espanoles</v>
    <v>BMEX</v>
    <v>BMEX</v>
    <v>Alameda Mazarredo 69, 8, BILBAO, VIZCAYA, 48009 ES</v>
    <v>28.6</v>
    <v>Automobiles &amp; Auto Parts</v>
    <v>Stock</v>
    <v>46139.666666666664</v>
    <v>134</v>
    <v>27.7</v>
    <v>3558282000</v>
    <v>CIE Automotive SA</v>
    <v>CIE Automotive SA</v>
    <v>28.1</v>
    <v>10.0974</v>
    <v>28.3</v>
    <v>28.25</v>
    <v>119807500</v>
    <v>CIE</v>
    <v>CIE Automotive SA (BMEX:CIE)</v>
    <v>40380</v>
    <v>51980</v>
    <v>1939</v>
  </rv>
  <rv s="2">
    <v>135</v>
  </rv>
  <rv s="0">
    <v>https://www.bing.com/financeapi/forcetrigger?t=c2ee3m&amp;q=XNYS%3aYOU&amp;form=skydnc</v>
    <v>Learn more on Bing</v>
  </rv>
  <rv s="1">
    <v>0</v>
    <v>CLEAR SECURE, INC. (XNYS:YOU)</v>
    <v>2</v>
    <v>3</v>
    <v>Finance</v>
    <v>4</v>
    <v>en</v>
    <v>c2ee3m</v>
    <v>268435456</v>
    <v>1</v>
    <v>Powered by Refinitiv</v>
    <v>59.515000000000001</v>
    <v>23.6572</v>
    <v>1.1143000000000001</v>
    <v>-7.0000000000000007E-2</v>
    <v>-1.2770000000000001E-3</v>
    <v>-0.54759999999999998</v>
    <v>-1.0003999999999999E-2</v>
    <v>USD</v>
    <v>Clear Secure, Inc. is a secure identity company. Its secure identity platform is a multi-layered infrastructure consisting of both its front-end, including enrollment, verification and linking and its robust, secure, and scalable backend. It confirms identity on an opt-in basis using document authentication, biometric capture technology, liveness detection for anti-spoofing technologies, biometric matching, and other proprietary technologies to link an individual’s identity with their biometrics. It offers CLEAR Plus, TSA PreCheck Enrollment Provided by CLEAR, CLEAR app, CLEAR Mobile, CLEAR Plus Members, and CLEAR1. CLEAR Plus is its consumer aviation subscription service, which enables access to predictable and fast experiences through dedicated entry lanes in airport security checkpoints across the nation as well as access to its broader network. CLEAR app offers consumer products, including Home to Gate, a feature to help travelers plan their trip to the airport.</v>
    <v>3301</v>
    <v>New York Stock Exchange</v>
    <v>XNYS</v>
    <v>XNYS</v>
    <v>85 10Th Ave., 9Th Floor, NEW YORK, NY, 10011 US</v>
    <v>55.712800000000001</v>
    <v>Software &amp; IT Services</v>
    <v>Stock</v>
    <v>46139.913451238281</v>
    <v>137</v>
    <v>54.447499999999998</v>
    <v>7316619562</v>
    <v>CLEAR SECURE, INC.</v>
    <v>CLEAR SECURE, INC.</v>
    <v>55.25</v>
    <v>48.875</v>
    <v>54.81</v>
    <v>54.74</v>
    <v>54.192399999999999</v>
    <v>133661300</v>
    <v>YOU</v>
    <v>CLEAR SECURE, INC. (XNYS:YOU)</v>
    <v>829919</v>
    <v>1896208</v>
    <v>2021</v>
  </rv>
  <rv s="2">
    <v>138</v>
  </rv>
  <rv s="0">
    <v>https://www.bing.com/financeapi/forcetrigger?t=bzu86h&amp;q=XNAS%3aCOIN&amp;form=skydnc</v>
    <v>Learn more on Bing</v>
  </rv>
  <rv s="1">
    <v>0</v>
    <v>COINBASE GLOBAL, INC. (XNAS:COIN)</v>
    <v>2</v>
    <v>3</v>
    <v>Finance</v>
    <v>5</v>
    <v>en</v>
    <v>bzu86h</v>
    <v>268435456</v>
    <v>1</v>
    <v>Powered by Refinitiv</v>
    <v>444.64499999999998</v>
    <v>139.36000000000001</v>
    <v>3.4618000000000002</v>
    <v>-3.06</v>
    <v>-1.5318E-2</v>
    <v>0.65</v>
    <v>3.3050000000000002E-3</v>
    <v>USD</v>
    <v>Coinbase Global, Inc. is a holding company of Coinbase, Inc. and other subsidiaries. The Company provides a platform that serves as a compliant on-ramp to the onchain economy and enables users to engage in a variety of activities with their crypto assets in both proprietary and third-party product experiences enabled by access to decentralized applications. It offers consumers their primary financial account for the onchain economy; institutions a full-service prime brokerage platform with access to deep pools of liquidity across the crypto marketplace, and developers a suite of products granting access to build onchain. The Company offers products and services to various customer groups: consumers, businesses, institutions, and developers. Its transaction products consist of consumer trading, prime trading, markets, base protocol and Coinbase wallet. The Company also provides market infrastructure in the form of exchanges for customers to trade spots and derivatives.</v>
    <v>4951</v>
    <v>Nasdaq Stock Market</v>
    <v>XNAS</v>
    <v>XNAS</v>
    <v>One Madison Avenue, Suite 2400, NEW YORK, NY, 10010 US</v>
    <v>204.49</v>
    <v>Financial Technology (Fintech) &amp; Infrastructure</v>
    <v>Stock</v>
    <v>46139.935392939064</v>
    <v>140</v>
    <v>195.25</v>
    <v>51946232592</v>
    <v>COINBASE GLOBAL, INC.</v>
    <v>COINBASE GLOBAL, INC.</v>
    <v>199.1</v>
    <v>45.096299999999999</v>
    <v>199.77</v>
    <v>196.71</v>
    <v>197.33</v>
    <v>264075200</v>
    <v>COIN</v>
    <v>COINBASE GLOBAL, INC. (XNAS:COIN)</v>
    <v>7831480</v>
    <v>10921516</v>
    <v>2025</v>
  </rv>
  <rv s="2">
    <v>141</v>
  </rv>
  <rv s="0">
    <v>https://www.bing.com/financeapi/forcetrigger?t=a1pzu2&amp;q=XNAS%3aCNDT&amp;form=skydnc</v>
    <v>Learn more on Bing</v>
  </rv>
  <rv s="1">
    <v>0</v>
    <v>CONDUENT INCORPORATED (XNAS:CNDT)</v>
    <v>2</v>
    <v>3</v>
    <v>Finance</v>
    <v>4</v>
    <v>en</v>
    <v>a1pzu2</v>
    <v>268435456</v>
    <v>1</v>
    <v>Powered by Refinitiv</v>
    <v>2.98</v>
    <v>1.1499999999999999</v>
    <v>1.421</v>
    <v>0</v>
    <v>0</v>
    <v>0</v>
    <v>0</v>
    <v>USD</v>
    <v>Conduent Incorporated is a global technology-led business process solutions and services company. The Company’s Commercial segment provides business process services that span its clients’ business processes end-to-end from the front-office to the back-office for a variety of commercial industries. Its technology-led solutions and services include Customer Experience Management (CXM), Business Operations Solutions (BOS), Healthcare Claims and Administration Solutions and Human Capital Solutions (HCS). Its Government segment provides government-centric services and solutions to U.S. federal, state, local and foreign governments for public assistance, healthcare programs and administration, transaction processing, payment services and case management. Its Transportation segment provides systems, support and revenue-generating solutions to government transportation agency clients. It delivers mission-critical tolling, transit and digital payment solutions that streamline operations.</v>
    <v>51000</v>
    <v>Nasdaq Stock Market</v>
    <v>XNAS</v>
    <v>XNAS</v>
    <v>100 Campus Dr, FLORHAM PARK, NJ, 07932 US</v>
    <v>1.77</v>
    <v>Software &amp; IT Services</v>
    <v>Stock</v>
    <v>46139.892870647658</v>
    <v>143</v>
    <v>1.7</v>
    <v>263664560</v>
    <v>CONDUENT INCORPORATED</v>
    <v>CONDUENT INCORPORATED</v>
    <v>1.71</v>
    <v>0</v>
    <v>1.7</v>
    <v>1.7</v>
    <v>1.7</v>
    <v>155096800</v>
    <v>CNDT</v>
    <v>CONDUENT INCORPORATED (XNAS:CNDT)</v>
    <v>812049</v>
    <v>1292297</v>
    <v>2016</v>
  </rv>
  <rv s="2">
    <v>144</v>
  </rv>
  <rv s="0">
    <v>https://www.bing.com/financeapi/forcetrigger?t=af755r&amp;q=XFRA%3aCON&amp;form=skydnc</v>
    <v>Learn more on Bing</v>
  </rv>
  <rv s="4">
    <v>9</v>
    <v>Continental AG (XFRA:CON)</v>
    <v>2</v>
    <v>10</v>
    <v>Finance</v>
    <v>8</v>
    <v>en</v>
    <v>af755r</v>
    <v>268435456</v>
    <v>1</v>
    <v>Powered by Refinitiv</v>
    <v>247</v>
    <v>44.47</v>
    <v>1.4581</v>
    <v>-1.22</v>
    <v>-1.8534999999999999E-2</v>
    <v>EUR</v>
    <v>Continental AG is a Germany-based company offering mobility solutions to automotive sector. The Company operates in four group sectors: Automotive, Tires, ContiTech and Contract Manufacturing. Automotive sector offers technologies for safety, brake, chassis, motion and motion-control systems, which is divided into five business areas: Architecture and Networking, Autonomous Mobility, Safety and Motion, Software and Central Technologies and User Experience. Tires sector offers solutions in tire technology, which is divided into five business areas: Original Equipment, Replacement APAC, Replacement EMEA, Replacement The Americas and Specialty Tires. ContiTech group sector develops products and systems made from rubber, plastic, metal, and textiles. It is divided into five business areas: Industrial Solutions Americas, Industrial Solutions APAC, Industrial Solutions EMEA, Original Equipment Solutions and Surface Solutions. Contract Manufacturing sector handles contract manufacturing.</v>
    <v>92653</v>
    <v>Deutsche Boerse AG</v>
    <v>XFRA</v>
    <v>XFRA</v>
    <v>Continental-Plaza 1, HANNOVER, NIEDERSACHSEN, 30175 DE</v>
    <v>65.42</v>
    <v>Automobiles &amp; Auto Parts</v>
    <v>Stock</v>
    <v>46139.836805555555</v>
    <v>146</v>
    <v>64</v>
    <v>13536410000</v>
    <v>Continental AG</v>
    <v>Continental AG</v>
    <v>65.42</v>
    <v>65.819999999999993</v>
    <v>64.599999999999994</v>
    <v>200006000</v>
    <v>CON</v>
    <v>Continental AG (XFRA:CON)</v>
    <v>105</v>
    <v>372240</v>
    <v>1871</v>
  </rv>
  <rv s="2">
    <v>147</v>
  </rv>
  <rv s="8">
    <v>18</v>
    <v>Aumovio Se (XFRA:AMV0)</v>
    <v>17</v>
    <v>19</v>
    <v>Finance</v>
    <v>8</v>
    <v>en</v>
    <v>ci4tbh</v>
    <v>268435456</v>
    <v>1</v>
    <v>Powered by Refinitiv</v>
    <v>0.75</v>
    <v>2.0297999999999997E-2</v>
    <v>EUR</v>
    <v>AUMOVIO SE is a Germany-based company operating in the automotive sector. The Company is engaged in the development and production of electrical, electronic, mechatronic, and mechanical components, as well as software, modules, and systems for automotive applications. It also provides related services in the field of automotive technology. Its product portfolio includes solutions for assisted and automated driving, display technologies, braking systems, comfort systems, and camera-based interior monitoring. In addition, AUMOVIO SE develops intelligent information and communication technologies designed for mobility services, particularly for fleet operators and manufacturers of commercial vehicles.</v>
    <v>81752</v>
    <v>Deutsche Boerse AG</v>
    <v>XFRA</v>
    <v>XFRA</v>
    <v>Guerickestrasse 7, FRANKFURT AM MAIN, HESSEN, 60488 DE</v>
    <v>37.700000000000003</v>
    <v>Automobiles &amp; Auto Parts</v>
    <v>Stock</v>
    <v>46139.836805555555</v>
    <v>35.85</v>
    <v>4570329000</v>
    <v>Aumovio Se</v>
    <v>Aumovio Se</v>
    <v>35.85</v>
    <v>36.950000000000003</v>
    <v>37.700000000000003</v>
    <v>100051000</v>
    <v>AMV0</v>
    <v>Aumovio Se (XFRA:AMV0)</v>
    <v>248</v>
    <v>151540</v>
    <v>2024</v>
  </rv>
  <rv s="2">
    <v>149</v>
  </rv>
  <rv s="0">
    <v>https://www.bing.com/financeapi/forcetrigger?t=ae79f2&amp;q=XPAR%3aACA&amp;form=skydnc</v>
    <v>Learn more on Bing</v>
  </rv>
  <rv s="5">
    <v>11</v>
    <v>Credit Agricole SA (XPAR:ACA)</v>
    <v>2</v>
    <v>12</v>
    <v>Finance</v>
    <v>8</v>
    <v>en</v>
    <v>ae79f2</v>
    <v>268435456</v>
    <v>1</v>
    <v>Powered by Refinitiv</v>
    <v>19.149999999999999</v>
    <v>15.29</v>
    <v>1.0105999999999999</v>
    <v>0.04</v>
    <v>2.3400000000000001E-3</v>
    <v>EUR</v>
    <v>Credit Agricole SA is a France-based banking group. The Company provides retail banking activities in France (Crdit Lyonnais) and abroad. It offers banking and insurance services through a network of regional, local banks and branches. It provides asset management, insurance and private banking, assets under management. The Company offers activities, such as finance, investment, and market banking standard, specialized bank financing, stock operations, consulting in mergers and acquisitions, investment capital, etc. Its retail banking LCL is organized in four business lines: retail banking for individual customers, retail banking for small businesses, private banking, and corporate banking. The company provide financial products and services to individual customers, small businesses, corporates, and local authorities in France and abroad.</v>
    <v>81948</v>
    <v>Euronext Paris</v>
    <v>XPAR</v>
    <v>XPAR</v>
    <v>12 PLACE DES ETATS UNIS, 92120 FR</v>
    <v>17.23</v>
    <v>Banking Services</v>
    <v>Stock</v>
    <v>46139.666666666664</v>
    <v>151</v>
    <v>17.015000000000001</v>
    <v>53755160000</v>
    <v>Credit Agricole SA</v>
    <v>Credit Agricole SA</v>
    <v>17.085000000000001</v>
    <v>7.8421000000000003</v>
    <v>17.094999999999999</v>
    <v>17.135000000000002</v>
    <v>3025902000</v>
    <v>ACA</v>
    <v>Credit Agricole SA (XPAR:ACA)</v>
    <v>2524065</v>
    <v>3852620</v>
  </rv>
  <rv s="2">
    <v>152</v>
  </rv>
  <rv s="0">
    <v>https://www.bing.com/financeapi/forcetrigger?t=a1qapr&amp;q=XNAS%3aCRBP&amp;form=skydnc</v>
    <v>Learn more on Bing</v>
  </rv>
  <rv s="1">
    <v>0</v>
    <v>CORBUS PHARMACEUTICALS HOLDINGS, INC. (XNAS:CRBP)</v>
    <v>2</v>
    <v>3</v>
    <v>Finance</v>
    <v>4</v>
    <v>en</v>
    <v>a1qapr</v>
    <v>268435456</v>
    <v>1</v>
    <v>Powered by Refinitiv</v>
    <v>20.56</v>
    <v>6.1</v>
    <v>2.7189000000000001</v>
    <v>0.02</v>
    <v>1.9880000000000002E-3</v>
    <v>0.21</v>
    <v>2.0833000000000001E-2</v>
    <v>USD</v>
    <v>Corbus Pharmaceuticals Holdings, Inc. is an oncology and obesity company. The Company has a diversified portfolio and is committed to helping people defeat serious illness by bringing scientific approaches to well-understood biological pathways. The Company’s oncology pipeline comprises two experimental drugs targeting solid tumors: CRB-701, an antibody drug conjugate (ADC) that targets the expression of Nectin-4 on cancer cells to release a cytotoxic payload, and CRB-601, an anti-integrin monoclonal antibody that blocks the activation of TGFB expressed on cancer cells. CRB-701 is a monoclonal antibody attached to a monomethyl auristatin E (MMAE) cytotoxic payload using a proprietary linker technology. The pipeline also includes CRB-913, a highly peripherally restricted cannabinoid type-1 (CB1) receptor inverse agonist for the treatment of obesity. CB1 inverse agonism is a clinically validated mechanism to induce weight loss.</v>
    <v>36</v>
    <v>Nasdaq Stock Market</v>
    <v>XNAS</v>
    <v>XNAS</v>
    <v>500 River Ridge Drive, NORWOOD, MA, 02062 US</v>
    <v>10.79</v>
    <v>Biotechnology &amp; Medical Research</v>
    <v>Stock</v>
    <v>46139.901264825778</v>
    <v>154</v>
    <v>9.92</v>
    <v>178783516</v>
    <v>CORBUS PHARMACEUTICALS HOLDINGS, INC.</v>
    <v>CORBUS PHARMACEUTICALS HOLDINGS, INC.</v>
    <v>10.06</v>
    <v>0</v>
    <v>10.06</v>
    <v>10.08</v>
    <v>10.29</v>
    <v>17736460</v>
    <v>CRBP</v>
    <v>CORBUS PHARMACEUTICALS HOLDINGS, INC. (XNAS:CRBP)</v>
    <v>458096</v>
    <v>237226</v>
    <v>2013</v>
  </rv>
  <rv s="2">
    <v>155</v>
  </rv>
  <rv s="0">
    <v>https://www.bing.com/financeapi/forcetrigger?t=c4eo9c&amp;q=XFRA%3aDTG&amp;form=skydnc</v>
    <v>Learn more on Bing</v>
  </rv>
  <rv s="9">
    <v>20</v>
    <v>Daimler Truck Holding AG (XFRA:DTG)</v>
    <v>2</v>
    <v>21</v>
    <v>Finance</v>
    <v>8</v>
    <v>en</v>
    <v>c4eo9c</v>
    <v>268435456</v>
    <v>1</v>
    <v>Powered by Refinitiv</v>
    <v>1.2709999999999999</v>
    <v>-0.93</v>
    <v>-2.1093000000000001E-2</v>
    <v>EUR</v>
    <v>Daimler Truck Holding AG is a Germany-based company. The Company divides its business into Industrial Business and Financial Services. The Industrial Business comprises the vehicle segments Trucks North America, Mercedes-Benz, Trucks Asia, Daimler Buses and the reconciliation. Trucks Asia combines the business operations of Mitsubishi Fuso Truck and Bus Corporation (MFTBC) based in Japan and Daimler India Commercial Vehicles (DICV) in India. Daimler Buses is a full-service provider of buses and chassis with permissible gross weights exceeding eight tons. The Financial Services segment offers customers a complete package of vehicles, financing and leasing products and other services. The Company is the parent company of the Daimler Truck Group. The Daimler Truck Group unites eight vehicle brands under its umbrella: Freightliner, Thomas Built Buses, Western Star, Mercedes-Benz, FUSO, BharatBenz, RIZON, and Setra.</v>
    <v>108476</v>
    <v>Deutsche Boerse AG</v>
    <v>XFRA</v>
    <v>XFRA</v>
    <v>Fasanenweg 10, LEINFELDEN-ECHTERDINGEN, BADEN-WUERTTEMBERG, 70771 DE</v>
    <v>44</v>
    <v>Machinery, Equipment &amp; Components</v>
    <v>Stock</v>
    <v>46139.836805555555</v>
    <v>157</v>
    <v>43.16</v>
    <v>30876660000</v>
    <v>Daimler Truck Holding AG</v>
    <v>Daimler Truck Holding AG</v>
    <v>43.97</v>
    <v>17.87</v>
    <v>44.09</v>
    <v>43.16</v>
    <v>765600400</v>
    <v>DTG</v>
    <v>Daimler Truck Holding AG (XFRA:DTG)</v>
    <v>4687</v>
    <v>938190</v>
    <v>2021</v>
  </rv>
  <rv s="2">
    <v>158</v>
  </rv>
  <rv s="0">
    <v>https://www.bing.com/financeapi/forcetrigger?t=a1r1r7&amp;q=XNYS%3aDHR&amp;form=skydnc</v>
    <v>Learn more on Bing</v>
  </rv>
  <rv s="1">
    <v>0</v>
    <v>DANAHER CORPORATION (XNYS:DHR)</v>
    <v>2</v>
    <v>3</v>
    <v>Finance</v>
    <v>5</v>
    <v>en</v>
    <v>a1r1r7</v>
    <v>268435456</v>
    <v>1</v>
    <v>Powered by Refinitiv</v>
    <v>242.8</v>
    <v>175</v>
    <v>0.81910000000000005</v>
    <v>3.34</v>
    <v>1.8843000000000002E-2</v>
    <v>0.31</v>
    <v>1.7160000000000001E-3</v>
    <v>USD</v>
    <v>Danaher Corporation is a global life sciences and diagnostics innovator. The Company operates through three segments: Biotechnology, Life Sciences and Diagnostics. The Biotechnology segment includes the bioprocessing and discovery and medical businesses and offers a range of equipment, consumables and services that are primarily used by customers to advance and accelerate the research, development, manufacture and delivery of biological medicines. The Life Sciences segment offers a broad range of instruments, consumables, services and software that are primarily used by customers to study the basic building blocks of life, including deoxyribonucleic acid (DNA) and ribonucleic acid (RNA), nucleic acid, proteins, metabolites and cells. The Diagnostics segment offers clinical instruments, consumables, software and services that hospitals, physicians' offices, reference laboratories and other critical care settings use to diagnose disease and make treatment decisions.</v>
    <v>58000</v>
    <v>New York Stock Exchange</v>
    <v>XNYS</v>
    <v>XNYS</v>
    <v>2200 Pennsylvania Ave NW Ste 800W, WASHINGTON, DC, 20037-1701 US</v>
    <v>181.45</v>
    <v>Healthcare Equipment &amp; Supplies</v>
    <v>Stock</v>
    <v>46139.92530561328</v>
    <v>160</v>
    <v>176.51</v>
    <v>127816292654</v>
    <v>DANAHER CORPORATION</v>
    <v>DANAHER CORPORATION</v>
    <v>176.76</v>
    <v>35.061900000000001</v>
    <v>177.25</v>
    <v>180.59</v>
    <v>180.93</v>
    <v>707770600</v>
    <v>DHR</v>
    <v>DANAHER CORPORATION (XNYS:DHR)</v>
    <v>5322878</v>
    <v>4488851</v>
    <v>1986</v>
  </rv>
  <rv s="2">
    <v>161</v>
  </rv>
  <rv s="0">
    <v>https://www.bing.com/financeapi/forcetrigger?t=brjvjc&amp;q=XNAS%3aDDOG&amp;form=skydnc</v>
    <v>Learn more on Bing</v>
  </rv>
  <rv s="1">
    <v>0</v>
    <v>DATADOG, INC. (XNAS:DDOG)</v>
    <v>2</v>
    <v>3</v>
    <v>Finance</v>
    <v>5</v>
    <v>en</v>
    <v>brjvjc</v>
    <v>268435456</v>
    <v>1</v>
    <v>Powered by Refinitiv</v>
    <v>201.69</v>
    <v>98.010099999999994</v>
    <v>1.2856000000000001</v>
    <v>3.18</v>
    <v>2.4559999999999998E-2</v>
    <v>0.41499999999999998</v>
    <v>3.1280000000000001E-3</v>
    <v>USD</v>
    <v>Datadog, Inc. provides an observability and security platform for cloud applications. The Company’s SaaS platform integrates and automates infrastructure monitoring, application performance monitoring, log management, user experience monitoring, cloud security and many other capabilities to provide unified, real-time observability and security for its customers’ entire technology stack. Its platform consists of products that can be used individually or as a unified solution and includes a marketplace where customers can access products built by its partners on top of the Datadog platform. Its products include Infrastructure Monitoring, Application Performance Monitoring, Log Management, Digital Experience Monitoring, Continuous Profiler, Database Monitoring, Data Observability, Universal Service Monitoring, Network Monitoring and others. It owns Metaplane, an end-to-end data observability platform that provides advanced machine learning-powered monitoring and column-level lineage.</v>
    <v>8100</v>
    <v>Nasdaq Stock Market</v>
    <v>XNAS</v>
    <v>XNAS</v>
    <v>620 8th Avenue, 45th Floor, NEW YORK, NY, 10018 US</v>
    <v>133.58000000000001</v>
    <v>Software &amp; IT Services</v>
    <v>Stock</v>
    <v>46139.934898506253</v>
    <v>163</v>
    <v>128</v>
    <v>46941913458</v>
    <v>DATADOG, INC.</v>
    <v>DATADOG, INC.</v>
    <v>129.4</v>
    <v>411.46559999999999</v>
    <v>129.47999999999999</v>
    <v>132.66</v>
    <v>133.07499999999999</v>
    <v>353851300</v>
    <v>DDOG</v>
    <v>DATADOG, INC. (XNAS:DDOG)</v>
    <v>3686303</v>
    <v>4788254</v>
    <v>2010</v>
  </rv>
  <rv s="2">
    <v>164</v>
  </rv>
  <rv s="0">
    <v>https://www.bing.com/financeapi/forcetrigger?t=afej9c&amp;q=XFRA%3aLHA&amp;form=skydnc</v>
    <v>Learn more on Bing</v>
  </rv>
  <rv s="3">
    <v>6</v>
    <v>Deutsche Lufthansa AG (XFRA:LHA)</v>
    <v>2</v>
    <v>7</v>
    <v>Finance</v>
    <v>8</v>
    <v>en</v>
    <v>afej9c</v>
    <v>268435456</v>
    <v>1</v>
    <v>Powered by Refinitiv</v>
    <v>29.16</v>
    <v>5.26</v>
    <v>1.3086</v>
    <v>-7.1999999999999995E-2</v>
    <v>-9.7169999999999999E-3</v>
    <v>EUR</v>
    <v>Deutsche Lufthansa AG is a Germany-based aviation company, which provides passenger and cargo air transportation services worldwide. The Company's segments include Passenger Airlines, Logistics, MRO and Catering. The Passenger Airlines segment includes Lufthansa Airlines, SWISS, Austrian Airlines, Brussels Airlines and Eurowings. The Logistics segment includes the airfreight container management specialist Jettainer group, the time:matters Group, which specialises in urgent shipments, the subsidiary Heyworld, which specialises in tailored solutions for the e-commerce sector, CB Customs Broker, the customs and customs clearance specialist, and the Lufthansa Group’s 50% stake in the cargo airline AeroLogic. The MRO segment, represented by the Lufthansa Technik group, is a global provider of maintenance, repair and overhaul services for civil and commercial aircraft. The Catering segment consists of traditional catering and onboard retail along with food commerce activities.</v>
    <v>103255</v>
    <v>Deutsche Boerse AG</v>
    <v>XFRA</v>
    <v>XFRA</v>
    <v>Venloer Strasse 151-153, KOELN, NORDRHEIN-WESTFALEN, 50672 DE</v>
    <v>7.3680000000000003</v>
    <v>Passenger Transportation Services</v>
    <v>Stock</v>
    <v>46139.836805555555</v>
    <v>166</v>
    <v>7.2</v>
    <v>10436160000</v>
    <v>Deutsche Lufthansa AG</v>
    <v>Deutsche Lufthansa AG</v>
    <v>7.3019999999999996</v>
    <v>6.64</v>
    <v>7.41</v>
    <v>7.3380000000000001</v>
    <v>1199283000</v>
    <v>LHA</v>
    <v>Deutsche Lufthansa AG (XFRA:LHA)</v>
    <v>45013</v>
    <v>7360410</v>
    <v>1953</v>
  </rv>
  <rv s="2">
    <v>167</v>
  </rv>
  <rv s="0">
    <v>https://www.bing.com/financeapi/forcetrigger?t=af7tpr&amp;q=XFRA%3aDB1&amp;form=skydnc</v>
    <v>Learn more on Bing</v>
  </rv>
  <rv s="3">
    <v>6</v>
    <v>Deutsche Boerse AG (XFRA:DB1)</v>
    <v>2</v>
    <v>7</v>
    <v>Finance</v>
    <v>8</v>
    <v>en</v>
    <v>af7tpr</v>
    <v>268435456</v>
    <v>1</v>
    <v>Powered by Refinitiv</v>
    <v>294.7</v>
    <v>93.18</v>
    <v>0.36809999999999998</v>
    <v>-1.3</v>
    <v>-4.8470000000000006E-3</v>
    <v>EUR</v>
    <v>Deutsche Boerse AG is a Germany-based exchange organization. The Company is a provider of capital market infrastructure worldwide. It also offers a broad range of products and services along the value chain of financial market transactions. The Company’ business takes place e in four segments: Investment Management Solutions, Trading &amp; Clearing, Fund Services and Securities Services. Investment Management Solutions provides data driven products, index families and software-as-a-service (SaaS) solutions. Trading and clearing segment organise and operate regulated markets for securities, derivatives, commodities, currencies and other asset classes. Fund services segment provide trend towards outsourcing of fund distribution operations. Securities Services segment provides range in fixed-income securities services</v>
    <v>16475</v>
    <v>Deutsche Boerse AG</v>
    <v>XFRA</v>
    <v>XFRA</v>
    <v>Mergenthalerallee 61, ESCHBORN, HESSEN, 65760 DE</v>
    <v>267.5</v>
    <v>Investment Banking &amp; Investment Services</v>
    <v>Stock</v>
    <v>46139.836805555555</v>
    <v>169</v>
    <v>265</v>
    <v>39354700000</v>
    <v>Deutsche Boerse AG</v>
    <v>Deutsche Boerse AG</v>
    <v>266.8</v>
    <v>24.34</v>
    <v>268.2</v>
    <v>266.89999999999998</v>
    <v>186300000</v>
    <v>DB1</v>
    <v>Deutsche Boerse AG (XFRA:DB1)</v>
    <v>554</v>
    <v>434970</v>
    <v>1990</v>
  </rv>
  <rv s="2">
    <v>170</v>
  </rv>
  <rv s="0">
    <v>https://www.bing.com/financeapi/forcetrigger?t=azqpgh&amp;q=XNAS%3aDOCU&amp;form=skydnc</v>
    <v>Learn more on Bing</v>
  </rv>
  <rv s="1">
    <v>0</v>
    <v>DOCUSIGN, INC. (XNAS:DOCU)</v>
    <v>2</v>
    <v>3</v>
    <v>Finance</v>
    <v>5</v>
    <v>en</v>
    <v>azqpgh</v>
    <v>268435456</v>
    <v>1</v>
    <v>Powered by Refinitiv</v>
    <v>94.67</v>
    <v>40.159999999999997</v>
    <v>0.89610000000000001</v>
    <v>-0.56000000000000005</v>
    <v>-1.2116E-2</v>
    <v>-0.15</v>
    <v>-3.2850000000000002E-3</v>
    <v>USD</v>
    <v>DocuSign, Inc. provides intelligent agreement management (IAM) platform an eSignature solution, and contract lifecycle management (CLM) solution - allow organizations to increase productivity, accelerate contract review cycles, and transform agreement data into insights and actions. The Company’s IAM platform automates agreement workflows, uncovers actionable insights, and leverages artificial intelligence (AI) capabilities, enabling organizations to create, commit, and manage agreements virtually. Its products include eSignature, CLM, IAM Apps, and Add-on Products. Its Add-on Products include Payments to collect payments along with signed agreements; Identity and standards-based signature for enhanced signer-identification and signatures with digital certification; Notary for remote online notarization; Monitor for advanced analytics; Gen for Salesforce for automated agreement generation within Salesforce, among others.</v>
    <v>7044</v>
    <v>Nasdaq Stock Market</v>
    <v>XNAS</v>
    <v>XNAS</v>
    <v>221 Main St., Suite 1550, SAN FRANCISCO, CA, 94105 US</v>
    <v>46.97</v>
    <v>Software &amp; IT Services</v>
    <v>Stock</v>
    <v>46139.931123703122</v>
    <v>172</v>
    <v>45.6</v>
    <v>8871345324</v>
    <v>DOCUSIGN, INC.</v>
    <v>DOCUSIGN, INC.</v>
    <v>46.19</v>
    <v>31.211400000000001</v>
    <v>46.22</v>
    <v>45.66</v>
    <v>45.51</v>
    <v>194291400</v>
    <v>DOCU</v>
    <v>DOCUSIGN, INC. (XNAS:DOCU)</v>
    <v>1900589</v>
    <v>4285181</v>
    <v>2012</v>
  </rv>
  <rv s="2">
    <v>173</v>
  </rv>
  <rv s="0">
    <v>https://www.bing.com/financeapi/forcetrigger?t=af8xc7&amp;q=XFRA%3aEDP&amp;form=skydnc</v>
    <v>Learn more on Bing</v>
  </rv>
  <rv s="3">
    <v>6</v>
    <v>EDP SA (XFRA:EDP)</v>
    <v>2</v>
    <v>7</v>
    <v>Finance</v>
    <v>8</v>
    <v>en</v>
    <v>af8xc7</v>
    <v>268435456</v>
    <v>1</v>
    <v>Powered by Refinitiv</v>
    <v>5.6379999999999999</v>
    <v>2.5670000000000002</v>
    <v>1.0749</v>
    <v>2.5000000000000001E-2</v>
    <v>5.5510000000000004E-3</v>
    <v>EUR</v>
    <v>EDP SA, formerly EDP Energias de Portugal SA is a Brazil-based holding company that operates through its subsidiaries. The Group's businesses are focused on the generation, transmission, distribution and supply of electricity and supply of gas. Additionally, the Group also operates in related areas such as engineering, laboratory tests, professional training, energy services and property management. EDP's activities are divided into two business segments: Renewables, Clients &amp; Energy Management, that corresponds to the activity of generation of electricity from renewable sources, mainly hydro, wind and solar; and Networks, that corresponds to the activities of electricity distribution and transmission.</v>
    <v>11858</v>
    <v>Deutsche Boerse AG</v>
    <v>XFRA</v>
    <v>XFRA</v>
    <v>Avenida 24 de Julho, n 12, LISBOA, 1249-300 PT</v>
    <v>4.5289999999999999</v>
    <v>Electrical Utilities &amp; IPPs</v>
    <v>Stock</v>
    <v>46139.836805555555</v>
    <v>175</v>
    <v>4.5289999999999999</v>
    <v>17150300000</v>
    <v>EDP SA</v>
    <v>EDP SA</v>
    <v>4.5289999999999999</v>
    <v>16.010000000000002</v>
    <v>4.5039999999999996</v>
    <v>4.5289999999999999</v>
    <v>4184021000</v>
    <v>EDP</v>
    <v>EDP SA (XFRA:EDP)</v>
    <v>4993</v>
    <v>8500400</v>
    <v>1976</v>
  </rv>
  <rv s="2">
    <v>176</v>
  </rv>
  <rv s="0">
    <v>https://www.bing.com/financeapi/forcetrigger?t=a1rnec&amp;q=XNAS%3aEDIT&amp;form=skydnc</v>
    <v>Learn more on Bing</v>
  </rv>
  <rv s="1">
    <v>0</v>
    <v>EDITAS MEDICINE, INC. (XNAS:EDIT)</v>
    <v>2</v>
    <v>3</v>
    <v>Finance</v>
    <v>4</v>
    <v>en</v>
    <v>a1rnec</v>
    <v>268435456</v>
    <v>1</v>
    <v>Powered by Refinitiv</v>
    <v>4.5372000000000003</v>
    <v>1.29</v>
    <v>2.1204000000000001</v>
    <v>-0.02</v>
    <v>-6.8730000000000006E-3</v>
    <v>0.06</v>
    <v>2.0760999999999998E-2</v>
    <v>USD</v>
    <v>Editas Medicine, Inc. is a genome-editing company developing potentially transformative genomic medicines to treat a broad range of serious diseases. It has developed a proprietary gene editing platform based on CRISPR technology that includes CRISPR/Cas9, CRISPR/Cas12a, engineered forms and foundational intellectual property for both CRISPR systems. CRISPR uses a protein-RNA complex composed of an enzyme, including either Cas9 (CRISPR-associated protein 9) or Cas12a (CRISPR from Prevotella and Francisella 1, also known as Cpf1), bound to a guide RNA molecule designed to recognize a particular DNA sequence. It is engaged in discovering, developing, manufacturing, and commercializing durable, precision in vivo gene-editing medicines for a broad class of diseases. Vivo medicines include vivo editing of hematopoietic stem cells (HSCs), liver cells and other tissues. Vivo gene editing in HSCs supports the advancement of research programs to treat non-malignant hematological diseases.</v>
    <v>87</v>
    <v>Nasdaq Stock Market</v>
    <v>XNAS</v>
    <v>XNAS</v>
    <v>11 Hurley St, CAMBRIDGE, MA, 02141-2110 US</v>
    <v>3.12</v>
    <v>Biotechnology &amp; Medical Research</v>
    <v>Stock</v>
    <v>46139.915551435159</v>
    <v>178</v>
    <v>2.81</v>
    <v>282850080</v>
    <v>EDITAS MEDICINE, INC.</v>
    <v>EDITAS MEDICINE, INC.</v>
    <v>2.85</v>
    <v>0</v>
    <v>2.91</v>
    <v>2.89</v>
    <v>2.95</v>
    <v>97872000</v>
    <v>EDIT</v>
    <v>EDITAS MEDICINE, INC. (XNAS:EDIT)</v>
    <v>1769077</v>
    <v>1577745</v>
    <v>2013</v>
  </rv>
  <rv s="2">
    <v>179</v>
  </rv>
  <rv s="0">
    <v>https://www.bing.com/financeapi/forcetrigger?t=amfv7w&amp;q=BMEX%3aENG&amp;form=skydnc</v>
    <v>Learn more on Bing</v>
  </rv>
  <rv s="3">
    <v>6</v>
    <v>Enagas SA (BMEX:ENG)</v>
    <v>2</v>
    <v>7</v>
    <v>Finance</v>
    <v>8</v>
    <v>en</v>
    <v>amfv7w</v>
    <v>268435456</v>
    <v>1</v>
    <v>Powered by Refinitiv</v>
    <v>17.37</v>
    <v>13</v>
    <v>0.34589999999999999</v>
    <v>-0.06</v>
    <v>-3.5399999999999997E-3</v>
    <v>EUR</v>
    <v>Enagas SA is a Spain-based company primarily engaged in the gas transportation. The Company's activities are divided into three business segments: Infrastructure, Technical management and Unregulated activities. The Infrastructure division is structured into three areas: Gas transport, which offers gas transmission through pipelines network; Regasification, which transforms liquefied natural gas (LNG) into gas form and stores it in cryogenic tanks, and Storage, which operates underground natural gas storage facilities. The Technical management division focuses on coordinating the access, storage, transportation and distribution process, maintaining gas infrastructure and ensuring the continuity and security of gas supply. The Unregulated activities division includes deregulated operations and transactions. The Company is present in a number of countries, such as Spain, Greece, Albania, Italy, Mexico, Chile and Peru.</v>
    <v>1402</v>
    <v>Bolsas y Mercados Espanoles</v>
    <v>BMEX</v>
    <v>BMEX</v>
    <v>Paseo de los Olmos, 19, MADRID, MADRID, 28005 ES</v>
    <v>16.989999999999998</v>
    <v>Oil &amp; Gas Related Equipment and Services</v>
    <v>Stock</v>
    <v>46139.666666666664</v>
    <v>181</v>
    <v>16.850000000000001</v>
    <v>3559135000</v>
    <v>Enagas SA</v>
    <v>Enagas SA</v>
    <v>16.93</v>
    <v>13.4321</v>
    <v>16.95</v>
    <v>16.89</v>
    <v>261990100</v>
    <v>ENG</v>
    <v>Enagas SA (BMEX:ENG)</v>
    <v>534014</v>
    <v>1278840</v>
    <v>1972</v>
  </rv>
  <rv s="2">
    <v>182</v>
  </rv>
  <rv s="0">
    <v>https://www.bing.com/financeapi/forcetrigger?t=amfv52&amp;q=BMEX%3aENC&amp;form=skydnc</v>
    <v>Learn more on Bing</v>
  </rv>
  <rv s="10">
    <v>22</v>
    <v>Ence Energia y Celulosa SA (BMEX:ENC)</v>
    <v>2</v>
    <v>23</v>
    <v>Finance</v>
    <v>8</v>
    <v>en</v>
    <v>amfv52</v>
    <v>268435456</v>
    <v>1</v>
    <v>Powered by Refinitiv</v>
    <v>3.0379999999999998</v>
    <v>2.14</v>
    <v>0.6633</v>
    <v>-8.0000000000000002E-3</v>
    <v>-3.4009999999999999E-3</v>
    <v>EUR</v>
    <v>Ence Energia y Celulosa SA, formerly Grupo Empresarial ENCE SA, is a Spain-based company engaged in the operation of pulp mills. The Company's activities are divided into two business units: Pulp and Energy. The Pulp business unit is subdivided into three segments: Pulp, manufacturing pulp and pulp derivatives, such as lignin and biomass, as well as co-generating energy; Forest Management, providing forest crops and wood raw materials, and Forest Services &amp; Other, including residual business activities, as well as forest support services. The Energy business unit focuses on generating energy using forestry and agricultural biomass, as well as, thermos and solar electric energy generation. The Company operates pulp mills and power generation plants in Spain.</v>
    <v>1342</v>
    <v>Bolsas y Mercados Espanoles</v>
    <v>BMEX</v>
    <v>BMEX</v>
    <v>C. de Estebanez Calderon, 3-5, 2a planta, MADRID, MADRID ES</v>
    <v>2.37</v>
    <v>Paper &amp; Forest Products</v>
    <v>Stock</v>
    <v>46139.666666666664</v>
    <v>184</v>
    <v>2.33</v>
    <v>577262800</v>
    <v>Ence Energia y Celulosa SA</v>
    <v>Ence Energia y Celulosa SA</v>
    <v>2.3660000000000001</v>
    <v>2.3519999999999999</v>
    <v>2.3439999999999999</v>
    <v>246272500</v>
    <v>ENC</v>
    <v>Ence Energia y Celulosa SA (BMEX:ENC)</v>
    <v>223996</v>
    <v>423620</v>
  </rv>
  <rv s="2">
    <v>185</v>
  </rv>
  <rv s="11">
    <v>24</v>
    <v>Eurogroup Laminations SpA (XMIL:EGLA)</v>
    <v>17</v>
    <v>25</v>
    <v>Finance</v>
    <v>13</v>
    <v>en</v>
    <v>c8sryc</v>
    <v>268435456</v>
    <v>1</v>
    <v>Powered by Refinitiv</v>
    <v>3.71</v>
    <v>1</v>
    <v>2E-3</v>
    <v>1.681E-3</v>
    <v>EUR</v>
    <v>Eurogroup Laminations SpA, formerly Euro Group SpA, is an Italy-based holding company. The Company, through its subsidiaries, is engaged in the design, production and distribution of stators and rotors for electric motors and generators. The Company's activities are divided into two business segments: EV &amp; Automotive and Industrial. EV &amp; Automotive division focuses on design and production of motor cores for electric motors used for the propulsion of electric vehicles, as well as for non-propulsion automotive applications. Industrial division focuses on designing and manufacturing products used in applications such as industrial, home automation, HVAC equipment, wind power and pumps, among the others. The Company is focused also on industrial, technical and commercial coordination, supervision and development for all controlled companies. The Company operates globally.</v>
    <v>2854</v>
    <v>Borsa Italiana</v>
    <v>XMIL</v>
    <v>XMIL</v>
    <v>Via Stella Rosa, 48, BARANZATE, MILANO, 20021 IT</v>
    <v>1.196</v>
    <v>Machinery, Equipment &amp; Components</v>
    <v>Stock</v>
    <v>46139.666666666664</v>
    <v>1.181</v>
    <v>317211100</v>
    <v>Eurogroup Laminations SpA</v>
    <v>Eurogroup Laminations SpA</v>
    <v>1.1910000000000001</v>
    <v>0</v>
    <v>1.19</v>
    <v>1.1919999999999999</v>
    <v>94016320</v>
    <v>EGLA</v>
    <v>Eurogroup Laminations SpA (XMIL:EGLA)</v>
    <v>122860</v>
    <v>443430</v>
    <v>2006</v>
  </rv>
  <rv s="2">
    <v>187</v>
  </rv>
  <rv s="12">
    <v>26</v>
    <v>Euronext NV (XETR:ENXB)</v>
    <v>17</v>
    <v>21</v>
    <v>Finance</v>
    <v>8</v>
    <v>en</v>
    <v>chy3tc</v>
    <v>268435456</v>
    <v>1</v>
    <v>Powered by Refinitiv</v>
    <v>0.73540000000000005</v>
    <v>0.7</v>
    <v>4.8509999999999994E-3</v>
    <v>EUR</v>
    <v>Euronext NV is a company based in the Netherlands that serves as a parent of the Euronext pan-European exchange group. Euronext offers a diverse range of products and services, combining equity, fixed income securities and derivatives markets in Amsterdam, Brussels, Dublin, Lisbon, London and Paris. The Company's businesses comprise listing, cash trading, derivatives trading, market data and indices, post-trade and market solutions, among others. Euronext regulated markets provide a listing venue for companies seeking to raise capital and enter the Eurozone. It provides an electronic trading platform, which enables investors to place orders directly with the exchange. The Company sells real time, historic and reference data generated from the activity on the Euronext markets. It also calculates and publishes a portfolio of more than 500 benchmark indices, including the AEX-Index and CAC 40 Index. The Company offers technology solutions and services to exchanges and market operators.</v>
    <v>2771</v>
    <v>Xetra</v>
    <v>XETR</v>
    <v>XETR</v>
    <v>Beursplein 5, AMSTERDAM, NOORD-HOLLAND, 1012 JW NL</v>
    <v>145</v>
    <v>Investment Banking &amp; Investment Services</v>
    <v>Stock</v>
    <v>46139.896006944444</v>
    <v>145</v>
    <v>12442790000</v>
    <v>Euronext NV</v>
    <v>Euronext NV</v>
    <v>145</v>
    <v>22.829699999999999</v>
    <v>144.30000000000001</v>
    <v>145</v>
    <v>103689900</v>
    <v>ENXB</v>
    <v>Euronext NV (XETR:ENXB)</v>
    <v>200</v>
    <v>237300</v>
    <v>2014</v>
  </rv>
  <rv s="2">
    <v>189</v>
  </rv>
  <rv s="0">
    <v>https://www.bing.com/financeapi/forcetrigger?t=ae8k27&amp;q=XPAR%3aERF&amp;form=skydnc</v>
    <v>Learn more on Bing</v>
  </rv>
  <rv s="3">
    <v>6</v>
    <v>Eurofins Scientific SE (XPAR:ERF)</v>
    <v>2</v>
    <v>7</v>
    <v>Finance</v>
    <v>8</v>
    <v>en</v>
    <v>ae8k27</v>
    <v>268435456</v>
    <v>1</v>
    <v>Powered by Refinitiv</v>
    <v>74.319999999999993</v>
    <v>53.34</v>
    <v>0.75580000000000003</v>
    <v>-0.26</v>
    <v>-4.2069999999999998E-3</v>
    <v>EUR</v>
    <v>Eurofins Scientific SE is a Luxembourg-based company engaged in the business support services industry. The Company joins a part of international group of laboratories providing a range of analytical testing services to the pharmaceutical, food, environmental and, consumer products industries and to governments. It operates through a number of subsidiaries, such as VRL Laboratories in the United States, Institut Nehring GmbH in Germany, Agfirst Bay of Plenty, a fruit maturity testing laboratory in New Zealand, and Megalab SA, a clinical diagnostic laboratory in Spain.</v>
    <v>65694</v>
    <v>Euronext Paris</v>
    <v>XPAR</v>
    <v>XPAR</v>
    <v>23 val Fleuri, LUXEMBOURG, 1526 LU</v>
    <v>63.3</v>
    <v>Biotechnology &amp; Medical Research</v>
    <v>Stock</v>
    <v>46139.666666666664</v>
    <v>191</v>
    <v>61.2</v>
    <v>13319760000</v>
    <v>Eurofins Scientific SE</v>
    <v>Eurofins Scientific SE</v>
    <v>62.32</v>
    <v>27.1219</v>
    <v>61.8</v>
    <v>61.54</v>
    <v>176000000</v>
    <v>ERF</v>
    <v>Eurofins Scientific SE (XPAR:ERF)</v>
    <v>376962</v>
    <v>363780</v>
    <v>2012</v>
  </rv>
  <rv s="2">
    <v>192</v>
  </rv>
  <rv s="0">
    <v>https://www.bing.com/financeapi/forcetrigger?t=af9nec&amp;q=XFRA%3aEVK&amp;form=skydnc</v>
    <v>Learn more on Bing</v>
  </rv>
  <rv s="3">
    <v>6</v>
    <v>Evonik Industries AG (XFRA:EVK)</v>
    <v>2</v>
    <v>7</v>
    <v>Finance</v>
    <v>8</v>
    <v>en</v>
    <v>af9nec</v>
    <v>268435456</v>
    <v>1</v>
    <v>Powered by Refinitiv</v>
    <v>32.86</v>
    <v>12.51</v>
    <v>0.65280000000000005</v>
    <v>0.14000000000000001</v>
    <v>8.005E-3</v>
    <v>EUR</v>
    <v>Evonik Industries AG is a Germany-based specialty chemicals company. The Company engages in the development, construction, distribution and trade of scientific equipment, chemicals and accessories for use in the fields of life sciences and biotechnology.</v>
    <v>31053</v>
    <v>Deutsche Boerse AG</v>
    <v>XFRA</v>
    <v>XFRA</v>
    <v>Rellinghauser Strasse 111, ESSEN, NORDRHEIN-WESTFALEN, 45128 DE</v>
    <v>17.690000000000001</v>
    <v>Chemicals</v>
    <v>Stock</v>
    <v>46139.836805555555</v>
    <v>194</v>
    <v>17.47</v>
    <v>6123240000</v>
    <v>Evonik Industries AG</v>
    <v>Evonik Industries AG</v>
    <v>17.53</v>
    <v>30.48</v>
    <v>17.489999999999998</v>
    <v>17.63</v>
    <v>466000000</v>
    <v>EVK</v>
    <v>Evonik Industries AG (XFRA:EVK)</v>
    <v>11720</v>
    <v>1254480</v>
    <v>2006</v>
  </rv>
  <rv s="2">
    <v>195</v>
  </rv>
  <rv s="0">
    <v>https://www.bing.com/financeapi/forcetrigger?t=amfvm7&amp;q=BMEX%3aFAE&amp;form=skydnc</v>
    <v>Learn more on Bing</v>
  </rv>
  <rv s="3">
    <v>6</v>
    <v>Faes Farma SA (BMEX:FAE)</v>
    <v>2</v>
    <v>7</v>
    <v>Finance</v>
    <v>8</v>
    <v>en</v>
    <v>amfvm7</v>
    <v>268435456</v>
    <v>1</v>
    <v>Powered by Refinitiv</v>
    <v>5.44</v>
    <v>4.0999999999999996</v>
    <v>0.42080000000000001</v>
    <v>-1.4999999999999999E-2</v>
    <v>-3.1250000000000002E-3</v>
    <v>EUR</v>
    <v>Faes Farma SA is a Spain-based company engaged in the pharmaceutical industry. The Company specializes in the research, production, distribution and sale of prescription and generic drugs, over-the-counter (OTC) medicines, food supplements and personal care treatments, as well as raw materials for the pharmaceutical use. The Company’s research lines are mainly focused on the development of new drugs for the treatment of allergy, venous insufficiency and irritable bowel syndrome, among others. In addition, it provides animal nutrition products. The Company operates in Spain, Portugal, Chile and Mexico, among others. It controls a number of subsidiaries, such as Laboratorios Vitoria SA, Laboratorios Veris SA, Lazlo International SA, Ingaso Farm SLU, Esfion SA and Biotecnet I MAS D SA.</v>
    <v>2671</v>
    <v>Bolsas y Mercados Espanoles</v>
    <v>BMEX</v>
    <v>BMEX</v>
    <v>Avda. Autonomia 10, LEIOA, VIZCAYA, 48940 ES</v>
    <v>4.8449999999999998</v>
    <v>Pharmaceuticals</v>
    <v>Stock</v>
    <v>46139.666666666664</v>
    <v>197</v>
    <v>4.78</v>
    <v>1641202000</v>
    <v>Faes Farma SA</v>
    <v>Faes Farma SA</v>
    <v>4.79</v>
    <v>18.764700000000001</v>
    <v>4.8</v>
    <v>4.7850000000000001</v>
    <v>316223900</v>
    <v>FAE</v>
    <v>Faes Farma SA (BMEX:FAE)</v>
    <v>83213</v>
    <v>113710</v>
    <v>1933</v>
  </rv>
  <rv s="2">
    <v>198</v>
  </rv>
  <rv s="13">
    <v>27</v>
    <v>Ferretti SpA (XMIL:YACHT)</v>
    <v>17</v>
    <v>28</v>
    <v>Finance</v>
    <v>13</v>
    <v>en</v>
    <v>ca4kkr</v>
    <v>268435456</v>
    <v>1</v>
    <v>Powered by Refinitiv</v>
    <v>4.8000000000000001E-2</v>
    <v>1.2048000000000001E-2</v>
    <v>EUR</v>
    <v>Ferretti SpA is an Italy-based company engaged in the global industry and production of luxury yachts belonging to heritage brands, such as Riva, Wally, Ferretti Yachts, Pershing, Itama, CRN and Custom Line. The Company designs, manufactures and sells luxury composite yachts, made-to-measure yachts and superyachts, offering a variety of features and a range of ancillary services. The Company owns and operates six shipyards and a production plant for interior fittings and furnishings. It is present globally.</v>
    <v>2074</v>
    <v>Borsa Italiana</v>
    <v>XMIL</v>
    <v>XMIL</v>
    <v>Via Ansaldo, 7, FORLI, FORLI-CESENA, 47122 IT</v>
    <v>4.1059999999999999</v>
    <v>Leisure Products</v>
    <v>Stock</v>
    <v>46139.666666666664</v>
    <v>3.7360000000000002</v>
    <v>1228015000</v>
    <v>Ferretti SpA</v>
    <v>Ferretti SpA</v>
    <v>3.9039999999999999</v>
    <v>14.9831</v>
    <v>3.984</v>
    <v>4.032</v>
    <v>338482600</v>
    <v>YACHT</v>
    <v>Ferretti SpA (XMIL:YACHT)</v>
    <v>1507591</v>
    <v>570310</v>
    <v>2004</v>
  </rv>
  <rv s="2">
    <v>200</v>
  </rv>
  <rv s="0">
    <v>https://www.bing.com/financeapi/forcetrigger?t=amfvrw&amp;q=BMEX%3aFDR&amp;form=skydnc</v>
    <v>Learn more on Bing</v>
  </rv>
  <rv s="3">
    <v>6</v>
    <v>Fluidra SA (BMEX:FDR)</v>
    <v>2</v>
    <v>7</v>
    <v>Finance</v>
    <v>8</v>
    <v>en</v>
    <v>amfvrw</v>
    <v>268435456</v>
    <v>1</v>
    <v>Powered by Refinitiv</v>
    <v>26.22</v>
    <v>18.39</v>
    <v>0.84770000000000001</v>
    <v>0.08</v>
    <v>3.8500000000000001E-3</v>
    <v>EUR</v>
    <v>Fluidra SA is a Spain-based company active in the pool and wellness equipment business. The Company provides products, services and Internet of Things solutions business-related. It owns a portfolio of brands, including Jandy, AstralPool, Polaris, Cepex, Zodiac, CTX Professional and Gre, among others. The Company operates in over 45 countries.</v>
    <v>6753</v>
    <v>Bolsas y Mercados Espanoles</v>
    <v>BMEX</v>
    <v>BMEX</v>
    <v>Av. Alcalde Barnils 69, 08174 ES</v>
    <v>21.08</v>
    <v>Leisure Products</v>
    <v>Stock</v>
    <v>46139.666666666664</v>
    <v>202</v>
    <v>20.78</v>
    <v>4718690000</v>
    <v>Fluidra SA</v>
    <v>Fluidra SA</v>
    <v>20.78</v>
    <v>22.4116</v>
    <v>20.78</v>
    <v>20.86</v>
    <v>192129100</v>
    <v>FDR</v>
    <v>Fluidra SA (BMEX:FDR)</v>
    <v>183887</v>
    <v>316540</v>
    <v>2002</v>
  </rv>
  <rv s="2">
    <v>203</v>
  </rv>
  <rv s="0">
    <v>https://www.bing.com/financeapi/forcetrigger?t=a1sxjc&amp;q=XNAS%3aFIVN&amp;form=skydnc</v>
    <v>Learn more on Bing</v>
  </rv>
  <rv s="1">
    <v>0</v>
    <v>FIVE9, INC. (XNAS:FIVN)</v>
    <v>2</v>
    <v>3</v>
    <v>Finance</v>
    <v>4</v>
    <v>en</v>
    <v>a1sxjc</v>
    <v>268435456</v>
    <v>1</v>
    <v>Powered by Refinitiv</v>
    <v>30.38</v>
    <v>13.29</v>
    <v>1.2975000000000001</v>
    <v>0.01</v>
    <v>6.0420000000000005E-4</v>
    <v>0.05</v>
    <v>3.019E-3</v>
    <v>USD</v>
    <v>Five9, Inc. helps organizations to create hyper-personalized artificial intelligence (AI)-driven customer experiences. The Company's Intelligent CX Platform, powered by its Five9 Genius AI suite, delivers a comprehensive suite of applications that enable customer service, sales, and marketing functions. It delivers a comprehensive, end-to-end cloud software solution for contact centers. Comprised of its Intelligent CX Platform and AI capabilities, including agentic AI agents, Agent Assist, Workflow Automation (WFA), AI Insights, AI Summaries, Workforce Engagement Management (WEM), and Revenue Execution, its solution allows simultaneous management and optimization of customer interactions across voice, chat, email, web, social media and mobile channels, either directly or through its application programming interfaces (APIs). The Company's agent interface is a browser-based design that provides visualization of customer profiles, context and cross-channel history.</v>
    <v>2910</v>
    <v>Nasdaq Stock Market</v>
    <v>XNAS</v>
    <v>XNAS</v>
    <v>3001 Bishop Drive, Suite 350, SAN RAMON, CA, 94583 US</v>
    <v>16.920000000000002</v>
    <v>Software &amp; IT Services</v>
    <v>Stock</v>
    <v>46139.924717117967</v>
    <v>205</v>
    <v>16.34</v>
    <v>1267899674</v>
    <v>FIVE9, INC.</v>
    <v>FIVE9, INC.</v>
    <v>16.518000000000001</v>
    <v>36.568899999999999</v>
    <v>16.55</v>
    <v>16.559999999999999</v>
    <v>16.61</v>
    <v>76563990</v>
    <v>FIVN</v>
    <v>FIVE9, INC. (XNAS:FIVN)</v>
    <v>2287607</v>
    <v>2053647</v>
    <v>2001</v>
  </rv>
  <rv s="2">
    <v>206</v>
  </rv>
  <rv s="0">
    <v>https://www.bing.com/financeapi/forcetrigger?t=a1tgqh&amp;q=XNYS%3aFTV&amp;form=skydnc</v>
    <v>Learn more on Bing</v>
  </rv>
  <rv s="1">
    <v>0</v>
    <v>FORTIVE CORPORATION (XNYS:FTV)</v>
    <v>2</v>
    <v>3</v>
    <v>Finance</v>
    <v>4</v>
    <v>en</v>
    <v>a1tgqh</v>
    <v>268435456</v>
    <v>1</v>
    <v>Powered by Refinitiv</v>
    <v>62.42</v>
    <v>46.34</v>
    <v>1.1076999999999999</v>
    <v>0.92</v>
    <v>1.506E-2</v>
    <v>0</v>
    <v>0</v>
    <v>USD</v>
    <v>Fortive Corporation is a technology solutions company. The Company's businesses design, develop, manufacture, and market products, software, and services, building on brand names, technologies, and market positions. The Company's segments include Intelligent Operating Solutions (IOS) and Advanced Healthcare Solutions (AHS). The Company's IOS segment provides advanced instrumentation, software and services to various customers enabling their mission-critical workflows. These offerings include electrical test and measurement, facility and asset lifecycle software applications, connected worker safety and compliance solutions across a range of vertical end markets. Its AHS segment supplies critical workflow solutions enabling healthcare providers to deliver patient care more efficiently. Its offerings include instrument sterilization solutions, instrument tracking, biomedical test tools, radiation detection and safety monitoring and end-to-end clinical productivity software and solutions.</v>
    <v>10000</v>
    <v>New York Stock Exchange</v>
    <v>XNYS</v>
    <v>XNYS</v>
    <v>6920 Seaway Blvd, EVERETT, WA, 98203-5829 US</v>
    <v>62.28</v>
    <v>Machinery, Equipment &amp; Components</v>
    <v>Stock</v>
    <v>46139.86393288125</v>
    <v>208</v>
    <v>61.12</v>
    <v>19090348992</v>
    <v>FORTIVE CORPORATION</v>
    <v>FORTIVE CORPORATION</v>
    <v>61.17</v>
    <v>31.447900000000001</v>
    <v>61.09</v>
    <v>62.01</v>
    <v>62.01</v>
    <v>307859200</v>
    <v>FTV</v>
    <v>FORTIVE CORPORATION (XNYS:FTV)</v>
    <v>4558197</v>
    <v>2625219</v>
    <v>2015</v>
  </rv>
  <rv s="2">
    <v>209</v>
  </rv>
  <rv s="0">
    <v>https://www.bing.com/financeapi/forcetrigger?t=afaeu2&amp;q=XFRA%3aFRA&amp;form=skydnc</v>
    <v>Learn more on Bing</v>
  </rv>
  <rv s="3">
    <v>6</v>
    <v>Fraport Frankfurt Airport Services Worldwide AG (XFRA:FRA)</v>
    <v>2</v>
    <v>7</v>
    <v>Finance</v>
    <v>8</v>
    <v>en</v>
    <v>afaeu2</v>
    <v>268435456</v>
    <v>1</v>
    <v>Powered by Refinitiv</v>
    <v>97.26</v>
    <v>27.8</v>
    <v>1.0044999999999999</v>
    <v>-0.2</v>
    <v>-2.8110000000000001E-3</v>
    <v>EUR</v>
    <v>Fraport AG Frankfurt Airport Services Worldwide is a Germany-based global airport operator and its main business focus is the operation of Frankfurt Main airport. The Company operates through four segments: Aviation, Retail &amp; Real Estate, Ground Handling and International Activities &amp; Services segments. The Aviation segment mainly operates the land and airside infrastructure at the Frankfurt site. The Retail &amp; Real Estate segment is responsible in particular for the commercial development of the Frankfurt site, including the retail activities as well as real estate and land. The Ground Handling segment consists of loading, baggage, and passenger services, airmail and luggage transport, and freight handling at Frankfurt Airport. The International Activities &amp; Services segment includes in particular the acquisition, operation, development, and expansion of airports abroad. In addition, the Company offers planning and consulting services as well as IT services and facility management.</v>
    <v>19252</v>
    <v>Deutsche Boerse AG</v>
    <v>XFRA</v>
    <v>XFRA</v>
    <v>Frankfurt Airport Services Worldwide, FRANKFURT AM MAIN, HESSEN, 60547 DE</v>
    <v>70.95</v>
    <v>Transport Infrastructure</v>
    <v>Stock</v>
    <v>46139.836805555555</v>
    <v>211</v>
    <v>70.900000000000006</v>
    <v>6546784000</v>
    <v>Fraport Frankfurt Airport Services Worldwide AG</v>
    <v>Fraport Frankfurt Airport Services Worldwide AG</v>
    <v>70.900000000000006</v>
    <v>15.26</v>
    <v>71.150000000000006</v>
    <v>70.95</v>
    <v>92468700</v>
    <v>FRA</v>
    <v>Fraport Frankfurt Airport Services Worldwide AG (XFRA:FRA)</v>
    <v>12</v>
    <v>124990</v>
    <v>2004</v>
  </rv>
  <rv s="2">
    <v>212</v>
  </rv>
  <rv s="0">
    <v>https://www.bing.com/financeapi/forcetrigger?t=afabqh&amp;q=XFRA%3aFNTN&amp;form=skydnc</v>
    <v>Learn more on Bing</v>
  </rv>
  <rv s="3">
    <v>6</v>
    <v>freenet AG (XFRA:FNTN)</v>
    <v>2</v>
    <v>7</v>
    <v>Finance</v>
    <v>8</v>
    <v>en</v>
    <v>afabqh</v>
    <v>268435456</v>
    <v>1</v>
    <v>Powered by Refinitiv</v>
    <v>37.799999999999997</v>
    <v>13.67</v>
    <v>0.246</v>
    <v>-0.32</v>
    <v>-1.1773E-2</v>
    <v>EUR</v>
    <v>freenet AG is a Germany-based Company, which is a network-independent telecommunications provider. The Company's main activities are telecommunications, TV, Internet and mobile devices as well as all services, applications and equipment associated with mobile devices or that can be controlled or used via an intelligent device. It provides various activities such as packaging, multichannel distribution and customer management. It focuses on direct customer relationships as well as directly managed sales channels which includes around 520 freenet shops and 40 GRAVIS stores along with online marketing platforms. It also holds exclusive marketing rights for mobile communication services on the Telekom and Vodafone networks in more than 400 electronics stores.</v>
    <v>3326</v>
    <v>Deutsche Boerse AG</v>
    <v>XFRA</v>
    <v>XFRA</v>
    <v>Hollerstrasse 126, BUEDELSDORF, SCHLESWIG-HOLSTEIN, 24782 DE</v>
    <v>27.36</v>
    <v>Telecommunications Services</v>
    <v>Stock</v>
    <v>46139.836805555555</v>
    <v>214</v>
    <v>26.52</v>
    <v>3393423000</v>
    <v>freenet AG</v>
    <v>freenet AG</v>
    <v>27.36</v>
    <v>11.87</v>
    <v>27.18</v>
    <v>26.86</v>
    <v>118900600</v>
    <v>FNTN</v>
    <v>freenet AG (XFRA:FNTN)</v>
    <v>35585</v>
    <v>551290</v>
    <v>2005</v>
  </rv>
  <rv s="2">
    <v>215</v>
  </rv>
  <rv s="0">
    <v>https://www.bing.com/financeapi/forcetrigger?t=aw3oh7&amp;q=XNYS%3aFUBO&amp;form=skydnc</v>
    <v>Learn more on Bing</v>
  </rv>
  <rv s="1">
    <v>0</v>
    <v>FUBOTV INC. (XNYS:FUBO)</v>
    <v>2</v>
    <v>3</v>
    <v>Finance</v>
    <v>5</v>
    <v>en</v>
    <v>aw3oh7</v>
    <v>268435456</v>
    <v>1</v>
    <v>Powered by Refinitiv</v>
    <v>56.64</v>
    <v>8.31</v>
    <v>2.4927000000000001</v>
    <v>-0.42499999999999999</v>
    <v>-3.5387000000000002E-2</v>
    <v>-0.01</v>
    <v>-8.6209999999999998E-4</v>
    <v>USD</v>
    <v>FuboTV Inc. is a live television (TV) streaming company. The Company offers subscribers access to tens of thousands of live sporting events annually, alongside news and entertainment content, both live and on demand. It offers consumers a broad set of sports, including more than 55,000 live sporting events, and entertainment-focused programming offerings from Fubo and Hulu + Live TV. It owns Hulu + Live TV (entertainment), Fubo (sports) and Molotov (entertainment and sports), which stream in markets around the globe. FuboTV Inc. is an affiliate of The Walt Disney Company. The Company's platform is designed to enable customers to access content through streaming devices and on Smart TVs, mobile phones, tablets, and computers. Its platform provides with a broad suite of features and personalization capabilities, such as multi-channel viewing capabilities, favorites lists and a recommendation engine, as well as 4K streaming and Cloud DVR offerings.</v>
    <v>590</v>
    <v>New York Stock Exchange</v>
    <v>XNYS</v>
    <v>XNYS</v>
    <v>1290 Avenue Of The Americas, New York, NEW YORK, NY, 10104 US</v>
    <v>12.0899</v>
    <v>Software &amp; IT Services</v>
    <v>Stock</v>
    <v>46139.933526955472</v>
    <v>217</v>
    <v>11.35</v>
    <v>1255646017</v>
    <v>FUBOTV INC.</v>
    <v>FUBOTV INC.</v>
    <v>11.88</v>
    <v>2.2080000000000002</v>
    <v>12.01</v>
    <v>11.585000000000001</v>
    <v>11.59</v>
    <v>108385500</v>
    <v>FUBO</v>
    <v>FUBOTV INC. (XNYS:FUBO)</v>
    <v>1481872</v>
    <v>2626364</v>
    <v>2025</v>
  </rv>
  <rv s="2">
    <v>218</v>
  </rv>
  <rv s="0">
    <v>https://www.bing.com/financeapi/forcetrigger?t=a2aiur&amp;q=OTCM%3aBRPHF&amp;form=skydnc</v>
    <v>Learn more on Bing</v>
  </rv>
  <rv s="1">
    <v>0</v>
    <v>GALAXY DIGITAL INC. (XNAS:GLXY)</v>
    <v>2</v>
    <v>3</v>
    <v>Finance</v>
    <v>5</v>
    <v>en</v>
    <v>a2aiur</v>
    <v>268435456</v>
    <v>1</v>
    <v>Powered by Refinitiv</v>
    <v>45.92</v>
    <v>14.3</v>
    <v>3.6059000000000001</v>
    <v>-0.95499999999999996</v>
    <v>-3.6724E-2</v>
    <v>1.0699999999999999E-2</v>
    <v>4.2709999999999997E-4</v>
    <v>USD</v>
    <v>Galaxy Digital Inc. is engaged in the business of digital assets and data center infrastructure, delivering solutions that accelerate progress in finance and artificial intelligence (AI). The Company's digital assets platform offers institutional access to trading, advisory, asset management, staking, self-custody, and tokenization technology. In addition, it develops and operates data center infrastructure to power AI and high-performance computing workloads. The Company's segments include Digital Assets, Data Centers, and Treasury and Corporate. Its Digital Assets operating business segment provides new products and capabilities such as staking, margin-based financing and active exchange-traded funds. The Data Centers segment comprises the Helios infrastructure assets. The Company's Data Centers segment develops and operates High Performance Computing (HPC) infrastructure to meet the growing demand for large-scale, power-ready facilities in the AI/HPC industry.</v>
    <v>520</v>
    <v>Nasdaq Stock Market</v>
    <v>XNAS</v>
    <v>XNAS</v>
    <v>300 Vesey Street, 13Th Floor, NEW YORK, NY, 10282 US</v>
    <v>26.26</v>
    <v>Investment Banking &amp; Investment Services</v>
    <v>Stock</v>
    <v>46139.935125751559</v>
    <v>220</v>
    <v>24.3</v>
    <v>9775990455</v>
    <v>GALAXY DIGITAL INC.</v>
    <v>GALAXY DIGITAL INC.</v>
    <v>25.94</v>
    <v>0</v>
    <v>26.004999999999999</v>
    <v>25.05</v>
    <v>25.060700000000001</v>
    <v>390259100</v>
    <v>GLXY</v>
    <v>GALAXY DIGITAL INC. (XNAS:GLXY)</v>
    <v>7211082</v>
    <v>5496899</v>
    <v>2021</v>
  </rv>
  <rv s="2">
    <v>221</v>
  </rv>
  <rv s="14">
    <v>29</v>
    <v>GE HEALTHCARE TECHNOLOGIES INC. (XNAS:GEHC)</v>
    <v>17</v>
    <v>3</v>
    <v>Finance</v>
    <v>5</v>
    <v>en</v>
    <v>c8bc4c</v>
    <v>268435456</v>
    <v>1</v>
    <v>Powered by Refinitiv</v>
    <v>89.77</v>
    <v>66.95</v>
    <v>1.0768</v>
    <v>1.65</v>
    <v>2.3972000000000004E-2</v>
    <v>0.02</v>
    <v>2.8380000000000001E-4</v>
    <v>USD</v>
    <v>GE HealthCare Technologies Inc. is a healthcare solutions provider, innovating medical technology, pharmaceutical diagnostics, and integrated, cloud-first artificial intelligence (AI)-enabled solutions, services and data analytics. Its business segments include Imaging, Advanced Visualization Solutions (AVS), Patient Care Solutions (PCS), and Pharmaceutical Diagnostics (PDx). Its Imaging segment offers a portfolio of scanning devices, clinical applications, service capabilities, and digital solutions. Its AVS segment offers ultrasound, image guided therapies, and interventional solutions with a portfolio that spans the continuum of care, including screening, diagnosis, treatment, and monitoring of certain diseases. Its PCS segment consists of patient monitoring, anesthesia delivery and respiratory care, diagnostic cardiology, maternal infant care, and consumables and services. Its PDx segment develops and produces two types of imaging agents: contrast media and radiopharmaceuticals.</v>
    <v>54000</v>
    <v>Nasdaq Stock Market</v>
    <v>XNAS</v>
    <v>XNAS</v>
    <v>500 West Monroe Street, CHICAGO, IL, 60661 US</v>
    <v>70.819999999999993</v>
    <v>Healthcare Equipment &amp; Supplies</v>
    <v>Stock</v>
    <v>46139.929341157032</v>
    <v>69</v>
    <v>32159326248</v>
    <v>GE HEALTHCARE TECHNOLOGIES INC.</v>
    <v>GE HEALTHCARE TECHNOLOGIES INC.</v>
    <v>69.19</v>
    <v>15.483599999999999</v>
    <v>68.83</v>
    <v>70.48</v>
    <v>70.5</v>
    <v>456290100</v>
    <v>GEHC</v>
    <v>GE HEALTHCARE TECHNOLOGIES INC. (XNAS:GEHC)</v>
    <v>5314314</v>
    <v>3422889</v>
    <v>2022</v>
  </rv>
  <rv s="2">
    <v>223</v>
  </rv>
  <rv s="0">
    <v>https://www.bing.com/financeapi/forcetrigger?t=a1u2ec&amp;q=XNAS%3aGNTX&amp;form=skydnc</v>
    <v>Learn more on Bing</v>
  </rv>
  <rv s="1">
    <v>0</v>
    <v>GENTEX CORPORATION (XNAS:GNTX)</v>
    <v>2</v>
    <v>3</v>
    <v>Finance</v>
    <v>4</v>
    <v>en</v>
    <v>a1u2ec</v>
    <v>268435456</v>
    <v>1</v>
    <v>Powered by Refinitiv</v>
    <v>29.38</v>
    <v>20.48</v>
    <v>0.80510000000000004</v>
    <v>-0.02</v>
    <v>-8.3750000000000003E-4</v>
    <v>-0.06</v>
    <v>-2.5149999999999999E-3</v>
    <v>USD</v>
    <v>Gentex Corporation designs, develops, manufactures, markets, and supplies digital vision, connected car, premium audio, dimmable glass, fire protection technologies, medical devices, and others. Its segments include Automotive Products, Premium Audio Products and Other. The Automotive Products segment designs, develops, manufactures and markets interior and exterior automatic-dimming automotive rearview mirrors that utilize proprietary electrochromic technology to dim in proportion to the amount of headlight glare from trailing vehicle headlamps. Its Premium Audio Products segment designs, manufactures, markets, and distributes high quality audio equipment created to deliver superior sound quality and performance, including premium loudspeakers, architectural speakers and others. The other segment includes fire protection, dimmable aircraft windows, nanofiber, medical, and biometrics. It manufactures photoelectric smoke detectors and alarms, visual signalling alarms, and others.</v>
    <v>6398</v>
    <v>Nasdaq Stock Market</v>
    <v>XNAS</v>
    <v>XNAS</v>
    <v>600 N CENTENNIAL ST, ZEELAND, MI, 49464 US</v>
    <v>24.82</v>
    <v>Automobiles &amp; Auto Parts</v>
    <v>Stock</v>
    <v>46139.892573622659</v>
    <v>225</v>
    <v>23.83</v>
    <v>5097626964</v>
    <v>GENTEX CORPORATION</v>
    <v>GENTEX CORPORATION</v>
    <v>23.97</v>
    <v>13.403</v>
    <v>23.88</v>
    <v>23.86</v>
    <v>23.8</v>
    <v>213647400</v>
    <v>GNTX</v>
    <v>GENTEX CORPORATION (XNAS:GNTX)</v>
    <v>4669030</v>
    <v>2126066</v>
    <v>1974</v>
  </rv>
  <rv s="2">
    <v>226</v>
  </rv>
  <rv s="0">
    <v>https://www.bing.com/financeapi/forcetrigger?t=amfwa2&amp;q=BMEX%3aGEST&amp;form=skydnc</v>
    <v>Learn more on Bing</v>
  </rv>
  <rv s="3">
    <v>6</v>
    <v>Gestamp Automocion SA (BMEX:GEST)</v>
    <v>2</v>
    <v>7</v>
    <v>Finance</v>
    <v>8</v>
    <v>en</v>
    <v>amfwa2</v>
    <v>268435456</v>
    <v>1</v>
    <v>Powered by Refinitiv</v>
    <v>3.5419999999999998</v>
    <v>2.5379999999999998</v>
    <v>1.0920000000000001</v>
    <v>0</v>
    <v>0</v>
    <v>EUR</v>
    <v>Gestamp Automocion SA is a Spain-based company primarily engaged in the auto parts manufacture. It focuses on the design, development and production of metal components and structure systems for the automotive industry. The Company's products portfolio includes skin panels and closure parts, structural and body components, chassis, bumpers and dashboard crossbeams, among others. The Company's customers include Volkswagen, Renault-Nissan, PSA, Daimler, General Motors and BMW, among others. The Company is a parent of the Gestamp Automocion Group, a group, which comprises a number of subsidiaries with operations established in North and South America, Europe and Asia. The Company is controlled by Acek Desarrollo y Gestion Industrial SL.</v>
    <v>42466</v>
    <v>Bolsas y Mercados Espanoles</v>
    <v>BMEX</v>
    <v>BMEX</v>
    <v>POLIGONO INDUSTRIAL DE LEBARIO, S/N-, 48220 ES</v>
    <v>3.2250000000000001</v>
    <v>Automobiles &amp; Auto Parts</v>
    <v>Stock</v>
    <v>46139.666666666664</v>
    <v>228</v>
    <v>3.1549999999999998</v>
    <v>1784094000</v>
    <v>Gestamp Automocion SA</v>
    <v>Gestamp Automocion SA</v>
    <v>3.18</v>
    <v>11.8879</v>
    <v>3.18</v>
    <v>3.18</v>
    <v>575514300</v>
    <v>GEST</v>
    <v>Gestamp Automocion SA (BMEX:GEST)</v>
    <v>223273</v>
    <v>368800</v>
    <v>1997</v>
  </rv>
  <rv s="2">
    <v>229</v>
  </rv>
  <rv s="0">
    <v>https://www.bing.com/financeapi/forcetrigger?t=a1tvim&amp;q=XNAS%3aGIII&amp;form=skydnc</v>
    <v>Learn more on Bing</v>
  </rv>
  <rv s="1">
    <v>0</v>
    <v>G-III APPAREL GROUP, LTD. (XNAS:GIII)</v>
    <v>2</v>
    <v>3</v>
    <v>Finance</v>
    <v>4</v>
    <v>en</v>
    <v>a1tvim</v>
    <v>268435456</v>
    <v>1</v>
    <v>Powered by Refinitiv</v>
    <v>34.83</v>
    <v>20.329999999999998</v>
    <v>1.3106</v>
    <v>0.32</v>
    <v>1.0204E-2</v>
    <v>-0.33</v>
    <v>-1.0417000000000001E-2</v>
    <v>USD</v>
    <v>G-III Apparel Group, Ltd. is engaged in fashion with expertise in design, sourcing and marketing, owns and licenses a portfolio of over 30 brands. It owns 10 brands, including DKNY, Karl Lagerfeld, Donna Karan and Vilebrequin, and licenses over 20 brands including Calvin Klein, Tommy Hilfiger, Nautica, Halston, Converse, BCBG and National Sports leagues, among others. Its wholesale operations segment includes sales of products to retailers under owned, licensed and private label brands, as well as sales related to the Karl Lagerfeld and Vilebrequin businesses, including from retail stores operated by Vilebrequin and Karl Lagerfeld, other than sales of products under the Karl Lagerfeld Paris brand generated by its retail stores and digital sites. Its retail operations segment consists of direct sales to consumers through its Company-operated stores and product sales through its digital sites for the DKNY, Donna Karan, Karl Lagerfeld Paris, G.H. Bass and Wilsons Leather brands.</v>
    <v>3400</v>
    <v>Nasdaq Stock Market</v>
    <v>XNAS</v>
    <v>XNAS</v>
    <v>512 7th Avenue, NEW YORK, NY, 10018 US</v>
    <v>31.84</v>
    <v>Textiles &amp; Apparel</v>
    <v>Stock</v>
    <v>46139.888782765622</v>
    <v>231</v>
    <v>31.24</v>
    <v>1336556707</v>
    <v>G-III APPAREL GROUP, LTD.</v>
    <v>G-III APPAREL GROUP, LTD.</v>
    <v>31.3</v>
    <v>20.946200000000001</v>
    <v>31.36</v>
    <v>31.68</v>
    <v>31.35</v>
    <v>42189290</v>
    <v>GIII</v>
    <v>G-III APPAREL GROUP, LTD. (XNAS:GIII)</v>
    <v>290575</v>
    <v>507718</v>
    <v>1989</v>
  </rv>
  <rv s="2">
    <v>232</v>
  </rv>
  <rv s="0">
    <v>https://www.bing.com/financeapi/forcetrigger?t=amfu5r&amp;q=BMEX%3aDOM&amp;form=skydnc</v>
    <v>Learn more on Bing</v>
  </rv>
  <rv s="3">
    <v>6</v>
    <v>Global Dominion Access SA (BMEX:DOM)</v>
    <v>2</v>
    <v>7</v>
    <v>Finance</v>
    <v>8</v>
    <v>en</v>
    <v>amfu5r</v>
    <v>268435456</v>
    <v>1</v>
    <v>Powered by Refinitiv</v>
    <v>3.69</v>
    <v>2.83</v>
    <v>0.52349999999999997</v>
    <v>-0.01</v>
    <v>-2.9989999999999999E-3</v>
    <v>EUR</v>
    <v>Global Dominion Access SA is a Spain-based global services and projects company. It operates through three segments: Business to Business (B2B) 360º Projects, B2B Services and Business to Customers (B2C). Its B2B 360º projects covers new production process or new infrastructure projects, offering design, implementation and maintenance of the same. Its B2B Services covers operation and maintenance outsourcing and process improvement projects. Its B2C comprises end customer-oriented activities, such as marketing of electricity, gas supplies, telecommunications services, insurance and other services in the household. The Company focuses on the B2B area and specializes in the technology and telecommunications (T&amp;T), industry and energy fields targeting a wide and diverse range of sectors, including health, education, telecommunications, transport, logistics and public administration, business services, industrial, oil &amp; gas and renewable energies, among others.</v>
    <v>11539</v>
    <v>Bolsas y Mercados Espanoles</v>
    <v>BMEX</v>
    <v>BMEX</v>
    <v>3 Pio Baroja Place, 1st Floor, BILBAO, VIZCAYA, 48001 ES</v>
    <v>3.36</v>
    <v>Professional &amp; Commercial Services</v>
    <v>Stock</v>
    <v>46139.666666666664</v>
    <v>234</v>
    <v>3.3149999999999999</v>
    <v>517654500</v>
    <v>Global Dominion Access SA</v>
    <v>Global Dominion Access SA</v>
    <v>3.36</v>
    <v>48.972099999999998</v>
    <v>3.335</v>
    <v>3.3250000000000002</v>
    <v>151140000</v>
    <v>DOM</v>
    <v>Global Dominion Access SA (BMEX:DOM)</v>
    <v>240548</v>
    <v>291930</v>
    <v>1999</v>
  </rv>
  <rv s="2">
    <v>235</v>
  </rv>
  <rv s="0">
    <v>https://www.bing.com/financeapi/forcetrigger?t=c3orqh&amp;q=XNAS%3aGFS&amp;form=skydnc</v>
    <v>Learn more on Bing</v>
  </rv>
  <rv s="1">
    <v>0</v>
    <v>GLOBALFOUNDRIES INC. (XNAS:GFS)</v>
    <v>2</v>
    <v>3</v>
    <v>Finance</v>
    <v>5</v>
    <v>en</v>
    <v>c3orqh</v>
    <v>268435456</v>
    <v>1</v>
    <v>Powered by Refinitiv</v>
    <v>65.05</v>
    <v>31.51</v>
    <v>1.6567000000000001</v>
    <v>-1.44</v>
    <v>-2.3304999999999999E-2</v>
    <v>-0.02</v>
    <v>-3.3140000000000003E-4</v>
    <v>USD</v>
    <v>GlobalFoundries Inc. is a semiconductor manufacturer. The Company offers a range of mainstream wafer fabrication services and technologies. It manufactures a range of semiconductor devices, including microprocessors, mobile application processors, baseband processors, network processors, radio frequency modems, microcontrollers, and power management units. Its specialized foundry manufacturing processes include a library consisting of qualified circuit-building block designs (known as IP titles or IP blocks), and advanced transistor and device technology. The Company's differentiated technology platforms include radio frequency (RF) silicon-on-insulator (SOI), Fin Field-Effect Transistor (FinFET), FDX, Complementary Metal-Oxide Semiconductor (CMOS), Silicon Germanium (SiGe), Gallium Nitride (GaN), Bipolar-CMOS-DMOS (BCD), and Silicon Photonics (SiPh).</v>
    <v>14000</v>
    <v>Nasdaq Stock Market</v>
    <v>XNAS</v>
    <v>XNAS</v>
    <v>400 STONEBREAK ROAD EXTENSION, MALTA, NY, 12020 US</v>
    <v>61.98</v>
    <v>Semiconductors &amp; Semiconductor Equipment</v>
    <v>Stock</v>
    <v>46139.934015589846</v>
    <v>237</v>
    <v>59.2</v>
    <v>33136519340</v>
    <v>GLOBALFOUNDRIES INC.</v>
    <v>GLOBALFOUNDRIES INC.</v>
    <v>61.89</v>
    <v>38.046900000000001</v>
    <v>61.79</v>
    <v>60.35</v>
    <v>60.33</v>
    <v>549072400</v>
    <v>GFS</v>
    <v>GLOBALFOUNDRIES INC. (XNAS:GFS)</v>
    <v>3573008</v>
    <v>3650473</v>
    <v>2008</v>
  </rv>
  <rv s="2">
    <v>238</v>
  </rv>
  <rv s="15">
    <v>30</v>
    <v>Havas NV (XAMS:HAVAS)</v>
    <v>17</v>
    <v>12</v>
    <v>Finance</v>
    <v>8</v>
    <v>en</v>
    <v>cfd7oc</v>
    <v>268435456</v>
    <v>1</v>
    <v>Powered by Refinitiv</v>
    <v>18</v>
    <v>12.83</v>
    <v>0.85299999999999998</v>
    <v>0.2</v>
    <v>1.2500000000000001E-2</v>
    <v>EUR</v>
    <v>Havas NV is a France-based company. The Company is predominantly engaged in providing a wide range of content production and management needs, including live-action editorial, audio, design, animation, digital production, and transaction. It is a provider of advertising and public relations services intended to create connections between people and brands through media. The Company is divided into two main segments: Havas Creative and Havas Media. The Havas Creative segment focuses on integrated marketing communications and solutions for its clients in industries such as sports, health, and financial services. The Havas Media segment focuses on media planning, buying, and digital activities via television, the Internet, and magazines.</v>
    <v>22368</v>
    <v>Euronext Amsterdam</v>
    <v>XAMS</v>
    <v>XAMS</v>
    <v>29/30 quai de Dion Bouton, PUTEAUX, ILE-DE-FRANCE, 92800 FR</v>
    <v>16.399999999999999</v>
    <v>Media &amp; Publishing</v>
    <v>Stock</v>
    <v>46139.666666666664</v>
    <v>15.85</v>
    <v>1725752000</v>
    <v>Havas NV</v>
    <v>Havas NV</v>
    <v>16</v>
    <v>8.1135999999999999</v>
    <v>16</v>
    <v>16.2</v>
    <v>99181150</v>
    <v>HAVAS</v>
    <v>Havas NV (XAMS:HAVAS)</v>
    <v>48623</v>
    <v>98130</v>
  </rv>
  <rv s="2">
    <v>240</v>
  </rv>
  <rv s="7">
    <v>16</v>
    <v>HBX GROUP INTERNATIONAL PLC (BMEX:HBX)</v>
    <v>17</v>
    <v>31</v>
    <v>Finance</v>
    <v>32</v>
    <v>en</v>
    <v>cfws5r</v>
    <v>268435456</v>
    <v>1</v>
    <v>Powered by Refinitiv</v>
    <v>11.68</v>
    <v>5.62</v>
    <v>1.8069999999999999</v>
    <v>-0.01</v>
    <v>-1.5190000000000002E-3</v>
    <v>1.1375</v>
    <v>0.17300399999999999</v>
    <v>EUR</v>
    <v>HBX Group International plc is a United Kingdom-based global business-to-business (B2B) travel technology company and the owner of brands, such as Hotelbeds, Bedsonline, The Luxurist, Roiback and The Civitfun. It offers a network of travel technology products and services, connecting travel businesses, such as online marketplaces, tour operators, travel agents, airlines, loyalty programs, destinations and travel suppliers. Its products and services include eCommerce, marketing suite, API suite and finance and insurance. Bedsonline is a B2B travel marketplace and booking engine. Hotelbeds is a go-to B2B solutions provider for wholesalers, supply partners and destinations. Roiback is a Hotel Tech company specializing in direct channel services and technology for both chains and independent hotels worldwide. The Company’s offer includes a booking engine focused on conversion, Web development, digital marketing services specialized in hotels and loyalty solutions.</v>
    <v>3514</v>
    <v>Bolsas y Mercados Espanoles</v>
    <v>BMEX</v>
    <v>BMEX</v>
    <v>7th Floor Tower 42, 25 Old Broad Street, LONDON, EC2N 1HN GB</v>
    <v>6.6849999999999996</v>
    <v>Software &amp; IT Services</v>
    <v>Stock</v>
    <v>46139.666666666664</v>
    <v>6.53</v>
    <v>2024892000</v>
    <v>HBX GROUP INTERNATIONAL PLC</v>
    <v>HBX GROUP INTERNATIONAL PLC</v>
    <v>6.6349999999999998</v>
    <v>6.585</v>
    <v>6.5750000000000002</v>
    <v>7.7125000000000004</v>
    <v>247239600</v>
    <v>HBX</v>
    <v>HBX GROUP INTERNATIONAL PLC (BMEX:HBX)</v>
    <v>233304</v>
    <v>392440</v>
    <v>2023</v>
  </rv>
  <rv s="2">
    <v>242</v>
  </rv>
  <rv s="0">
    <v>https://www.bing.com/financeapi/forcetrigger?t=afs8a2&amp;q=XETR%3aHFG&amp;form=skydnc</v>
    <v>Learn more on Bing</v>
  </rv>
  <rv s="3">
    <v>6</v>
    <v>Hellofresh SE (XETR:HFG)</v>
    <v>2</v>
    <v>7</v>
    <v>Finance</v>
    <v>8</v>
    <v>en</v>
    <v>afs8a2</v>
    <v>268435456</v>
    <v>1</v>
    <v>Powered by Refinitiv</v>
    <v>11.13</v>
    <v>3.49</v>
    <v>0.61219999999999997</v>
    <v>0.06</v>
    <v>1.3509999999999999E-2</v>
    <v>EUR</v>
    <v>Hellofresh SE is a Germany based Company. The Company provides online food services. The Company provides meal kits and ready to eat (RTE). The Company business is based on two geographical regions, the North America segment, which comprises operations in United States of America and Canda. International segment, which includes operations in Australia, Austria, Belgium, Canada, Germany, the Netherlands, Switzerland and the United Kingdom. The company operates under the HelloFresh brand.</v>
    <v>19065</v>
    <v>Xetra</v>
    <v>XETR</v>
    <v>XETR</v>
    <v>Prinzenstrasse 89, BERLIN, BERLIN, 10969 DE</v>
    <v>4.5119999999999996</v>
    <v>Food &amp; Drug Retailing</v>
    <v>Stock</v>
    <v>46139.896018518521</v>
    <v>244</v>
    <v>4.3330000000000002</v>
    <v>929196000</v>
    <v>Hellofresh SE</v>
    <v>Hellofresh SE</v>
    <v>4.407</v>
    <v>0</v>
    <v>4.4409999999999998</v>
    <v>4.5010000000000003</v>
    <v>159000000</v>
    <v>HFG</v>
    <v>Hellofresh SE (XETR:HFG)</v>
    <v>253444</v>
    <v>796760</v>
    <v>2016</v>
  </rv>
  <rv s="2">
    <v>245</v>
  </rv>
  <rv s="0">
    <v>https://www.bing.com/financeapi/forcetrigger?t=bvcw7w&amp;q=XNAS%3aHRMY&amp;form=skydnc</v>
    <v>Learn more on Bing</v>
  </rv>
  <rv s="1">
    <v>0</v>
    <v>HARMONY BIOSCIENCES HOLDINGS, INC. (XNAS:HRMY)</v>
    <v>2</v>
    <v>3</v>
    <v>Finance</v>
    <v>4</v>
    <v>en</v>
    <v>bvcw7w</v>
    <v>268435456</v>
    <v>1</v>
    <v>Powered by Refinitiv</v>
    <v>40.869999999999997</v>
    <v>25.52</v>
    <v>0.95720000000000005</v>
    <v>0.25</v>
    <v>8.1169999999999992E-3</v>
    <v>0.60970000000000002</v>
    <v>1.9636000000000001E-2</v>
    <v>USD</v>
    <v>Harmony Biosciences Holdings, Inc. is a pharmaceutical company. It is focused on developing and commercializing therapies for patients living with rare neurological diseases as well as patients living with other neurological diseases who have unmet medical needs. Its product, WAKIX (pitolisant), is a first-in-class molecule with a novel mechanism of action designed to enhance histamine signaling in the brain by binding to H3 receptors. WAKIX was developed for the treatment of excessive daytime sleepiness (EDS) in pediatric patients, six years and older, with narcolepsy. HBS-102, an investigational compound, which is a melanin-concentrating hormone receptor 1 (MCHR1) antagonist. ZYN002 is an investigational drug product in development for the potential treatment of behavioral symptoms associated with Fragile X syndrome (FXS) and 22q11.2 deletion syndrome (22q). It also focused on the rare epilepsy franchise in its expanding late-stage pipeline of CNS assets: EPX-100 and EPX-200.</v>
    <v>293</v>
    <v>Nasdaq Stock Market</v>
    <v>XNAS</v>
    <v>XNAS</v>
    <v>630 W Germantown Pike, Suite 215, PLYMOUTH MEETING, PA, 19462 US</v>
    <v>31.72</v>
    <v>Pharmaceuticals</v>
    <v>Stock</v>
    <v>46139.892870300784</v>
    <v>247</v>
    <v>30.454999999999998</v>
    <v>1796782459</v>
    <v>HARMONY BIOSCIENCES HOLDINGS, INC.</v>
    <v>HARMONY BIOSCIENCES HOLDINGS, INC.</v>
    <v>30.65</v>
    <v>11.3508</v>
    <v>30.8</v>
    <v>31.05</v>
    <v>31.659700000000001</v>
    <v>57867390</v>
    <v>HRMY</v>
    <v>HARMONY BIOSCIENCES HOLDINGS, INC. (XNAS:HRMY)</v>
    <v>833976</v>
    <v>876548</v>
    <v>2017</v>
  </rv>
  <rv s="2">
    <v>248</v>
  </rv>
  <rv s="0">
    <v>https://www.bing.com/financeapi/forcetrigger?t=af5q3m&amp;q=XFRA%3aBOSS&amp;form=skydnc</v>
    <v>Learn more on Bing</v>
  </rv>
  <rv s="3">
    <v>6</v>
    <v>Hugo Boss AG (XFRA:BOSS)</v>
    <v>2</v>
    <v>7</v>
    <v>Finance</v>
    <v>8</v>
    <v>en</v>
    <v>af5q3m</v>
    <v>268435456</v>
    <v>1</v>
    <v>Powered by Refinitiv</v>
    <v>81.400000000000006</v>
    <v>19.2</v>
    <v>0.77100000000000002</v>
    <v>0.31</v>
    <v>8.5489999999999993E-3</v>
    <v>EUR</v>
    <v>Hugo Boss AG is a Germany-based developer and marketer of men's and women's clothing and accessories for the international fashion market. Its product portfolio comprises apparel, eveningwear and sportswear, as well as shoes and leather accessories, licensed fragrances, eyewear, watches, children’s fashion, home textiles and writing instruments. The Company's brand portfolio comprises BOSS, BOSS Orange, Camel, Green, Black, Blue and HUGO and others: BOSS comprises business wear, leisurewear and evening apparel, as well as watches, eyewear and fragrances; BOSS Orange and BOSS Camel focuses on womenswear; BOSS Green comprises sportswear and BOSS Black focuses on modern tailoring, BOSS Blue focuses on denimwear, HUGO provides apparel for both business and leisure, as well as shoes, accessories and licensed fragrances.</v>
    <v>17527</v>
    <v>Deutsche Boerse AG</v>
    <v>XFRA</v>
    <v>XFRA</v>
    <v>Holy-Allee 3, METZINGEN, BADEN-WUERTTEMBERG, 72555 DE</v>
    <v>36.57</v>
    <v>Textiles &amp; Apparel</v>
    <v>Stock</v>
    <v>46139.836805555555</v>
    <v>250</v>
    <v>36.57</v>
    <v>2491456000</v>
    <v>Hugo Boss AG</v>
    <v>Hugo Boss AG</v>
    <v>36.57</v>
    <v>10.16</v>
    <v>36.26</v>
    <v>36.57</v>
    <v>70400000</v>
    <v>BOSS</v>
    <v>Hugo Boss AG (XFRA:BOSS)</v>
    <v>150</v>
    <v>481830</v>
    <v>1948</v>
  </rv>
  <rv s="2">
    <v>251</v>
  </rv>
  <rv s="0">
    <v>https://www.bing.com/financeapi/forcetrigger?t=amfx6h&amp;q=BMEX%3aIBE&amp;form=skydnc</v>
    <v>Learn more on Bing</v>
  </rv>
  <rv s="16">
    <v>33</v>
    <v>Iberdrola SA (BMEX:IBE)</v>
    <v>2</v>
    <v>34</v>
    <v>Finance</v>
    <v>32</v>
    <v>en</v>
    <v>amfx6h</v>
    <v>268435456</v>
    <v>1</v>
    <v>Powered by Refinitiv</v>
    <v>20.6</v>
    <v>14.602</v>
    <v>0.6653</v>
    <v>6.5000000000000002E-2</v>
    <v>3.2619999999999997E-3</v>
    <v>-0.14000000000000001</v>
    <v>-7.0039999999999998E-3</v>
    <v>EUR</v>
    <v>IBERDROLA, S.A. is engaged in carrying out electricity and gas activities in Spain and abroad. The Company's segments include Network business, Deregulated business, Renewable business and Other businesses. The Company's Network business segment includes all the energy transmission and distribution activities, and any other regulated activity originated in Spain, the United Kingdom, the United States and Brazil. Its Deregulated business segment includes electricity generation and sales businesses, as well as gas trading and storage businesses carried on by the Company in Spain, Portugal, the United Kingdom and North America. Its Renewable business segment includes activities related to renewable energies in Spain, the United Kingdom, the United States and the rest of the world. Its Other businesses segment includes the engineering and construction businesses and the non-power businesses. The Company offers its customers power and natural gas, both in the wholesale and retail markets.</v>
    <v>43555</v>
    <v>Bolsas y Mercados Espanoles</v>
    <v>BMEX</v>
    <v>BMEX</v>
    <v>Plaza Euskadi numero 5, BILBAO, VIZCAYA ES</v>
    <v>20.100000000000001</v>
    <v>Electrical Utilities &amp; IPPs</v>
    <v>Stock</v>
    <v>46139.666666666664</v>
    <v>253</v>
    <v>19.774999999999999</v>
    <v>123602700000</v>
    <v>Iberdrola SA</v>
    <v>Iberdrola SA</v>
    <v>19.774999999999999</v>
    <v>21.554500000000001</v>
    <v>19.925000000000001</v>
    <v>19.989999999999998</v>
    <v>19.850000000000001</v>
    <v>6757846000</v>
    <v>IBE</v>
    <v>Iberdrola SA (BMEX:IBE)</v>
    <v>6394864</v>
    <v>9964900</v>
  </rv>
  <rv s="2">
    <v>254</v>
  </rv>
  <rv s="0">
    <v>https://www.bing.com/financeapi/forcetrigger?t=amfy2w&amp;q=BMEX%3aITX&amp;form=skydnc</v>
    <v>Learn more on Bing</v>
  </rv>
  <rv s="1">
    <v>0</v>
    <v>Industria de Diseno Textil SA (BMEX:ITX)</v>
    <v>2</v>
    <v>35</v>
    <v>Finance</v>
    <v>32</v>
    <v>en</v>
    <v>amfy2w</v>
    <v>268435456</v>
    <v>1</v>
    <v>Powered by Refinitiv</v>
    <v>58.28</v>
    <v>40.799999999999997</v>
    <v>1.1753</v>
    <v>-0.44</v>
    <v>-8.371E-3</v>
    <v>0.48</v>
    <v>9.2100000000000012E-3</v>
    <v>EUR</v>
    <v>Industria de Diseno Textil SA, known as Inditex SA, is a Spain-based company primarily engaged in the textile industry. The Company’s activities include the design, confection, manufacturing, distribution and retail of men, women and children apparel, footwear and fashion accessories, as well as home furnishings and household textile products. The Company’s business is divided into three segments: Zara, offering fashion, with a wide range of products for apparel and home; Bershka, which targets young consumer segment with fashion items and Others which retails apparel. The Company operates worldwide through eight brands: Zara, Pull&amp;Bear, Massimo Dutti, Bershka, Stradivarius, Oysho, Zara Home and Uterque. It offers its products in approximately 215 markets through its online platform and through its physical stores in 95 countries. Company is controlled by Pontegadea Inversiones SL.</v>
    <v>163047</v>
    <v>Bolsas y Mercados Espanoles</v>
    <v>BMEX</v>
    <v>BMEX</v>
    <v>Edificio Inditex, Avda. Diputacion, s/n, ARTEIXO, LA CORUNA, 15143 ES</v>
    <v>53.2</v>
    <v>Specialty Retailers</v>
    <v>Stock</v>
    <v>46139.666666666664</v>
    <v>256</v>
    <v>52.12</v>
    <v>178023200000</v>
    <v>Industria de Diseno Textil SA</v>
    <v>Industria de Diseno Textil SA</v>
    <v>52.82</v>
    <v>26.334</v>
    <v>52.56</v>
    <v>52.12</v>
    <v>52.6</v>
    <v>3116652000</v>
    <v>ITX</v>
    <v>Industria de Diseno Textil SA (BMEX:ITX)</v>
    <v>1195021</v>
    <v>1721050</v>
    <v>1985</v>
  </rv>
  <rv s="2">
    <v>257</v>
  </rv>
  <rv s="0">
    <v>https://www.bing.com/financeapi/forcetrigger?t=ajfl2w&amp;q=XMIL%3aINW&amp;form=skydnc</v>
    <v>Learn more on Bing</v>
  </rv>
  <rv s="5">
    <v>11</v>
    <v>Infrastrutture Wireless Italiane SpA (XMIL:INW)</v>
    <v>2</v>
    <v>12</v>
    <v>Finance</v>
    <v>13</v>
    <v>en</v>
    <v>ajfl2w</v>
    <v>268435456</v>
    <v>1</v>
    <v>Powered by Refinitiv</v>
    <v>10.51</v>
    <v>6.07</v>
    <v>0.56999999999999995</v>
    <v>3.5000000000000003E-2</v>
    <v>4.8240000000000002E-3</v>
    <v>EUR</v>
    <v>Infrastrutture Wireless Italiane SpA is an Italy-based company. It works in the field of passive infrastructure for mobile phone technology, broadcasting, radio, other wireless services and private mobile networks. The Company manages approximately 11,000 sites, with widespread distribution throughout Italy. As a neutral host, is provides all industry operators with its infrastructure, which includes a system of micro cells and distributed antenna systems (DAS) to cover indoor and outdoor areas with particular connectivity requirements. Its offering includes integrated hosting services, creation of indoor and outdoor coverage with micro cells and DAS, site access and security management services, design and construction of new sites, fiber optic connection of transmission sites to increase its capacity (backhauling). The Company’s customers include mobile, broadcasting, radio and television operators, and governmental institutions.</v>
    <v>345</v>
    <v>Borsa Italiana</v>
    <v>XMIL</v>
    <v>XMIL</v>
    <v>Piazza Trento, 10, ROMA, ROMA, 00198 IT</v>
    <v>7.34</v>
    <v>Telecommunications Services</v>
    <v>Stock</v>
    <v>46139.666666666664</v>
    <v>259</v>
    <v>7.2549999999999999</v>
    <v>7138277000</v>
    <v>Infrastrutture Wireless Italiane SpA</v>
    <v>Infrastrutture Wireless Italiane SpA</v>
    <v>7.3</v>
    <v>18.423100000000002</v>
    <v>7.2549999999999999</v>
    <v>7.29</v>
    <v>931890000</v>
    <v>INW</v>
    <v>Infrastrutture Wireless Italiane SpA (XMIL:INW)</v>
    <v>1035360</v>
    <v>2061920</v>
  </rv>
  <rv s="2">
    <v>260</v>
  </rv>
  <rv s="0">
    <v>https://www.bing.com/financeapi/forcetrigger?t=amfttc&amp;q=BMEX%3aCOL&amp;form=skydnc</v>
    <v>Learn more on Bing</v>
  </rv>
  <rv s="3">
    <v>6</v>
    <v>Colonial SFL SOCIMI SA (BMEX:COL)</v>
    <v>2</v>
    <v>7</v>
    <v>Finance</v>
    <v>8</v>
    <v>en</v>
    <v>amfttc</v>
    <v>268435456</v>
    <v>1</v>
    <v>Powered by Refinitiv</v>
    <v>6.34</v>
    <v>4.8360000000000003</v>
    <v>1.3029999999999999</v>
    <v>5.0000000000000001E-3</v>
    <v>9.2000000000000003E-4</v>
    <v>EUR</v>
    <v>Colonial SFL SOCIMI SA, formerly Inmobiliaria Colonial SOCIMI SA, is a Spain-based company engaged in the operation of Real Estate Investment Trust (REIT). The Company's activities are divided into two business segments: Rentals (or Traditional business) and Flexible business. The Rentals segment (or Traditional business) includes activities associated with office rentals, while the Flexible business segment includes the activities associated with coworking or flexible office spaces. Additionally, the segment reporting is secondly organized by geographical segments: Barcelona, Madrid, and Paris. In addition to the economic activity relating to the main corporate purpose, the Company may also carry on any other ancillary activities.</v>
    <v>227</v>
    <v>Bolsas y Mercados Espanoles</v>
    <v>BMEX</v>
    <v>BMEX</v>
    <v>Paseo de la Castellana, 52, MADRID, MADRID ES</v>
    <v>5.4749999999999996</v>
    <v>Residential &amp; Commercial REIT</v>
    <v>Stock</v>
    <v>46139.666666666664</v>
    <v>262</v>
    <v>5.4249999999999998</v>
    <v>3268466000</v>
    <v>Colonial SFL SOCIMI SA</v>
    <v>Colonial SFL SOCIMI SA</v>
    <v>5.46</v>
    <v>9.7105999999999995</v>
    <v>5.4349999999999996</v>
    <v>5.44</v>
    <v>627344700</v>
    <v>COL</v>
    <v>Colonial SFL SOCIMI SA (BMEX:COL)</v>
    <v>778175</v>
    <v>1332230</v>
    <v>1946</v>
  </rv>
  <rv s="2">
    <v>263</v>
  </rv>
  <rv s="0">
    <v>https://www.bing.com/financeapi/forcetrigger?t=bxiiw7&amp;q=XAMS%3aINPST&amp;form=skydnc</v>
    <v>Learn more on Bing</v>
  </rv>
  <rv s="3">
    <v>6</v>
    <v>InPost SA (XAMS:INPST)</v>
    <v>2</v>
    <v>7</v>
    <v>Finance</v>
    <v>8</v>
    <v>en</v>
    <v>bxiiw7</v>
    <v>268435456</v>
    <v>1</v>
    <v>Powered by Refinitiv</v>
    <v>16.329999999999998</v>
    <v>9.19</v>
    <v>1.1868000000000001</v>
    <v>0.01</v>
    <v>6.5699999999999992E-4</v>
    <v>EUR</v>
    <v>InPost SA is a Luxembourg-based e-commerce enablement platform. The Company operates e-commerce enablement platform in Poland providing delivery services through Company's network of Automated Parcel Machines (APMs) and to-door couriers as well as fulfilment services to e-commerce merchants, including more than 1,100 in the United Kingdom. The Company provides delivery services via its network of over 12,000 APMs. The Company offers parcel delivery and fulfilment services to e-commerce merchants for the delivery of goods sold by businesses-to-consumer (B2C), but also consumer-to- consumer (C2C) and consumer-to-business (C2B) deliveries (returns). The Company provides also warehousing services to merchants.</v>
    <v>13419</v>
    <v>Euronext Amsterdam</v>
    <v>XAMS</v>
    <v>XAMS</v>
    <v>70, route d'Esch, LUXEMBOURG, 1470 LU</v>
    <v>15.25</v>
    <v>Freight &amp; Logistics Services</v>
    <v>Stock</v>
    <v>46139.666666666664</v>
    <v>265</v>
    <v>15.22</v>
    <v>6996594000</v>
    <v>InPost SA</v>
    <v>InPost SA</v>
    <v>15.25</v>
    <v>57.717100000000002</v>
    <v>15.22</v>
    <v>15.23</v>
    <v>500000000</v>
    <v>INPST</v>
    <v>InPost SA (XAMS:INPST)</v>
    <v>993310</v>
    <v>1390210</v>
    <v>2020</v>
  </rv>
  <rv s="2">
    <v>266</v>
  </rv>
  <rv s="0">
    <v>https://www.bing.com/financeapi/forcetrigger?t=amfx3m&amp;q=BMEX%3aIAG&amp;form=skydnc</v>
    <v>Learn more on Bing</v>
  </rv>
  <rv s="3">
    <v>6</v>
    <v>International Consolidated Airlines Group SA (BMEX:IAG)</v>
    <v>2</v>
    <v>36</v>
    <v>Finance</v>
    <v>8</v>
    <v>en</v>
    <v>amfx3m</v>
    <v>268435456</v>
    <v>1</v>
    <v>Powered by Refinitiv</v>
    <v>5.3</v>
    <v>3.0289999999999999</v>
    <v>2.1863000000000001</v>
    <v>-0.02</v>
    <v>-4.6080000000000001E-3</v>
    <v>EUR</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75786</v>
    <v>Bolsas y Mercados Espanoles</v>
    <v>BMEX</v>
    <v>BMEX</v>
    <v>Waterside (HAA2), PO Box 365, HARMONDSWORTH, UB7 0GB GB</v>
    <v>4.383</v>
    <v>Passenger Transportation Services</v>
    <v>Stock</v>
    <v>46139.666666666664</v>
    <v>268</v>
    <v>4.3099999999999996</v>
    <v>18622390000</v>
    <v>International Consolidated Airlines Group SA</v>
    <v>International Consolidated Airlines Group SA</v>
    <v>4.3710000000000004</v>
    <v>6.0631000000000004</v>
    <v>4.34</v>
    <v>4.32</v>
    <v>4493422000</v>
    <v>IAG</v>
    <v>International Consolidated Airlines Group SA (BMEX:IAG)</v>
    <v>3535606</v>
    <v>20570560</v>
    <v>2009</v>
  </rv>
  <rv s="2">
    <v>269</v>
  </rv>
  <rv s="0">
    <v>https://www.bing.com/financeapi/forcetrigger?t=a1vmtc&amp;q=XNAS%3aINTU&amp;form=skydnc</v>
    <v>Learn more on Bing</v>
  </rv>
  <rv s="1">
    <v>0</v>
    <v>INTUIT INC. (XNAS:INTU)</v>
    <v>2</v>
    <v>3</v>
    <v>Finance</v>
    <v>5</v>
    <v>en</v>
    <v>a1vmtc</v>
    <v>268435456</v>
    <v>1</v>
    <v>Powered by Refinitiv</v>
    <v>813.7</v>
    <v>342.10500000000002</v>
    <v>1.0632999999999999</v>
    <v>-6.03</v>
    <v>-1.5228999999999999E-2</v>
    <v>1.08</v>
    <v>2.7700000000000003E-3</v>
    <v>USD</v>
    <v>Intuit Inc. offers a financial technology platform that helps consumers and small and mid-market businesses prosper by delivering financial management, compliance, and marketing products and services. It also provides specialized tax products to accounting professionals. It helps small and mid-market businesses grow and run their business all in one place, including bookkeeping, getting paid, accessing capital, paying employees, getting and retaining customers, and managing their customer relationships. The Company's offerings include TTurboTax, Credit Karma, QuickBooks, Mailchimp, and Intuit Enterprise Suite. Lacerte, ProSeries, and ProConnect Tax Online are its tax preparation offerings for professional accountants. Its financial management includes payments and capital, compliance, human capital management, and marketing products and services. For accounting professionals, the Company provides professional tax and financial management products and services.</v>
    <v>18200</v>
    <v>Nasdaq Stock Market</v>
    <v>XNAS</v>
    <v>XNAS</v>
    <v>2700 Coast Avenue, MOUNTAIN VIEW, CA, 94043 US</v>
    <v>398.99</v>
    <v>Financial Technology (Fintech) &amp; Infrastructure</v>
    <v>Stock</v>
    <v>46139.934908784373</v>
    <v>271</v>
    <v>384.67500000000001</v>
    <v>107832376000</v>
    <v>INTUIT INC.</v>
    <v>INTUIT INC.</v>
    <v>390.05</v>
    <v>25.7559</v>
    <v>395.95</v>
    <v>389.92</v>
    <v>391</v>
    <v>276550000</v>
    <v>INTU</v>
    <v>INTUIT INC. (XNAS:INTU)</v>
    <v>2380267</v>
    <v>3346067</v>
    <v>1993</v>
  </rv>
  <rv s="2">
    <v>272</v>
  </rv>
  <rv s="0">
    <v>https://www.bing.com/financeapi/forcetrigger?t=a1vt77&amp;q=XNAS%3aISRG&amp;form=skydnc</v>
    <v>Learn more on Bing</v>
  </rv>
  <rv s="1">
    <v>0</v>
    <v>INTUITIVE SURGICAL, INC. (XNAS:ISRG)</v>
    <v>2</v>
    <v>3</v>
    <v>Finance</v>
    <v>5</v>
    <v>en</v>
    <v>a1vt77</v>
    <v>268435456</v>
    <v>1</v>
    <v>Powered by Refinitiv</v>
    <v>603.88</v>
    <v>427.83600000000001</v>
    <v>1.5642</v>
    <v>-11.23</v>
    <v>-2.3288000000000003E-2</v>
    <v>1.01</v>
    <v>2.1440000000000001E-3</v>
    <v>USD</v>
    <v>Intuitive Surgical, Inc. develops, manufactures, and markets da Vinci surgical systems and the Ion endoluminal system. The Company specializes in invasive care and robotic-assisted surgery. Its technologies include the da Vinci surgical systems and the Ion endoluminal system. The da Vinci surgical system is designed to enable surgeons to perform a range of surgical procedures within its targeted general surgery, urologic, gynecologic, cardiothoracic, and head and neck specialties and consists of a surgeon's console or consoles, a patient-side cart, and a high-performance vision system. The Ion endoluminal system is a flexible, robotic-assisted, catheter-based platform for which the cleared indication is minimally invasive biopsies in the lung and consists of a system cart, a controller, a catheter, and a vision probe. Its Ion system extends its commercial offering beyond surgery into diagnostic and endoluminal procedures.</v>
    <v>17021</v>
    <v>Nasdaq Stock Market</v>
    <v>XNAS</v>
    <v>XNAS</v>
    <v>1020 Kifer Road, SUNNYVALE, CA, 94086 US</v>
    <v>486.77420000000001</v>
    <v>Healthcare Equipment &amp; Supplies</v>
    <v>Stock</v>
    <v>46139.932199536721</v>
    <v>274</v>
    <v>469.2</v>
    <v>166807137172</v>
    <v>INTUITIVE SURGICAL, INC.</v>
    <v>INTUITIVE SURGICAL, INC.</v>
    <v>481</v>
    <v>58.507899999999999</v>
    <v>482.22</v>
    <v>470.99</v>
    <v>472</v>
    <v>354162800</v>
    <v>ISRG</v>
    <v>INTUITIVE SURGICAL, INC. (XNAS:ISRG)</v>
    <v>2028085</v>
    <v>2079623</v>
    <v>1995</v>
  </rv>
  <rv s="2">
    <v>275</v>
  </rv>
  <rv s="0">
    <v>https://www.bing.com/financeapi/forcetrigger?t=a1vo52&amp;q=XNAS%3aIOVA&amp;form=skydnc</v>
    <v>Learn more on Bing</v>
  </rv>
  <rv s="1">
    <v>0</v>
    <v>IOVANCE BIOTHERAPEUTICS, INC. (XNAS:IOVA)</v>
    <v>2</v>
    <v>3</v>
    <v>Finance</v>
    <v>5</v>
    <v>en</v>
    <v>a1vo52</v>
    <v>268435456</v>
    <v>1</v>
    <v>Powered by Refinitiv</v>
    <v>5.63</v>
    <v>1.6385000000000001</v>
    <v>0.71440000000000003</v>
    <v>-0.01</v>
    <v>-2.9070000000000003E-3</v>
    <v>0.02</v>
    <v>5.8309999999999994E-3</v>
    <v>USD</v>
    <v>Iovance Biotherapeutics, Inc. is a commercial biotechnology company. The Company is focused on developing and delivering novel polyclonal tumor infiltrating lymphocyte (TIL) therapies for patients with cancer. Its products include Amtagvi and Proleukin. Amtagvi is indicated for the treatment of adult patients with melanoma previously treated with a PD-1 blocking antibody, and if BRAF V600 mutation positive, a BRAF inhibitor, with or without a MEK inhibitor. It is marketing Proleukin (aldesleukin), an interleukin-2 (IL-2) product used in the Amtagvi treatment regimen and in other applications. Amtagvi and Proleukin are part of a treatment regimen that includes lymphodepletion. Its development pipeline includes multicenter trials of TIL cell therapies in additional treatment settings and indications for solid tumor cancers. Its TIL therapy includes melanoma, non-small cell lung cancer and gynecologic cancer.</v>
    <v>975</v>
    <v>Nasdaq Stock Market</v>
    <v>XNAS</v>
    <v>XNAS</v>
    <v>825 INDUSTRIAL ROAD, 4TH FLOOR, SAN CARLOS, CA, 94070 US</v>
    <v>3.585</v>
    <v>Biotechnology &amp; Medical Research</v>
    <v>Stock</v>
    <v>46139.932209675782</v>
    <v>277</v>
    <v>3.42</v>
    <v>1413028288</v>
    <v>IOVANCE BIOTHERAPEUTICS, INC.</v>
    <v>IOVANCE BIOTHERAPEUTICS, INC.</v>
    <v>3.45</v>
    <v>0</v>
    <v>3.44</v>
    <v>3.43</v>
    <v>3.45</v>
    <v>411961600</v>
    <v>IOVA</v>
    <v>IOVANCE BIOTHERAPEUTICS, INC. (XNAS:IOVA)</v>
    <v>10313194</v>
    <v>14044487</v>
    <v>2017</v>
  </rv>
  <rv s="2">
    <v>278</v>
  </rv>
  <rv s="0">
    <v>https://www.bing.com/financeapi/forcetrigger?t=a1vqw7&amp;q=XNAS%3aIRDM&amp;form=skydnc</v>
    <v>Learn more on Bing</v>
  </rv>
  <rv s="1">
    <v>0</v>
    <v>IRIDIUM COMMUNICATIONS INC. (XNAS:IRDM)</v>
    <v>2</v>
    <v>3</v>
    <v>Finance</v>
    <v>5</v>
    <v>en</v>
    <v>a1vqw7</v>
    <v>268435456</v>
    <v>1</v>
    <v>Powered by Refinitiv</v>
    <v>44.3596</v>
    <v>15.645</v>
    <v>0.78090000000000004</v>
    <v>-1.56</v>
    <v>-4.0041E-2</v>
    <v>0.18</v>
    <v>4.8130000000000004E-3</v>
    <v>USD</v>
    <v>Iridium Communications Inc. operates the mobile voice and data satellite communications network that spans the entire globe. The Company enables connections between people, organizations and assets to and from anywhere, in real time. Together with its ecosystem of partner companies, it delivers a portfolio of solutions for markets that require global communications. Its principal vertical lines of business include land mobile, maritime, aviation, IoT, hosted payloads and other data services, which includes navigation and timing (PNT), and the United States government. Its products include Iridium 9555, Iridium Extreme satellite phones, Iridium Extreme PTT, Iridium GO! Iridium GO!, and others. It provides voice and data communications services to businesses, the United States and foreign governments, non-governmental organizations, and consumers via its satellite network, which has an architecture of 66 operational satellites with in-orbit spares and related ground infrastructure.</v>
    <v>975</v>
    <v>Nasdaq Stock Market</v>
    <v>XNAS</v>
    <v>XNAS</v>
    <v>SUITE 1400, 1750 TYSONS BOULEVARD, MCLEAN, VA, 22102 US</v>
    <v>39.81</v>
    <v>Telecommunications Services</v>
    <v>Stock</v>
    <v>46139.934805404686</v>
    <v>280</v>
    <v>35.82</v>
    <v>3954215980</v>
    <v>IRIDIUM COMMUNICATIONS INC.</v>
    <v>IRIDIUM COMMUNICATIONS INC.</v>
    <v>38.96</v>
    <v>39.288499999999999</v>
    <v>38.96</v>
    <v>37.4</v>
    <v>37.58</v>
    <v>105727700</v>
    <v>IRDM</v>
    <v>IRIDIUM COMMUNICATIONS INC. (XNAS:IRDM)</v>
    <v>2768149</v>
    <v>2802900</v>
    <v>2007</v>
  </rv>
  <rv s="2">
    <v>281</v>
  </rv>
  <rv s="0">
    <v>https://www.bing.com/financeapi/forcetrigger?t=c438im&amp;q=XNAS%3aIREN&amp;form=skydnc</v>
    <v>Learn more on Bing</v>
  </rv>
  <rv s="1">
    <v>0</v>
    <v>IREN LIMITED (XNAS:IREN)</v>
    <v>2</v>
    <v>3</v>
    <v>Finance</v>
    <v>5</v>
    <v>en</v>
    <v>c438im</v>
    <v>268435456</v>
    <v>1</v>
    <v>Powered by Refinitiv</v>
    <v>76.87</v>
    <v>5.7249999999999996</v>
    <v>4.3254999999999999</v>
    <v>-2.2799999999999998</v>
    <v>-4.5023999999999995E-2</v>
    <v>0.23</v>
    <v>4.7559999999999998E-3</v>
    <v>USD</v>
    <v>IREN Limited is an Australia-based company, which owns and operates data centers powered by 100% renewable energy. Its facilities are optimized for Bitcoin mining, artificial intelligence (AI) cloud services, and other power-dense compute. Its data center mining facilities are in Canal Flats, Mackenzie, Prince George and Childress. Bitcoin Mining provides security to the Bitcoin network. Al Cloud Services provides cloud compute to Al customers, approximately 1,896 NVIDIA H100 and H200 GPUs. Its Canal Flats facility is in the Canadian Rockies, 100 kilometers (km) from Cranbrook regional airport and 500km east of Vancouver. Its facility is in Prince George, the city in northern British Columbia, located 500 km north of Vancouver. Its facility is located in Childress County, Texas, over 250 miles northwest of Dallas and in close proximity to multiple wind and solar generating facilities in the region. Its Childress operations comprise 200 Mega Watt of operating data centers.</v>
    <v>257</v>
    <v>Nasdaq Stock Market</v>
    <v>XNAS</v>
    <v>XNAS</v>
    <v>Level 5, 55 Market Street, SYDNEY, NEW SOUTH WALES, 2000 AU</v>
    <v>50.37</v>
    <v>Financial Technology (Fintech) &amp; Infrastructure</v>
    <v>Stock</v>
    <v>46139.934826805467</v>
    <v>283</v>
    <v>47.66</v>
    <v>19295064516</v>
    <v>IREN LIMITED</v>
    <v>IREN LIMITED</v>
    <v>50.22</v>
    <v>64.171999999999997</v>
    <v>50.64</v>
    <v>48.36</v>
    <v>48.59</v>
    <v>398988100</v>
    <v>IREN</v>
    <v>IREN LIMITED (XNAS:IREN)</v>
    <v>33095355</v>
    <v>34705805</v>
    <v>2018</v>
  </rv>
  <rv s="2">
    <v>284</v>
  </rv>
  <rv s="0">
    <v>https://www.bing.com/financeapi/forcetrigger?t=a1w6zr&amp;q=XNAS%3aJKHY&amp;form=skydnc</v>
    <v>Learn more on Bing</v>
  </rv>
  <rv s="1">
    <v>0</v>
    <v>JACK HENRY &amp; ASSOCIATES, INC. (XNAS:JKHY)</v>
    <v>2</v>
    <v>3</v>
    <v>Finance</v>
    <v>4</v>
    <v>en</v>
    <v>a1w6zr</v>
    <v>268435456</v>
    <v>1</v>
    <v>Powered by Refinitiv</v>
    <v>193.39</v>
    <v>144.12</v>
    <v>0.62480000000000002</v>
    <v>-0.14000000000000001</v>
    <v>-9.2619999999999996E-4</v>
    <v>4.9898999999999996</v>
    <v>3.3043999999999997E-2</v>
    <v>USD</v>
    <v>Jack Henry &amp; Associates, Inc. is a financial technology company. The Company’s segments include Core, Payments, Complementary, and Corporate and Other. The Core segment provides core information processing platforms to banks and credit unions, which consist of integrated applications required to process deposit, loan, and general ledger transactions, and maintain centralized customer/member information. The Payments segment provides secure payment processing tools and services, including automated teller machine, debit, and credit card processing services; online and mobile bill pay solutions; automated clearinghouse origination and remote deposit capture processing; and risk management products and services. The Complementary segment provides additional software, hosted processing platforms, and services, including digital/mobile banking, treasury services, online account opening, fraud/anti-money laundering and lending/deposit solutions that can be integrated with its core solutions.</v>
    <v>7240</v>
    <v>Nasdaq Stock Market</v>
    <v>XNAS</v>
    <v>XNAS</v>
    <v>PO BOX 807, 663 HWY 60, MONETT, MO, 65708-0807 US</v>
    <v>153.15</v>
    <v>Software &amp; IT Services</v>
    <v>Stock</v>
    <v>46139.900680485938</v>
    <v>286</v>
    <v>150.51</v>
    <v>10897994543</v>
    <v>JACK HENRY &amp; ASSOCIATES, INC.</v>
    <v>JACK HENRY &amp; ASSOCIATES, INC.</v>
    <v>150.75</v>
    <v>21.697900000000001</v>
    <v>151.15</v>
    <v>151.01</v>
    <v>155.9999</v>
    <v>72167370</v>
    <v>JKHY</v>
    <v>JACK HENRY &amp; ASSOCIATES, INC. (XNAS:JKHY)</v>
    <v>774241</v>
    <v>920193</v>
    <v>1985</v>
  </rv>
  <rv s="2">
    <v>287</v>
  </rv>
  <rv s="0">
    <v>https://www.bing.com/financeapi/forcetrigger?t=afdihw&amp;q=XFRA%3aJEN&amp;form=skydnc</v>
    <v>Learn more on Bing</v>
  </rv>
  <rv s="3">
    <v>6</v>
    <v>Jenoptik AG (XFRA:JEN)</v>
    <v>2</v>
    <v>7</v>
    <v>Finance</v>
    <v>8</v>
    <v>en</v>
    <v>afdihw</v>
    <v>268435456</v>
    <v>1</v>
    <v>Powered by Refinitiv</v>
    <v>39.54</v>
    <v>13.18</v>
    <v>1.1368</v>
    <v>-0.12</v>
    <v>-3.5690000000000001E-3</v>
    <v>EUR</v>
    <v>Jenoptik AG is a Germany-based holding company engaged in Optical technologies. The Company’s two photonic based divisions are Advanced Photonic Solutions and Smart Mobility Solutions. The Advanced Photonic Solutions division provides technology solutions in the fields of optics, laser technology, digital imaging, optoelectronics, machine and equipment manufacturers in the semiconductor, laser material processing, life science and biophotonics, industrial automation, automotive and security industries, sensors, as-well-as optical test and measurement equipment. The Smart Mobility Solutions division provides photonics-based sustainable solutions, including technology and services for road safety, public security and road user charging. The Company’s Non-photonic activities, particularly for the automotive market, are supplying of products, automation solutions and services for industrial customers (B2B).</v>
    <v>4453</v>
    <v>Deutsche Boerse AG</v>
    <v>XFRA</v>
    <v>XFRA</v>
    <v>Carl-Zeiss-Strasse 1, JENA, THUERINGEN, 07743 DE</v>
    <v>34.06</v>
    <v>Semiconductors &amp; Semiconductor Equipment</v>
    <v>Stock</v>
    <v>46139.836805555555</v>
    <v>289</v>
    <v>33.5</v>
    <v>1204290000</v>
    <v>Jenoptik AG</v>
    <v>Jenoptik AG</v>
    <v>34.06</v>
    <v>28.44</v>
    <v>33.619999999999997</v>
    <v>33.5</v>
    <v>57238120</v>
    <v>JEN</v>
    <v>Jenoptik AG (XFRA:JEN)</v>
    <v>314</v>
    <v>190460</v>
    <v>1990</v>
  </rv>
  <rv s="2">
    <v>290</v>
  </rv>
  <rv s="14">
    <v>29</v>
    <v>KENVUE INC. (XNYS:KVUE)</v>
    <v>17</v>
    <v>3</v>
    <v>Finance</v>
    <v>4</v>
    <v>en</v>
    <v>c8ki6h</v>
    <v>268435456</v>
    <v>1</v>
    <v>Powered by Refinitiv</v>
    <v>25.17</v>
    <v>14.02</v>
    <v>0.22</v>
    <v>0.04</v>
    <v>2.287E-3</v>
    <v>7.0000000000000007E-2</v>
    <v>3.993E-3</v>
    <v>USD</v>
    <v>Kenvue Inc. is a consumer health company. The Company’s differentiated portfolio of brands includes Tylenol, Neutrogena, Listerine, Johnson’s, BAND-AID, Aveeno, Zyrtec, and Nicorette. It operates through three segments: Self Care, Skin Health and Beauty, and Essential Health. Its Self Care product categories include pain care; cough, cold, and allergy; digestive health; smoking cessation; eye care; and other products. Self Care segments include brands such as Tylenol, Motrin, Nicorette, Benadryl, Zyrtec, Zarbee’s, ORSLTM, Rhinocort, and Calpol. The Skin Health and Beauty segment is focused on face and body care, as well as hair, sun, and other products. The Essential Health segment includes oral care, baby care, women’s health, wound care, and other products. Its portfolio includes Self Care, Skin Health and Beauty, and Essential Health products which connect with consumers across North America, Asia Pacific (APAC), Europe, Middle East, and Africa (EMEA), and Latin America (LATAM).</v>
    <v>21780</v>
    <v>New York Stock Exchange</v>
    <v>XNYS</v>
    <v>XNYS</v>
    <v>1 Kenvue Way, SUMMIT, NJ, 07901 US</v>
    <v>17.66</v>
    <v>Personal &amp; Household Products &amp; Services</v>
    <v>Stock</v>
    <v>46139.923391885939</v>
    <v>17.395</v>
    <v>33656127480</v>
    <v>KENVUE INC.</v>
    <v>KENVUE INC.</v>
    <v>17.43</v>
    <v>22.948</v>
    <v>17.489999999999998</v>
    <v>17.53</v>
    <v>17.600000000000001</v>
    <v>1919916000</v>
    <v>KVUE</v>
    <v>KENVUE INC. (XNYS:KVUE)</v>
    <v>29969819</v>
    <v>18096404</v>
    <v>2022</v>
  </rv>
  <rv s="2">
    <v>292</v>
  </rv>
  <rv s="14">
    <v>29</v>
    <v>KLARNA GROUP PLC (XNYS:KLAR)</v>
    <v>17</v>
    <v>3</v>
    <v>Finance</v>
    <v>5</v>
    <v>en</v>
    <v>cg81u2</v>
    <v>268435456</v>
    <v>1</v>
    <v>Powered by Refinitiv</v>
    <v>57.2</v>
    <v>12.06</v>
    <v>1.367</v>
    <v>-0.1</v>
    <v>-7.1069999999999996E-3</v>
    <v>-0.03</v>
    <v>-2.1510000000000001E-3</v>
    <v>USD</v>
    <v>Klarna Group Plc is a United Kingdom-based technology company focused on developing commerce networks. The Company is an artificial intelligence (AI)-powered global payments network and shopping assistant. It provides consumers and merchants with a range of solutions, including payment, advertising and digital retail banking, through several channels. Its online payments solution is designed to bridge uncertainty in the transactions between consumers and merchants by providing short-term credit to consumers interest-free. Its range of payment options allows consumers to purchase what they choose, both online and offline. Its payment solutions include Pay in Full, Pay Later and Fair Financing. Its Pay in Full instantly settles purchases at the time of the transaction. Its Pay Later enables consumers to purchase goods or services at the time of the transaction and pay the full amount at a later date. Its Fair Financing allows consumers to pay for their purchase over a longer duration.</v>
    <v>2831</v>
    <v>New York Stock Exchange</v>
    <v>XNYS</v>
    <v>XNYS</v>
    <v>10 York Road, LONDON, SE1 7ND GB</v>
    <v>14.15</v>
    <v>Software &amp; IT Services</v>
    <v>Stock</v>
    <v>46139.934486816404</v>
    <v>13.71</v>
    <v>5273785363</v>
    <v>KLARNA GROUP PLC</v>
    <v>KLARNA GROUP PLC</v>
    <v>13.86</v>
    <v>0</v>
    <v>14.07</v>
    <v>13.97</v>
    <v>13.92</v>
    <v>377507900</v>
    <v>KLAR</v>
    <v>KLARNA GROUP PLC (XNYS:KLAR)</v>
    <v>2393641</v>
    <v>5497511</v>
    <v>2022</v>
  </rv>
  <rv s="2">
    <v>294</v>
  </rv>
  <rv s="0">
    <v>https://www.bing.com/financeapi/forcetrigger?t=ae945r&amp;q=XPAR%3aLI&amp;form=skydnc</v>
    <v>Learn more on Bing</v>
  </rv>
  <rv s="3">
    <v>6</v>
    <v>Klepierre SA (XPAR:LI)</v>
    <v>2</v>
    <v>7</v>
    <v>Finance</v>
    <v>8</v>
    <v>en</v>
    <v>ae945r</v>
    <v>268435456</v>
    <v>1</v>
    <v>Powered by Refinitiv</v>
    <v>36.06</v>
    <v>30.86</v>
    <v>1.0474000000000001</v>
    <v>0</v>
    <v>0</v>
    <v>EUR</v>
    <v>Klepierre SA is a France-based company engaged in the financial industry. The Company is a pan-European shopping center operator, combining development, rental, property, and asset management skills. The Company’s portfolio comprises approximately 70 shopping centers in over 10 countries of continental Europe, including the domestic market, as well as Belgium, Italy, Poland, Germany, Hungary, Portugal, Spain, Greece, and Turkey, among others. Klepierre SA owns a controlling stake in Steen &amp; Strom, a shopping center company with operations in Norway, Sweden, and Denmark. In addition, it operates through a numerous of subsidiary, such as K2, SA Place de l'Accueil, SA Klecar Foncier Iberica, SA Klepierre Nea Efkarpia, Sarl Zalaegerszeg plaza and Klepierre Sadyba, among others.</v>
    <v>1039</v>
    <v>Euronext Paris</v>
    <v>XPAR</v>
    <v>XPAR</v>
    <v>26 boulevard des Capucines, Cs 20062, PARIS, ILE-DE-FRANCE, 75009 FR</v>
    <v>34.92</v>
    <v>Residential &amp; Commercial REIT</v>
    <v>Stock</v>
    <v>46139.666666666664</v>
    <v>296</v>
    <v>34.6</v>
    <v>9454944000</v>
    <v>Klepierre SA</v>
    <v>Klepierre SA</v>
    <v>34.9</v>
    <v>7.6654</v>
    <v>34.82</v>
    <v>34.82</v>
    <v>286861200</v>
    <v>LI</v>
    <v>Klepierre SA (XPAR:LI)</v>
    <v>399146</v>
    <v>610820</v>
    <v>1968</v>
  </rv>
  <rv s="2">
    <v>297</v>
  </rv>
  <rv s="0">
    <v>https://www.bing.com/financeapi/forcetrigger?t=amg2nm&amp;q=BMEX%3aROVI&amp;form=skydnc</v>
    <v>Learn more on Bing</v>
  </rv>
  <rv s="3">
    <v>6</v>
    <v>Laboratorios Farmaceuticos ROVI SA (BMEX:ROVI)</v>
    <v>2</v>
    <v>7</v>
    <v>Finance</v>
    <v>8</v>
    <v>en</v>
    <v>amg2nm</v>
    <v>268435456</v>
    <v>1</v>
    <v>Powered by Refinitiv</v>
    <v>86.7</v>
    <v>50.05</v>
    <v>0.35310000000000002</v>
    <v>-0.4</v>
    <v>-4.9320000000000006E-3</v>
    <v>EUR</v>
    <v>Laboratorios Farmaceuticos ROVI SA (ROVI) is a Spain-based company principally engaged in the pharmaceutical industry. The Company’s main activities include the development and commercialization, nationwide and abroad, of medicines and drugs. Its products are structured into three fields: Diagnostic, which offers contrast mediums for use in magnetic resonance, ultrasound and X-ray diagnostics; Prescription, which distributes medicines under such brands as Hibor, Osseor, Hepadren, Pneumovax-23, Glufan, Corlentor, Exxiv, Calcio y Vitamina D3 Rovi and Absorcol, among others; and Over The Counter (OTC), which comprises the Perspirex, Enerzona, Dentimelo and ColdPack brands. The Company owns such fully consolidated subsidiaries as Gineladius SL, Frosst Iberica SA, Rovi Contract Manufacturing SL and Bertex Pharma GmbH, among others.</v>
    <v>2232</v>
    <v>Bolsas y Mercados Espanoles</v>
    <v>BMEX</v>
    <v>BMEX</v>
    <v>JULIAN CAMARILLO 35, 28037 ES</v>
    <v>82</v>
    <v>Pharmaceuticals</v>
    <v>Stock</v>
    <v>46139.666666666664</v>
    <v>299</v>
    <v>80.7</v>
    <v>3537829000</v>
    <v>Laboratorios Farmaceuticos ROVI SA</v>
    <v>Laboratorios Farmaceuticos ROVI SA</v>
    <v>81</v>
    <v>29.6191</v>
    <v>81.099999999999994</v>
    <v>80.7</v>
    <v>51235760</v>
    <v>ROVI</v>
    <v>Laboratorios Farmaceuticos ROVI SA (BMEX:ROVI)</v>
    <v>87001</v>
    <v>99170</v>
    <v>1946</v>
  </rv>
  <rv s="2">
    <v>300</v>
  </rv>
  <rv s="0">
    <v>https://www.bing.com/financeapi/forcetrigger?t=c1ttr7&amp;q=XNAS%3aSWIM&amp;form=skydnc</v>
    <v>Learn more on Bing</v>
  </rv>
  <rv s="1">
    <v>0</v>
    <v>Latham Group Inc (XNAS:SWIM)</v>
    <v>2</v>
    <v>3</v>
    <v>Finance</v>
    <v>4</v>
    <v>en</v>
    <v>c1ttr7</v>
    <v>268435456</v>
    <v>1</v>
    <v>Powered by Refinitiv</v>
    <v>8.9662000000000006</v>
    <v>5.04</v>
    <v>1.724</v>
    <v>-0.03</v>
    <v>-4.9919999999999999E-3</v>
    <v>0.06</v>
    <v>1.0033E-2</v>
    <v>USD</v>
    <v>Latham Group, Inc. is a designer, manufacturer, and marketer of in-ground residential swimming pools in North America, Australia, and New Zealand. The Company offers a range of pools and related products, including in-ground swimming pools, pool liners, and pool covers. Its in-ground swimming pools products include fiberglass pools and packaged pools. The Company offers a portfolio of fiberglass pools with customizable features that include different colors, elaborate finishes, floor mosaics, lighting options, water features, in-floor cleaning, tanning ledges, and spillover spas. Its pools are available in a variety of different shapes and sizes. The Company manufactures replacement liners and custom vinyl pools. The Company offers automatic safety covers and all-season pool covers. In North America, it operates under one banner, Latham, the Pool Company. Its sub-brands, which sit under the Latham master brand, include Narellan, CoverStar, Radiant, and GLI, among others.</v>
    <v>1804</v>
    <v>Nasdaq Stock Market</v>
    <v>XNAS</v>
    <v>XNAS</v>
    <v>787 Watervliet Shaker Road, Shaker Rd, Latham, LATHAM, NY, 12110 US</v>
    <v>6.18</v>
    <v>Leisure Products</v>
    <v>Stock</v>
    <v>46139.913261087502</v>
    <v>302</v>
    <v>5.92</v>
    <v>699417810</v>
    <v>Latham Group Inc</v>
    <v>Latham Group Inc</v>
    <v>6</v>
    <v>66.444400000000002</v>
    <v>6.01</v>
    <v>5.98</v>
    <v>6.04</v>
    <v>116959500</v>
    <v>SWIM</v>
    <v>Latham Group Inc (XNAS:SWIM)</v>
    <v>531493</v>
    <v>600152</v>
    <v>2018</v>
  </rv>
  <rv s="2">
    <v>303</v>
  </rv>
  <rv s="0">
    <v>https://www.bing.com/financeapi/forcetrigger?t=afegec&amp;q=XFRA%3aLEG&amp;form=skydnc</v>
    <v>Learn more on Bing</v>
  </rv>
  <rv s="3">
    <v>6</v>
    <v>LEG Immobilien SE (XFRA:LEG)</v>
    <v>2</v>
    <v>7</v>
    <v>Finance</v>
    <v>8</v>
    <v>en</v>
    <v>afegec</v>
    <v>268435456</v>
    <v>1</v>
    <v>Powered by Refinitiv</v>
    <v>139.44999999999999</v>
    <v>47.05</v>
    <v>1.3160000000000001</v>
    <v>0.35</v>
    <v>5.8479999999999999E-3</v>
    <v>EUR</v>
    <v>LEG Immobilien SE is a Germany-based Company, which provides real estate services, with approximately 166,300 rental properties and operates in Germany. The Company's portfolio consists mainly of rental and leasing business of residential units, commercial and industrial assets, followed by garages and parking spaces.</v>
    <v>1789</v>
    <v>Deutsche Boerse AG</v>
    <v>XFRA</v>
    <v>XFRA</v>
    <v>Flughafenstrasse 99, DUESSELDORF, NORDRHEIN-WESTFALEN, 40474 DE</v>
    <v>60.6</v>
    <v>Real Estate Operations</v>
    <v>Stock</v>
    <v>46139.836805555555</v>
    <v>305</v>
    <v>60.2</v>
    <v>4938552000</v>
    <v>LEG Immobilien SE</v>
    <v>LEG Immobilien SE</v>
    <v>60.6</v>
    <v>3.09</v>
    <v>59.85</v>
    <v>60.2</v>
    <v>75570800</v>
    <v>LEG</v>
    <v>LEG Immobilien SE (XFRA:LEG)</v>
    <v>1</v>
    <v>264390</v>
    <v>2021</v>
  </rv>
  <rv s="2">
    <v>306</v>
  </rv>
  <rv s="0">
    <v>https://www.bing.com/financeapi/forcetrigger?t=a2nk77&amp;q=XNAS%3aLWLG&amp;form=skydnc</v>
    <v>Learn more on Bing</v>
  </rv>
  <rv s="1">
    <v>0</v>
    <v>LIGHTWAVE LOGIC, INC. (XNAS:LWLG)</v>
    <v>2</v>
    <v>3</v>
    <v>Finance</v>
    <v>5</v>
    <v>en</v>
    <v>a2nk77</v>
    <v>268435456</v>
    <v>1</v>
    <v>Powered by Refinitiv</v>
    <v>15.29</v>
    <v>0.82210000000000005</v>
    <v>3.1202000000000001</v>
    <v>-0.215</v>
    <v>-1.6976000000000002E-2</v>
    <v>-1.9800000000000002E-2</v>
    <v>-1.5900000000000001E-3</v>
    <v>USD</v>
    <v>Lightwave Logic, Inc. is a technology platform company leveraging its proprietary engineered electro-optic (EO) polymers known as Perkinamine, to transmit data at higher speeds with less power in a small form factor. The Company’s organic polymers allow it to create next-generation photonic EO devices that convert data from electrical signals into light/optical signals for applications in telecommunications, and for data transmission potentially used to support generative Artificial Intelligence. It designs its own proprietary materials for electro-optical modulation devices. Electro-optical modulators convert data from electric signals into optical signals that can then be transmitted over high-speed fiber-optic cables. It is focused on testing and demonstrating the manufacturability and reliability of its devices. In polymer photonics, polymer devices such as modulators, waveguides, and multiplexers can be fabricated on to a silicon platform.</v>
    <v>34</v>
    <v>Nasdaq Stock Market</v>
    <v>XNAS</v>
    <v>XNAS</v>
    <v>369 Inverness Parkway, Suite 350, ENGLEWOOD, CO, 80112 US</v>
    <v>12.75</v>
    <v>Electronic Equipment &amp; Parts</v>
    <v>Stock</v>
    <v>46139.934044930465</v>
    <v>308</v>
    <v>11.5</v>
    <v>1875103215</v>
    <v>LIGHTWAVE LOGIC, INC.</v>
    <v>LIGHTWAVE LOGIC, INC.</v>
    <v>12.438000000000001</v>
    <v>0</v>
    <v>12.664999999999999</v>
    <v>12.45</v>
    <v>12.430199999999999</v>
    <v>150610700</v>
    <v>LWLG</v>
    <v>LIGHTWAVE LOGIC, INC. (XNAS:LWLG)</v>
    <v>5725567</v>
    <v>8120793</v>
    <v>1997</v>
  </rv>
  <rv s="2">
    <v>309</v>
  </rv>
  <rv s="0">
    <v>https://www.bing.com/financeapi/forcetrigger?t=a1wrz2&amp;q=XNAS%3aLBTYA&amp;form=skydnc</v>
    <v>Learn more on Bing</v>
  </rv>
  <rv s="1">
    <v>0</v>
    <v>Liberty Global Ltd. (XNAS:LBTYA)</v>
    <v>2</v>
    <v>3</v>
    <v>Finance</v>
    <v>4</v>
    <v>en</v>
    <v>a1wrz2</v>
    <v>268435456</v>
    <v>1</v>
    <v>Powered by Refinitiv</v>
    <v>13.52</v>
    <v>9.0250000000000004</v>
    <v>0.99860000000000004</v>
    <v>-0.28999999999999998</v>
    <v>-2.4369999999999999E-2</v>
    <v>0</v>
    <v>0</v>
    <v>USD</v>
    <v>Liberty Global Ltd. is an international provider of broadband Internet, video, fixed-line telephony and mobile communications services to residential customers and businesses in Europe and are an active investor in the infrastructure, content and technology industries. It also provides technology solutions and finance services. The Company's segments include Liberty Telecom, Liberty Growth and Liberty Services. Liberty Telecom includes converged broadband, video and mobile communications businesses. Liberty Growth invests, grows and rotates capital into scalable businesses across the technology, media/content, sports and infrastructure industries with a portfolio of approximately 70 companies and various funds, including stakes in companies like ITV, Televisa Univision, Plume, EdgeConneX and AtlasEdge, as well as its controlling interest in the Formula E racing series. Liberty Services offers technology and finance service platforms offered by its centralized functions.</v>
    <v>6636</v>
    <v>Nasdaq Stock Market</v>
    <v>XNAS</v>
    <v>XNAS</v>
    <v>C/O CONYERS CORPORATE SERVICES (BERMUDA) LIMITED CLARENDON HOUSE, 2 CHURCH STREET, HM 11 BM</v>
    <v>12.225</v>
    <v>Telecommunications Services</v>
    <v>Stock</v>
    <v>46139.840333911721</v>
    <v>311</v>
    <v>11.49</v>
    <v>3889683207</v>
    <v>Liberty Global Ltd.</v>
    <v>Liberty Global Ltd.</v>
    <v>11.88</v>
    <v>0</v>
    <v>11.9</v>
    <v>11.61</v>
    <v>11.61</v>
    <v>335028700</v>
    <v>LBTYA</v>
    <v>Liberty Global Ltd. (XNAS:LBTYA)</v>
    <v>2537061</v>
    <v>2193257</v>
    <v>2022</v>
  </rv>
  <rv s="2">
    <v>312</v>
  </rv>
  <rv s="0">
    <v>https://www.bing.com/financeapi/forcetrigger?t=c1wu5r&amp;q=BMEX%3aLDA&amp;form=skydnc</v>
    <v>Learn more on Bing</v>
  </rv>
  <rv s="3">
    <v>6</v>
    <v>Linea Directa Aseguradora SA Compania de Seguros y Reaseguros (BMEX:LDA)</v>
    <v>2</v>
    <v>7</v>
    <v>Finance</v>
    <v>8</v>
    <v>en</v>
    <v>c1wu5r</v>
    <v>268435456</v>
    <v>1</v>
    <v>Powered by Refinitiv</v>
    <v>1.44</v>
    <v>1.0660000000000001</v>
    <v>0.31519999999999998</v>
    <v>-8.0000000000000002E-3</v>
    <v>-6.6559999999999996E-3</v>
    <v>EUR</v>
    <v>Linea Directa Aseguradora SA Compania de Seguros y Reaseguros is a Spain-based company. It is specialized in the provision of insurance and reinsurance services in general insurance sectors. The Company operates mainly in the Motor, Home and Health insurances. The Company operates through several brands of insurance. The Company sells car, motorbike, company fleet and home insurance under the Linea Directa brand. Penelope Seguros is an insurance brand designed by women, and its cover includes handbag theft, roadside assistance for pregnant women and management of the vehicle's service schedule. Aprecio is a brand specialized in insurance for motorbikes, motorcycles and scooters. Vivaz Seguros is a health insurance brand.</v>
    <v>2395</v>
    <v>Bolsas y Mercados Espanoles</v>
    <v>BMEX</v>
    <v>BMEX</v>
    <v>ISAAC NEWTON 7, 28760 ES</v>
    <v>1.304</v>
    <v>Insurance</v>
    <v>Stock</v>
    <v>46139.666666666664</v>
    <v>314</v>
    <v>1.194</v>
    <v>1208143000</v>
    <v>Linea Directa Aseguradora SA Compania de Seguros y Reaseguros</v>
    <v>Linea Directa Aseguradora SA Compania de Seguros y Reaseguros</v>
    <v>1.26</v>
    <v>15.2538</v>
    <v>1.202</v>
    <v>1.194</v>
    <v>1088417000</v>
    <v>LDA</v>
    <v>Linea Directa Aseguradora SA Compania de Seguros y Reaseguros (BMEX:LDA)</v>
    <v>858997</v>
    <v>538500</v>
    <v>1994</v>
  </rv>
  <rv s="2">
    <v>315</v>
  </rv>
  <rv s="17">
    <v>37</v>
    <v>Louis Hachette Group SA (XPAR:ALHG)</v>
    <v>17</v>
    <v>7</v>
    <v>Finance</v>
    <v>8</v>
    <v>en</v>
    <v>cfd7lh</v>
    <v>268435456</v>
    <v>1</v>
    <v>Powered by Refinitiv</v>
    <v>1.79</v>
    <v>1.28</v>
    <v>1.0980000000000001</v>
    <v>1.6E-2</v>
    <v>9.3620000000000005E-3</v>
    <v>EUR</v>
    <v>Louis Hachette Group SA is a France-based company. The Company is organized around three main activities: Lagardere Publishing, Lagardere Travel Retail and the Prisma Media Group. Lagardere Publishing is the book publishing and distribution business through its integrated publishing houses with brand names and the IP portfolio across the consumer book publishing market comprising the trade and K-12 education publishing markets with a focus on three main languages (French, English and Spanish). Lagardere Travel Retail involves in the travel retail business, comprising the Travel Essentials, Dining business divisions, Duty Free and Fashion, offering a wide range of retail services and dining to national and international travelers. The Prisma Media Group primarily includes magazine (print and digital) publishing and online media businesses.</v>
    <v>33846</v>
    <v>Euronext Paris</v>
    <v>XPAR</v>
    <v>XPAR</v>
    <v>4 Rue De Presbourg, PARIS, ILE-DE-FRANCE, 75116 FR</v>
    <v>1.7250000000000001</v>
    <v>Media &amp; Publishing</v>
    <v>Stock</v>
    <v>46139.666666666664</v>
    <v>1.6919999999999999</v>
    <v>1580746000</v>
    <v>Louis Hachette Group SA</v>
    <v>Louis Hachette Group SA</v>
    <v>1.7050000000000001</v>
    <v>76.981999999999999</v>
    <v>1.7090000000000001</v>
    <v>1.7250000000000001</v>
    <v>991996500</v>
    <v>ALHG</v>
    <v>Louis Hachette Group SA (XPAR:ALHG)</v>
    <v>1105091</v>
    <v>2428890</v>
    <v>2015</v>
  </rv>
  <rv s="2">
    <v>317</v>
  </rv>
  <rv s="0">
    <v>https://www.bing.com/financeapi/forcetrigger?t=a1xadm&amp;q=XNAS%3aMARA&amp;form=skydnc</v>
    <v>Learn more on Bing</v>
  </rv>
  <rv s="1">
    <v>0</v>
    <v>MARA HOLDINGS, INC. (XNAS:MARA)</v>
    <v>2</v>
    <v>3</v>
    <v>Finance</v>
    <v>5</v>
    <v>en</v>
    <v>a1xadm</v>
    <v>268435456</v>
    <v>1</v>
    <v>Powered by Refinitiv</v>
    <v>23.45</v>
    <v>6.66</v>
    <v>5.4268999999999998</v>
    <v>-0.46</v>
    <v>-3.9518999999999999E-2</v>
    <v>0.02</v>
    <v>1.789E-3</v>
    <v>USD</v>
    <v>MARA Holdings, Inc. is engaged in digital asset compute that develops and deploys technologies. The Company secures the blockchain ledger and supports energy transformation by converting clean, stranded, or otherwise underutilized energy into economic value. It also offers advanced technology solutions to optimize data center operations, including liquid immersion cooling and firmware for bitcoin miners. It is primarily focused on computing for, acquiring, and holding digital assets as a long-term investment. Its core business is bitcoin mining, and it produces, or mines, bitcoin using energy-efficient fleets of specialized computers while providing dispatchable compute as an optionality to the electric grid operators to balance electric demands on the grid. It is also engaged in the sale of data center infrastructure, such as immersion-cooled systems, to third parties operating in the bitcoin ecosystem and the artificial intelligence (AI) and high-performance compute (HPC) sectors.</v>
    <v>266</v>
    <v>Nasdaq Stock Market</v>
    <v>XNAS</v>
    <v>XNAS</v>
    <v>1010 South Federal Highway, Suite 2700, HALLANDALE BEACH, FL, 33009 US</v>
    <v>11.66</v>
    <v>Financial Technology (Fintech) &amp; Infrastructure</v>
    <v>Stock</v>
    <v>46139.935107325779</v>
    <v>319</v>
    <v>11.085000000000001</v>
    <v>4251022828</v>
    <v>MARA HOLDINGS, INC.</v>
    <v>MARA HOLDINGS, INC.</v>
    <v>11.548</v>
    <v>0</v>
    <v>11.64</v>
    <v>11.18</v>
    <v>11.2</v>
    <v>380234600</v>
    <v>MARA</v>
    <v>MARA HOLDINGS, INC. (XNAS:MARA)</v>
    <v>31492803</v>
    <v>47471578</v>
    <v>2010</v>
  </rv>
  <rv s="2">
    <v>320</v>
  </rv>
  <rv s="0">
    <v>https://www.bing.com/financeapi/forcetrigger?t=a1xam7&amp;q=XNYS%3aMAS&amp;form=skydnc</v>
    <v>Learn more on Bing</v>
  </rv>
  <rv s="1">
    <v>0</v>
    <v>MASCO CORPORATION (XNYS:MAS)</v>
    <v>2</v>
    <v>3</v>
    <v>Finance</v>
    <v>4</v>
    <v>en</v>
    <v>a1xam7</v>
    <v>268435456</v>
    <v>1</v>
    <v>Powered by Refinitiv</v>
    <v>79.19</v>
    <v>58.164700000000003</v>
    <v>1.3697999999999999</v>
    <v>0.06</v>
    <v>8.0879999999999993E-4</v>
    <v>-0.31</v>
    <v>-4.176E-3</v>
    <v>USD</v>
    <v>Masco Corporation is engaged in designing, manufacturing and distributing branded home improvement and building products. The Company's portfolio of brands includes BEHR paint; DELTA and HANSGROHE faucets, bath and shower fixtures; LIBERTY branded decorative and functional hardware; and HOT SPRING spas. Its segments include Plumbing Products and Decorative Architectural Products. The Plumbing Products segment principally includes faucets, plumbing system components and valves, showerheads and handheld showers, bath hardware and accessories, water filtration systems, sinks, kitchen accessories, spas, exercise pools, aquatic fitness systems, and saunas. The Decorative Architectural Products segment primarily includes architectural coatings, including paints, primers, specialty coatings, stains and waterproofing products, as well as paint applicators and accessories. Its products are sold primarily for repair and remodeling activity and, to a lesser extent, new home construction.</v>
    <v>18000</v>
    <v>New York Stock Exchange</v>
    <v>XNYS</v>
    <v>XNYS</v>
    <v>17450 College Parkway, LIVONIA, MI, 48152 US</v>
    <v>75.44</v>
    <v>Homebuilding &amp; Construction Supplies</v>
    <v>Stock</v>
    <v>46139.897203957815</v>
    <v>322</v>
    <v>74.004999999999995</v>
    <v>14976761855</v>
    <v>MASCO CORPORATION</v>
    <v>MASCO CORPORATION</v>
    <v>74.489999999999995</v>
    <v>18.429099999999998</v>
    <v>74.180000000000007</v>
    <v>74.239999999999995</v>
    <v>73.930000000000007</v>
    <v>201734400</v>
    <v>MAS</v>
    <v>MASCO CORPORATION (XNYS:MAS)</v>
    <v>2890548</v>
    <v>3302066</v>
    <v>1962</v>
  </rv>
  <rv s="2">
    <v>323</v>
  </rv>
  <rv s="0">
    <v>http://en.wikipedia.org/wiki/Public_domain</v>
    <v>Public domain</v>
  </rv>
  <rv s="0">
    <v>http://zh.wikipedia.org/wiki/味可美</v>
    <v>Wikipedia</v>
  </rv>
  <rv s="18">
    <v>325</v>
    <v>326</v>
  </rv>
  <rv s="19">
    <v>42</v>
    <v>https://www.bing.com/th?id=AMMS_8d96836a886471f7120ce0135f3ca8bd&amp;qlt=95</v>
    <v>327</v>
    <v>0</v>
    <v>https://www.bing.com/images/search?form=xlimg&amp;q=mccormick+%26+company</v>
    <v>Image of MCCORMICK &amp; COMPANY, INCORPORATED</v>
  </rv>
  <rv s="0">
    <v>https://www.bing.com/financeapi/forcetrigger?t=a1xoc7&amp;q=XNYS%3aMKC&amp;form=skydnc</v>
    <v>Learn more on Bing</v>
  </rv>
  <rv s="20">
    <v>38</v>
    <v>MCCORMICK &amp; COMPANY, INCORPORATED (XNYS:MKC)</v>
    <v>40</v>
    <v>41</v>
    <v>Finance</v>
    <v>5</v>
    <v>en</v>
    <v>a1xoc7</v>
    <v>268435456</v>
    <v>1</v>
    <v>Powered by Refinitiv</v>
    <v>78.16</v>
    <v>47.52</v>
    <v>0.68569999999999998</v>
    <v>-1.1299999999999999</v>
    <v>-2.1928999999999997E-2</v>
    <v>0.2</v>
    <v>3.9680000000000002E-3</v>
    <v>USD</v>
    <v>McCormick &amp; Company, Incorporated manufactures, markets, and distributes herbs, spices, seasonings, condiments and flavors to the entire food and beverage industry, including retailers, food manufacturers and foodservice businesses. It operates through two segments: consumer and flavor solutions. The consumer segment sells to retail channels, including grocery, mass merchandise, warehouse clubs, discount and drug stores, and e-commerce under the McCormick brand and a variety of brands around the world, including French's, Frank's RedHot, Lawry’s, Zatarain’s, Simply Asia, Thai Kitchen, Ducros, Vahine, Cholula, Schwartz, Club House, Kamis, DaQiao, La Drogheria, Stubb's, OLD BAY, Gourmet Garden, and others. In its flavor solutions segment, it provides a range of products to multinational food manufacturers and foodservice customers. The foodservice customers are supplied with branded, packaged products both directly by the Company and indirectly through distributors.</v>
    <v>14100</v>
    <v>New York Stock Exchange</v>
    <v>XNYS</v>
    <v>XNYS</v>
    <v>24 Schilling Road, Suite 1, HUNT VALLEY, MD, 21031 US</v>
    <v>51.85</v>
    <v>328</v>
    <v>Food &amp; Tobacco</v>
    <v>Stock</v>
    <v>46139.931358807815</v>
    <v>329</v>
    <v>50.207799999999999</v>
    <v>13549697280</v>
    <v>MCCORMICK &amp; COMPANY, INCORPORATED</v>
    <v>MCCORMICK &amp; COMPANY, INCORPORATED</v>
    <v>51.28</v>
    <v>8.2620000000000005</v>
    <v>51.53</v>
    <v>50.4</v>
    <v>50.6</v>
    <v>268843200</v>
    <v>MKC</v>
    <v>MCCORMICK &amp; COMPANY, INCORPORATED (XNYS:MKC)</v>
    <v>3795421</v>
    <v>5394837</v>
    <v>1915</v>
  </rv>
  <rv s="2">
    <v>330</v>
  </rv>
  <rv s="0">
    <v>https://www.bing.com/financeapi/forcetrigger?t=a1xg3m&amp;q=XNYS%3aMDT&amp;form=skydnc</v>
    <v>Learn more on Bing</v>
  </rv>
  <rv s="1">
    <v>0</v>
    <v>MEDTRONIC PUBLIC LIMITED COMPANY (XNYS:MDT)</v>
    <v>2</v>
    <v>3</v>
    <v>Finance</v>
    <v>4</v>
    <v>en</v>
    <v>a1xg3m</v>
    <v>268435456</v>
    <v>1</v>
    <v>Powered by Refinitiv</v>
    <v>106.33</v>
    <v>79.930000000000007</v>
    <v>0.66159999999999997</v>
    <v>-0.4</v>
    <v>-4.8010000000000006E-3</v>
    <v>0.19</v>
    <v>2.2910000000000001E-3</v>
    <v>USD</v>
    <v>Medtronic Public Limited Company is an Ireland-based company, which provides healthcare technology solutions. The Company’s products category includes Advanced Surgical Technology; Cardiac Rhythm; Cardiovascular; Digestive &amp; Gastrointestinal; Ear, Nose &amp; Throat; General Surgery; Gynecological; Neurological; Oral &amp; Maxillofacial; Patient Monitoring; Renal Care; Respiratory; Spinal &amp; Orthopedic; Surgical Navigation &amp; Imaging; Urological; Product Manuals; Product Ordering &amp; Inquiries; and Product Performance &amp; Advisories. Its products include Cardiac Implantable Electronic Device (CIED) Stabilization, Aortic Stent Graft Products, CareLink Personal Therapy Management Software, CareLink Pro Therapy Management Software. Its services and solutions include Ambulatory Surgery Center Resources, Care Management Services, Digital Connectivity Information Technology (IT) Support, Equipment Services and Support, Innovation Lab, Medtronic Healthcare Consulting, and Office-Based Sinus Surgery.</v>
    <v>95000</v>
    <v>New York Stock Exchange</v>
    <v>XNYS</v>
    <v>XNYS</v>
    <v>20 LOWER HATCH STREET DUBLIN 2, DUBLIN, D02 XH02 IE</v>
    <v>84.05</v>
    <v>Healthcare Equipment &amp; Supplies</v>
    <v>Stock</v>
    <v>46139.921839467184</v>
    <v>332</v>
    <v>82.863200000000006</v>
    <v>106459744200</v>
    <v>MEDTRONIC PUBLIC LIMITED COMPANY</v>
    <v>MEDTRONIC PUBLIC LIMITED COMPANY</v>
    <v>83.12</v>
    <v>23.154199999999999</v>
    <v>83.32</v>
    <v>82.92</v>
    <v>83.11</v>
    <v>1283885000</v>
    <v>MDT</v>
    <v>MEDTRONIC PUBLIC LIMITED COMPANY (XNYS:MDT)</v>
    <v>6634970</v>
    <v>8395425</v>
    <v>2014</v>
  </rv>
  <rv s="2">
    <v>333</v>
  </rv>
  <rv s="0">
    <v>https://www.bing.com/financeapi/forcetrigger?t=ajfy7w&amp;q=XMIL%3aMFEB&amp;form=skydnc</v>
    <v>Learn more on Bing</v>
  </rv>
  <rv s="3">
    <v>6</v>
    <v>MFE-MEDIAFOREUROPE NV (XMIL:MFEB)</v>
    <v>2</v>
    <v>7</v>
    <v>Finance</v>
    <v>13</v>
    <v>en</v>
    <v>ajfy7w</v>
    <v>268435456</v>
    <v>1</v>
    <v>Powered by Refinitiv</v>
    <v>5.35</v>
    <v>3.04</v>
    <v>1.2245999999999999</v>
    <v>-6.4000000000000001E-2</v>
    <v>-1.6841999999999999E-2</v>
    <v>EUR</v>
    <v>MFE-MEDIAFOREUROPE NV is an Italy-based company engaged in the broadcasting sector. The Company offers commercial television, with a multi-channel and multi-platform business model with television content and networks such as Canale 5, Italia 1 and Retequattro, as well as thematic free-to-air TV channels- both linear and non-linear/OTTV. It is also involved in the acquisition, management, production, and resale of content and rights, through subsidiaries, including R.T.I., Medusa, and Taodue. The Company operates in a radio sector through the RadioMediaset network with 5 radio local stations and it is a member of the European Media Alliance active globally through the companies, including Spanish Mediaset Espana, Ei Towers, and German ProSiebenSat.1.</v>
    <v>11798</v>
    <v>Borsa Italiana</v>
    <v>XMIL</v>
    <v>XMIL</v>
    <v>VIALE EUROPA 46 COLOGNO MONZESE, MILANO, 20093 IT</v>
    <v>3.8159999999999998</v>
    <v>Media &amp; Publishing</v>
    <v>Stock</v>
    <v>46139.666666666664</v>
    <v>335</v>
    <v>3.706</v>
    <v>2353699000</v>
    <v>MFE-MEDIAFOREUROPE NV</v>
    <v>MFE-MEDIAFOREUROPE NV</v>
    <v>3.8159999999999998</v>
    <v>8.7678999999999991</v>
    <v>3.8</v>
    <v>3.7360000000000002</v>
    <v>706143100</v>
    <v>MFEB</v>
    <v>MFE-MEDIAFOREUROPE NV (XMIL:MFEB)</v>
    <v>346050</v>
    <v>534920</v>
    <v>2021</v>
  </rv>
  <rv s="2">
    <v>336</v>
  </rv>
  <rv s="0">
    <v>https://en.wikipedia.org/wiki/Microsoft</v>
    <v>Wikipedia</v>
  </rv>
  <rv s="18">
    <v>325</v>
    <v>338</v>
  </rv>
  <rv s="19">
    <v>42</v>
    <v>https://www.bing.com/th?id=AMMS_e6e837c7bf3a77408619758b7447855a&amp;qlt=95</v>
    <v>339</v>
    <v>0</v>
    <v>https://www.bing.com/images/search?form=xlimg&amp;q=microsoft</v>
    <v>Image of MICROSOFT CORPORATION</v>
  </rv>
  <rv s="0">
    <v>https://www.bing.com/financeapi/forcetrigger?t=a1xzim&amp;q=XNAS%3aMSFT&amp;form=skydnc</v>
    <v>Learn more on Bing</v>
  </rv>
  <rv s="20">
    <v>38</v>
    <v>MICROSOFT CORPORATION (XNAS:MSFT)</v>
    <v>40</v>
    <v>41</v>
    <v>Finance</v>
    <v>5</v>
    <v>en</v>
    <v>a1xzim</v>
    <v>268435456</v>
    <v>1</v>
    <v>Powered by Refinitiv</v>
    <v>555.45000000000005</v>
    <v>356.28</v>
    <v>1.1322000000000001</v>
    <v>0.2</v>
    <v>4.7100000000000001E-4</v>
    <v>0.28000000000000003</v>
    <v>6.5909999999999992E-4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427.11</v>
    <v>340</v>
    <v>Software &amp; IT Services</v>
    <v>Stock</v>
    <v>46139.935282904691</v>
    <v>341</v>
    <v>417.07010000000002</v>
    <v>3154555711780</v>
    <v>MICROSOFT CORPORATION</v>
    <v>MICROSOFT CORPORATION</v>
    <v>422.375</v>
    <v>26.567900000000002</v>
    <v>424.62</v>
    <v>424.82</v>
    <v>425.1</v>
    <v>7425629000</v>
    <v>MSFT</v>
    <v>MICROSOFT CORPORATION (XNAS:MSFT)</v>
    <v>30827434</v>
    <v>34609010</v>
    <v>1993</v>
  </rv>
  <rv s="2">
    <v>342</v>
  </rv>
  <rv s="0">
    <v>https://www.bing.com/financeapi/forcetrigger?t=a1y1qh&amp;q=XNAS%3aMSTR&amp;form=skydnc</v>
    <v>Learn more on Bing</v>
  </rv>
  <rv s="1">
    <v>0</v>
    <v>STRATEGY INC (XNAS:MSTR)</v>
    <v>2</v>
    <v>3</v>
    <v>Finance</v>
    <v>5</v>
    <v>en</v>
    <v>a1y1qh</v>
    <v>268435456</v>
    <v>1</v>
    <v>Powered by Refinitiv</v>
    <v>457.22</v>
    <v>104.16500000000001</v>
    <v>3.6478999999999999</v>
    <v>-1.82</v>
    <v>-1.0642E-2</v>
    <v>0.44</v>
    <v>2.5999999999999999E-3</v>
    <v>USD</v>
    <v>Strategy Inc., formerly MicroStrategy Incorporated, is a bitcoin treasury and business intelligence company. The Company provides cloud-native, artificial intelligence (AI)-powered enterprise analytics software to thousands of global customers. The Company’s Strategy ONE platform provides access to AI-powered workflows, unlimited data sources, cloud-native technologies, and performance to speed up time from data to action. Strategy One delivers visualization, reporting, and embedded analytics capabilities across retail, banking, technology, manufacturing, insurance, consulting, healthcare, telecommunications, and the public sector. Its Strategy Mosaic is a universal intelligence layer that provides enterprises with consistent definitions and governance across data sources, regardless of where that data resides or which tools access it. The Strategy Mosaic offers data clarity and connection by eliminating trade-offs between flexibility, control, and speed.</v>
    <v>1539</v>
    <v>Nasdaq Stock Market</v>
    <v>XNAS</v>
    <v>XNAS</v>
    <v>1850 TOWERS CRESCENT PLAZA, TYSONS CORNER, VA, 22182 US</v>
    <v>175.75</v>
    <v>Software &amp; IT Services</v>
    <v>Stock</v>
    <v>46139.935227291404</v>
    <v>344</v>
    <v>167.61</v>
    <v>59785872479</v>
    <v>STRATEGY INC</v>
    <v>STRATEGY INC</v>
    <v>170.92</v>
    <v>0</v>
    <v>171.02</v>
    <v>169.2</v>
    <v>169.64</v>
    <v>353344400</v>
    <v>MSTR</v>
    <v>STRATEGY INC (XNAS:MSTR)</v>
    <v>13203238</v>
    <v>19976490</v>
    <v>1989</v>
  </rv>
  <rv s="2">
    <v>345</v>
  </rv>
  <rv s="0">
    <v>https://www.bing.com/financeapi/forcetrigger?t=bo5fpr&amp;q=XNAS%3aMRNA&amp;form=skydnc</v>
    <v>Learn more on Bing</v>
  </rv>
  <rv s="1">
    <v>0</v>
    <v>MODERNA, INC. (XNAS:MRNA)</v>
    <v>2</v>
    <v>3</v>
    <v>Finance</v>
    <v>5</v>
    <v>en</v>
    <v>bo5fpr</v>
    <v>268435456</v>
    <v>1</v>
    <v>Powered by Refinitiv</v>
    <v>59.55</v>
    <v>22.28</v>
    <v>1.1403000000000001</v>
    <v>-2.0299999999999998</v>
    <v>-4.0015999999999996E-2</v>
    <v>0.04</v>
    <v>8.2140000000000002E-4</v>
    <v>USD</v>
    <v>Moderna, Inc. is a biotechnology company advancing a new class of medicines made of messenger ribonucleic acid (mRNA). It is engaged in developing medicines across infectious disease vaccines, oncology therapeutics and rare disease therapeutics. Its platform incorporates advances across three components, mRNA, delivery, and the manufacturing process, to advance its medicines. Its products are Spikevax and mNEXSPIKE (its COVID vaccines), and mRESVIA (its vaccine against respiratory syncytial virus (RSV)). It also has a diverse development pipeline that consists of 35 therapeutic and vaccine programs, six of which are in late-stage development. It has regulatory filings under review for its seasonal flu+COVID vaccine (mRNA-1083) in Europe and Canada and for its seasonal flu vaccine (mRNA-1010) in the United States, Europe, Canada and Australia. Its rare disease programs are Propionic acidemia (mRNA-3927); Methylmalonic acidemia (mRNA-3705), and Cystic Fibrosis (mRNA-3692/VX-522).</v>
    <v>4700</v>
    <v>Nasdaq Stock Market</v>
    <v>XNAS</v>
    <v>XNAS</v>
    <v>325 BINNEY STREET, Cambridge, MA, 02142 US</v>
    <v>51.36</v>
    <v>Pharmaceuticals</v>
    <v>Stock</v>
    <v>46139.932942707812</v>
    <v>347</v>
    <v>48.25</v>
    <v>19313782030</v>
    <v>MODERNA, INC.</v>
    <v>MODERNA, INC.</v>
    <v>50.63</v>
    <v>0</v>
    <v>50.73</v>
    <v>48.7</v>
    <v>48.74</v>
    <v>396586900</v>
    <v>MRNA</v>
    <v>MODERNA, INC. (XNAS:MRNA)</v>
    <v>6086604</v>
    <v>6005170</v>
    <v>2016</v>
  </rv>
  <rv s="2">
    <v>348</v>
  </rv>
  <rv s="0">
    <v>https://www.bing.com/financeapi/forcetrigger?t=ajfy27&amp;q=XMIL%3aMONC&amp;form=skydnc</v>
    <v>Learn more on Bing</v>
  </rv>
  <rv s="3">
    <v>6</v>
    <v>Moncler SpA (XMIL:MONC)</v>
    <v>2</v>
    <v>7</v>
    <v>Finance</v>
    <v>13</v>
    <v>en</v>
    <v>ajfy27</v>
    <v>268435456</v>
    <v>1</v>
    <v>Powered by Refinitiv</v>
    <v>59.4</v>
    <v>45.46</v>
    <v>1.212</v>
    <v>0.88</v>
    <v>1.6265999999999999E-2</v>
    <v>EUR</v>
    <v>Moncler SpA is an Italy-based company engaged in fashion industry. The Company designs, produces and distributes clothing and accessories through Moncler brand. Moncler SpA manufactures collections for women, men and children. The Company offers mainly sportswear, outerwear, knitwear and skiwear, including jackets, shoes, sweaters, trousers, bags, shirts, tops, gloves, hats and sunglasses, among others. Moncler SpA trades its products through approximately 122 stores, as well as through the wholesale distribution channel. Moncler SpA operates in approximately 66 countries, including Austria, France, Germany, Switzerland, Turkey, China, Hong Kong, Japan, Taiwan and the United States, among others.</v>
    <v>8533</v>
    <v>Borsa Italiana</v>
    <v>XMIL</v>
    <v>XMIL</v>
    <v>Via Stendhal, 47, MILANO, MILANO, 20144 IT</v>
    <v>55.36</v>
    <v>Textiles &amp; Apparel</v>
    <v>Stock</v>
    <v>46139.666666666664</v>
    <v>350</v>
    <v>54</v>
    <v>14630670000</v>
    <v>Moncler SpA</v>
    <v>Moncler SpA</v>
    <v>54.1</v>
    <v>23.441199999999998</v>
    <v>54.1</v>
    <v>54.98</v>
    <v>274805900</v>
    <v>MONC</v>
    <v>Moncler SpA (XMIL:MONC)</v>
    <v>554426</v>
    <v>1094980</v>
    <v>2004</v>
  </rv>
  <rv s="2">
    <v>351</v>
  </rv>
  <rv s="0">
    <v>https://www.bing.com/financeapi/forcetrigger?t=a1xugh&amp;q=XNYS%3aMOH&amp;form=skydnc</v>
    <v>Learn more on Bing</v>
  </rv>
  <rv s="1">
    <v>0</v>
    <v>MOLINA HEALTHCARE, INC. (XNYS:MOH)</v>
    <v>2</v>
    <v>3</v>
    <v>Finance</v>
    <v>5</v>
    <v>en</v>
    <v>a1xugh</v>
    <v>268435456</v>
    <v>1</v>
    <v>Powered by Refinitiv</v>
    <v>333</v>
    <v>121.06</v>
    <v>0.72870000000000001</v>
    <v>3.355</v>
    <v>1.9068999999999999E-2</v>
    <v>0.24</v>
    <v>1.3389999999999999E-3</v>
    <v>USD</v>
    <v>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it offers managed healthcare services. Medicaid provides healthcare and long-term services and support to low-income Americans. Medicare is a federal program that provides eligible persons aged 65 and over, and some disabled persons, with a variety of hospital, medical insurance, and prescription drug benefits. The Marketplace insurance exchanges allow individuals and small groups to purchase federally subsidized health insurance. It arranges healthcare services for its members through contracts with a network of providers, including independent physicians and physician groups, hospitals, ancillary providers, and pharmacies.</v>
    <v>19000</v>
    <v>New York Stock Exchange</v>
    <v>XNYS</v>
    <v>XNYS</v>
    <v>200 Oceangate, Suite 100, LONG BEACH, CA, 90802 US</v>
    <v>180.3</v>
    <v>Healthcare Providers &amp; Services</v>
    <v>Stock</v>
    <v>46139.931148332813</v>
    <v>353</v>
    <v>172.82239999999999</v>
    <v>9341269500</v>
    <v>MOLINA HEALTHCARE, INC.</v>
    <v>MOLINA HEALTHCARE, INC.</v>
    <v>177.96</v>
    <v>47.696300000000001</v>
    <v>175.94</v>
    <v>179.29499999999999</v>
    <v>179.46</v>
    <v>52100000</v>
    <v>MOH</v>
    <v>MOLINA HEALTHCARE, INC. (XNYS:MOH)</v>
    <v>1493936</v>
    <v>1862314</v>
    <v>2002</v>
  </rv>
  <rv s="2">
    <v>354</v>
  </rv>
  <rv s="0">
    <v>https://www.bing.com/financeapi/forcetrigger?t=a1y4im&amp;q=XNYS%3aMTX&amp;form=skydnc</v>
    <v>Learn more on Bing</v>
  </rv>
  <rv s="6">
    <v>14</v>
    <v>MINERALS TECHNOLOGIES INC. (XNYS:MTX)</v>
    <v>2</v>
    <v>15</v>
    <v>Finance</v>
    <v>4</v>
    <v>en</v>
    <v>a1y4im</v>
    <v>268435456</v>
    <v>1</v>
    <v>Powered by Refinitiv</v>
    <v>75.295000000000002</v>
    <v>49.54</v>
    <v>1.1306</v>
    <v>0.41</v>
    <v>5.7060000000000001E-3</v>
    <v>0</v>
    <v>0</v>
    <v>USD</v>
    <v>Minerals Technologies Inc. is a technology-driven specialty minerals company that develops, produces, and markets a range of mineral and mineral-based products, related systems and services. Its segments include Consumer &amp; Specialties and Engineered Solutions. Consumer &amp; Specialties segment serves consumer end markets directly with mineral-to-market finished products and provides specialty mineral-based solutions and technologies that are an essential component of its customers’ finished products. This segment includes two product lines: Household &amp; Personal Care and Specialty Additives. Engineered Solutions segment serves industrial end markets with engineered systems, mineral blends, and technologies that are designed to improve its customers’ manufacturing processes and projects. This segment includes two product lines: High-Temperature Technologies and Environmental &amp; Infrastructure. The Environmental &amp; Infrastructure provides environmental, construction and remediation solutions.</v>
    <v>3782</v>
    <v>New York Stock Exchange</v>
    <v>XNYS</v>
    <v>XNYS</v>
    <v>622 3rd Avenue, NEW YORK, NY, 10017-6707 US</v>
    <v>72.638000000000005</v>
    <v>Chemicals</v>
    <v>Stock</v>
    <v>46139.840334166409</v>
    <v>356</v>
    <v>71.5</v>
    <v>2242047150</v>
    <v>MINERALS TECHNOLOGIES INC.</v>
    <v>MINERALS TECHNOLOGIES INC.</v>
    <v>71.91</v>
    <v>71.849999999999994</v>
    <v>72.260000000000005</v>
    <v>72.260000000000005</v>
    <v>31027500</v>
    <v>MTX</v>
    <v>MINERALS TECHNOLOGIES INC. (XNYS:MTX)</v>
    <v>131580</v>
    <v>195417</v>
    <v>1968</v>
  </rv>
  <rv s="2">
    <v>357</v>
  </rv>
  <rv s="0">
    <v>https://www.bing.com/financeapi/forcetrigger?t=bnkb5r&amp;q=BMEX%3aNTGY&amp;form=skydnc</v>
    <v>Learn more on Bing</v>
  </rv>
  <rv s="1">
    <v>0</v>
    <v>Naturgy Energy Group SA (BMEX:NTGY)</v>
    <v>2</v>
    <v>35</v>
    <v>Finance</v>
    <v>32</v>
    <v>en</v>
    <v>bnkb5r</v>
    <v>268435456</v>
    <v>1</v>
    <v>Powered by Refinitiv</v>
    <v>27.9</v>
    <v>24.3</v>
    <v>0.374</v>
    <v>0.06</v>
    <v>2.1949999999999999E-3</v>
    <v>0.02</v>
    <v>7.2990000000000001E-4</v>
    <v>EUR</v>
    <v>Naturgy Energy Group SA, formerly Gas Natural SDG SA, is a Spain-based company active in the energy sector. The Company's activities are divided into four business segments: Gas &amp; Electricity, which includes generation and renewables businesses, gas supply, marketing and logistics of liquefied natural gas (LNG) worldwide, as well as gas and electricity commercialization in Europe; Infrastructure Spain &amp; EMPL - Medgaz, which comprises gas and electricity network businesses in Spain and the Maghreb gas pipelines; Infrastructure Latin America South Zone that implies gas and electricity networks businesses in Chile, Argentina, Brazil and Peru, and Infrastructure Latin America North Zone, which includes gas and electricity network businesses in Mexico and Panama.</v>
    <v>6764</v>
    <v>Bolsas y Mercados Espanoles</v>
    <v>BMEX</v>
    <v>BMEX</v>
    <v>Avenida de America, 38, MADRID, MADRID, 28028 ES</v>
    <v>27.58</v>
    <v>Natural Gas Utilities</v>
    <v>Stock</v>
    <v>46139.666666666664</v>
    <v>359</v>
    <v>27.1</v>
    <v>24589410000</v>
    <v>Naturgy Energy Group SA</v>
    <v>Naturgy Energy Group SA</v>
    <v>27.1</v>
    <v>12.612399999999999</v>
    <v>27.34</v>
    <v>27.4</v>
    <v>27.42</v>
    <v>969613800</v>
    <v>NTGY</v>
    <v>Naturgy Energy Group SA (BMEX:NTGY)</v>
    <v>2263671</v>
    <v>1480670</v>
    <v>1843</v>
  </rv>
  <rv s="2">
    <v>360</v>
  </rv>
  <rv s="0">
    <v>https://www.bing.com/financeapi/forcetrigger?t=bsjhec&amp;q=XNAS%3aNEOV&amp;form=skydnc</v>
    <v>Learn more on Bing</v>
  </rv>
  <rv s="1">
    <v>0</v>
    <v>NEOVOLTA INC (XNAS:NEOV)</v>
    <v>2</v>
    <v>3</v>
    <v>Finance</v>
    <v>4</v>
    <v>en</v>
    <v>bsjhec</v>
    <v>268435456</v>
    <v>1</v>
    <v>Powered by Refinitiv</v>
    <v>7.13</v>
    <v>2.605</v>
    <v>-0.33629999999999999</v>
    <v>0.13</v>
    <v>4.6763000000000006E-2</v>
    <v>-0.04</v>
    <v>-1.3746000000000001E-2</v>
    <v>USD</v>
    <v>NeoVolta Inc. is an energy technology company delivering scalable storage for residential and commercial power infrastructure. Its products include NV WAVE, NV14 + NV24, NVPlus + NV7600, NV16 and C&amp;I. It primarily markets and sells its products directly to its certified solar installers and solar equipment distributors. The NV Wave integrates a system controller with inverters, a BMU and battery modules with individual BMS's into one streamlined unit. The NeoVolta NV14 is a fully integrated hybrid inverter energy storage system. The NV24 is an expansion battery module designed to boost the energy storage capacity of the NV14 system from 14.4kWh to a total of 24.0kWh. The NeoVolta NV7600 is a compact 7.6 kW all-in-one hybrid inverter designed for both grid-tie and off-grid operation. Its neuClick system integrates battery, inverter, and communications within a compact, plug-and-play housing that can be installed by a single licensed electrician in less than 30 minutes.</v>
    <v>17</v>
    <v>Nasdaq Stock Market</v>
    <v>XNAS</v>
    <v>XNAS</v>
    <v>12195 Dearborn Place, POWAY, CA, 92064 US</v>
    <v>2.93</v>
    <v>Machinery, Equipment &amp; Components</v>
    <v>Stock</v>
    <v>46139.876515497657</v>
    <v>362</v>
    <v>2.7749999999999999</v>
    <v>124289883</v>
    <v>NEOVOLTA INC</v>
    <v>NEOVOLTA INC</v>
    <v>2.78</v>
    <v>0</v>
    <v>2.78</v>
    <v>2.91</v>
    <v>2.87</v>
    <v>42711300</v>
    <v>NEOV</v>
    <v>NEOVOLTA INC (XNAS:NEOV)</v>
    <v>184891</v>
    <v>503296</v>
    <v>2018</v>
  </rv>
  <rv s="2">
    <v>363</v>
  </rv>
  <rv s="0">
    <v>https://www.bing.com/financeapi/forcetrigger?t=bpr88m&amp;q=XMIL%3aNEXI&amp;form=skydnc</v>
    <v>Learn more on Bing</v>
  </rv>
  <rv s="5">
    <v>11</v>
    <v>Nexi SpA (XMIL:NEXI)</v>
    <v>2</v>
    <v>12</v>
    <v>Finance</v>
    <v>13</v>
    <v>en</v>
    <v>bpr88m</v>
    <v>268435456</v>
    <v>1</v>
    <v>Powered by Refinitiv</v>
    <v>5.71</v>
    <v>2.64</v>
    <v>1.0410999999999999</v>
    <v>5.8000000000000003E-2</v>
    <v>1.5207E-2</v>
    <v>EUR</v>
    <v>Nexi SpA is an Italy-based financial technology company. The Company is specialized in the payment technology field offering digital services and infrastructure to banks, individuals, businesses, institutions and the public administration. It operates through three segments Merchant Services &amp; Solutions, Cards &amp; Digital Payments, Digital Banking Solutions. The Company’s solutions includes credit, debit and prepaid cards, smartphone and wearable payments, electronic invoices, acceptance systems and other banking solutions, among others.</v>
    <v>9570</v>
    <v>Borsa Italiana</v>
    <v>XMIL</v>
    <v>XMIL</v>
    <v>CORSO SEMPIONE, 55, MILANO, 20149 IT</v>
    <v>3.8919999999999999</v>
    <v>Professional &amp; Commercial Services</v>
    <v>Stock</v>
    <v>46139.666666666664</v>
    <v>365</v>
    <v>3.7</v>
    <v>4513127000</v>
    <v>Nexi SpA</v>
    <v>Nexi SpA</v>
    <v>3.7639999999999998</v>
    <v>0</v>
    <v>3.8140000000000001</v>
    <v>3.8719999999999999</v>
    <v>1172545000</v>
    <v>NEXI</v>
    <v>Nexi SpA (XMIL:NEXI)</v>
    <v>14706869</v>
    <v>16201010</v>
  </rv>
  <rv s="2">
    <v>366</v>
  </rv>
  <rv s="0">
    <v>https://www.bing.com/financeapi/forcetrigger?t=a1yo1h&amp;q=XNYS%3aNOV&amp;form=skydnc</v>
    <v>Learn more on Bing</v>
  </rv>
  <rv s="1">
    <v>0</v>
    <v>NOV INC. (XNYS:NOV)</v>
    <v>2</v>
    <v>3</v>
    <v>Finance</v>
    <v>4</v>
    <v>en</v>
    <v>a1yo1h</v>
    <v>268435456</v>
    <v>1</v>
    <v>Powered by Refinitiv</v>
    <v>20.93</v>
    <v>11.239800000000001</v>
    <v>0.93279999999999996</v>
    <v>0.32</v>
    <v>1.5609999999999999E-2</v>
    <v>-1.2949999999999999</v>
    <v>-6.2199999999999998E-2</v>
    <v>USD</v>
    <v>NOV Inc. is an independent provider of equipment and technology to the upstream oil and gas industry. The Company's proprietary technology portfolio supports the industry’s drilling, completion, and production needs. It operates under two segments: Energy Products and Services, and Energy Equipment. The Company’s Energy Products and Services segment primarily designs, manufactures, rents, and sells products and equipment used in drilling, intervention, completion, and production activities. Its products include drill bits, downhole tools, premium drill pipe, drilling fluids, managed pressure drilling, integral and weld-on connectors for conductor strings and surface casing, completion tools, and artificial lift systems. Its Energy Equipment segment manufactures and supports the capital equipment and integrated systems needed for oil and gas exploration and production, both onshore and offshore, as well as for other marine-based, industrial and renewable energy markets.</v>
    <v>31605</v>
    <v>New York Stock Exchange</v>
    <v>XNYS</v>
    <v>XNYS</v>
    <v>10353 RICHMOND AVE., HOUSTON, TX, 77042 US</v>
    <v>20.93</v>
    <v>Oil &amp; Gas Related Equipment and Services</v>
    <v>Stock</v>
    <v>46139.92422599531</v>
    <v>368</v>
    <v>20.425000000000001</v>
    <v>7508335338</v>
    <v>NOV INC.</v>
    <v>NOV INC.</v>
    <v>20.65</v>
    <v>55.3429</v>
    <v>20.5</v>
    <v>20.82</v>
    <v>19.524999999999999</v>
    <v>360630900</v>
    <v>NOV</v>
    <v>NOV INC. (XNYS:NOV)</v>
    <v>6170339</v>
    <v>4838909</v>
    <v>1995</v>
  </rv>
  <rv s="2">
    <v>369</v>
  </rv>
  <rv s="0">
    <v>https://www.bing.com/financeapi/forcetrigger?t=amfzxm&amp;q=BMEX%3aOHLA&amp;form=skydnc</v>
    <v>Learn more on Bing</v>
  </rv>
  <rv s="5">
    <v>11</v>
    <v>Obrascon Huarte Lain SA (BMEX:OHLA)</v>
    <v>2</v>
    <v>12</v>
    <v>Finance</v>
    <v>8</v>
    <v>en</v>
    <v>amfzxm</v>
    <v>268435456</v>
    <v>1</v>
    <v>Powered by Refinitiv</v>
    <v>0.504</v>
    <v>0.28699999999999998</v>
    <v>1.0644</v>
    <v>-6.1999999999999998E-3</v>
    <v>-1.3102000000000001E-2</v>
    <v>EUR</v>
    <v>Obrascon Huarte Lain SA (OHL) is a Spain-based company engaged in the construction and engineering sectors. Its activities are structured into three segments: Concessions, Engineering and construction, as well as Development. The Concessions division focuses on the promotion, development and management of a range of transportation infrastructure, such as highways, railways, airports and ports. The Engineering and construction division comprises three business lines: Construction, which is responsible for building civil infrastructure; Industrial, which is involved in the construction, maintenance and operation of industrial plants, and Services, which includes cleaning and maintenance of buildings and public roads, waste management and green area conservation. The Development division promotes and manages tourist resorts and commercial centers. The Company, through its subsidiaries, is present in the Americas, Europe, Asia, Africa and Oceania. It is controlled by Grupo Villar Mir SAU.</v>
    <v>7769</v>
    <v>Bolsas y Mercados Espanoles</v>
    <v>BMEX</v>
    <v>BMEX</v>
    <v>Torre Emperador. Paseo de la Castellana, 259, MADRID, MADRID, 28046 ES</v>
    <v>0.47760000000000002</v>
    <v>Construction &amp; Engineering</v>
    <v>Stock</v>
    <v>46139.666666666664</v>
    <v>371</v>
    <v>0.46260000000000001</v>
    <v>504952800</v>
    <v>Obrascon Huarte Lain SA</v>
    <v>Obrascon Huarte Lain SA</v>
    <v>0.47320000000000001</v>
    <v>100.68089999999999</v>
    <v>0.47320000000000001</v>
    <v>0.46700000000000003</v>
    <v>1383432000</v>
    <v>OHLA</v>
    <v>Obrascon Huarte Lain SA (BMEX:OHLA)</v>
    <v>10198255</v>
    <v>12445440</v>
  </rv>
  <rv s="2">
    <v>372</v>
  </rv>
  <rv s="0">
    <v>https://www.bing.com/financeapi/forcetrigger?t=alogyc&amp;q=XAMS%3aOCI&amp;form=skydnc</v>
    <v>Learn more on Bing</v>
  </rv>
  <rv s="3">
    <v>6</v>
    <v>OCI NV (XAMS:OCI)</v>
    <v>2</v>
    <v>7</v>
    <v>Finance</v>
    <v>8</v>
    <v>en</v>
    <v>alogyc</v>
    <v>268435456</v>
    <v>1</v>
    <v>Powered by Refinitiv</v>
    <v>5.74</v>
    <v>2.5499999999999998</v>
    <v>9.4100000000000003E-2</v>
    <v>-7.3999999999999996E-2</v>
    <v>-2.0363000000000003E-2</v>
    <v>EUR</v>
    <v>OCI NV is a producer and distributor of natural gas-based fertilizers and industrial chemicals based in the Netherlands. Its portfolio of nitrogen fertilizers and industrial chemicals includes hydrous ammonia in liquid and gaseous form, granular urea, urea ammonium nitrate, calcium ammonium nitrate and melamine. It also distributes crystalline and granular ammonium sulphate. The Company's subsidiaries include, among others, OCI Partners LP, which operates OCI Beaumont LLC, an integrated methanol and anhydrous ammonia production in Texas, United States, and Iowa Fertilizer Co, a producer of fertilizers based in the United States. It serves mainly agricultural and industrial customers and operates production sites in the Netherlands, the United States, Egypt and Algeria. The Company's distribution network spans the Americas, Europe, Asia, Africa and Australia.</v>
    <v>610</v>
    <v>Euronext Amsterdam</v>
    <v>XAMS</v>
    <v>XAMS</v>
    <v>Honthorststraat 19, AMSTERDAM, NOORD-HOLLAND, 1071DC NL</v>
    <v>3.65</v>
    <v>Chemicals</v>
    <v>Stock</v>
    <v>46139.666666666664</v>
    <v>374</v>
    <v>3.5219999999999998</v>
    <v>675734400</v>
    <v>OCI NV</v>
    <v>OCI NV</v>
    <v>3.6440000000000001</v>
    <v>0</v>
    <v>3.6339999999999999</v>
    <v>3.56</v>
    <v>211358000</v>
    <v>OCI</v>
    <v>OCI NV (XAMS:OCI)</v>
    <v>247078</v>
    <v>306110</v>
    <v>2013</v>
  </rv>
  <rv s="2">
    <v>375</v>
  </rv>
  <rv s="0">
    <v>https://www.bing.com/financeapi/forcetrigger?t=c24xbh&amp;q=XNYS%3aOGN&amp;form=skydnc</v>
    <v>Learn more on Bing</v>
  </rv>
  <rv s="1">
    <v>0</v>
    <v>ORGANON &amp; CO. (XNYS:OGN)</v>
    <v>2</v>
    <v>3</v>
    <v>Finance</v>
    <v>5</v>
    <v>en</v>
    <v>c24xbh</v>
    <v>268435456</v>
    <v>1</v>
    <v>Powered by Refinitiv</v>
    <v>13.244999999999999</v>
    <v>5.69</v>
    <v>1.2524</v>
    <v>1.915</v>
    <v>0.170071</v>
    <v>0.01</v>
    <v>7.5989999999999999E-4</v>
    <v>USD</v>
    <v>Organon &amp; Co. is a global healthcare company. The Company is engaged in developing and delivering health solutions through a portfolio of prescription therapies and medical devices within women's health, biosimilars and a franchise of established medicines across a range of therapeutic areas. It has a portfolio of approximately 70 medicines and products across a range of therapeutic areas. It has a portfolio of contraception and fertility brands, including Nexplanon, NuvaRing, and Follistim AQ. Its Biosimilars portfolio spans across immunology and oncology treatments. It also has a portfolio of established brands, including brands in cardiovascular, dermatology and non-opioid pain management. It sells these products through various channels, including drug wholesalers and retailers, hospitals, government agencies and managed health care providers, such as pharmacy benefit managers and other institutions.</v>
    <v>10000</v>
    <v>New York Stock Exchange</v>
    <v>XNYS</v>
    <v>XNYS</v>
    <v>30 Hudson Street, Fl 33, JERSEY CITY, NJ, 07302 US</v>
    <v>13.24</v>
    <v>Pharmaceuticals</v>
    <v>Stock</v>
    <v>46139.934893899997</v>
    <v>377</v>
    <v>13.15</v>
    <v>3429658030</v>
    <v>ORGANON &amp; CO.</v>
    <v>ORGANON &amp; CO.</v>
    <v>13.215</v>
    <v>15.7127</v>
    <v>11.26</v>
    <v>13.175000000000001</v>
    <v>13.17</v>
    <v>260315600</v>
    <v>OGN</v>
    <v>ORGANON &amp; CO. (XNYS:OGN)</v>
    <v>133812239</v>
    <v>8141851</v>
    <v>2020</v>
  </rv>
  <rv s="2">
    <v>378</v>
  </rv>
  <rv s="0">
    <v>https://www.bing.com/financeapi/forcetrigger?t=a1z2f2&amp;q=XNYS%3aOC&amp;form=skydnc</v>
    <v>Learn more on Bing</v>
  </rv>
  <rv s="6">
    <v>14</v>
    <v>OWENS CORNING (XNYS:OC)</v>
    <v>2</v>
    <v>15</v>
    <v>Finance</v>
    <v>4</v>
    <v>en</v>
    <v>a1z2f2</v>
    <v>268435456</v>
    <v>1</v>
    <v>Powered by Refinitiv</v>
    <v>159.41999999999999</v>
    <v>97.53</v>
    <v>1.3715999999999999</v>
    <v>-0.09</v>
    <v>-7.1650000000000001E-4</v>
    <v>-2.5099999999999998</v>
    <v>-1.9997000000000001E-2</v>
    <v>USD</v>
    <v>Owens Corning is a building products company. The Company's segments include Roofing, Insulation and Doors. The Company's Roofing segment manufactures and sells residential roofing shingles, oxidized asphalt materials, roofing components and composite lumber primarily used in residential construction. This segment also manufactures and sells glass mat and specialty veil materials used in building and construction applications. Its Insulation segment manufactures and sells thermal and acoustical batts, loose fill insulation, spray foam insulation, wet used chopped strand, foam sheathing and accessories. It also manufactures and sells glass fiber pipe insulation, energy efficient flexible duct media, bonded and granulated stone wool insulation, cellular glass insulation, and foam insulation used in above- and below-grade construction applications. The Company's Doors segment manufactures and sells interior and exterior doors and door systems primarily used in residential construction.</v>
    <v>25000</v>
    <v>New York Stock Exchange</v>
    <v>XNYS</v>
    <v>XNYS</v>
    <v>One Owens Corning Parkway, TOLEDO, OH, 43659 US</v>
    <v>128.03</v>
    <v>Homebuilding &amp; Construction Supplies</v>
    <v>Stock</v>
    <v>46139.884152626561</v>
    <v>380</v>
    <v>125.02</v>
    <v>10089695498</v>
    <v>OWENS CORNING</v>
    <v>OWENS CORNING</v>
    <v>126.15</v>
    <v>125.61</v>
    <v>125.52</v>
    <v>123.01</v>
    <v>80383170</v>
    <v>OC</v>
    <v>OWENS CORNING (XNYS:OC)</v>
    <v>674783</v>
    <v>1219314</v>
    <v>2006</v>
  </rv>
  <rv s="2">
    <v>381</v>
  </rv>
  <rv s="0">
    <v>https://www.bing.com/financeapi/forcetrigger?t=amg177&amp;q=BMEX%3aORY&amp;form=skydnc</v>
    <v>Learn more on Bing</v>
  </rv>
  <rv s="4">
    <v>9</v>
    <v>Oryzon Genomics SA (BMEX:ORY)</v>
    <v>2</v>
    <v>10</v>
    <v>Finance</v>
    <v>8</v>
    <v>en</v>
    <v>amg177</v>
    <v>268435456</v>
    <v>1</v>
    <v>Powered by Refinitiv</v>
    <v>4.0199999999999996</v>
    <v>2.5550000000000002</v>
    <v>0.75639999999999996</v>
    <v>2.1999999999999999E-2</v>
    <v>7.8849999999999996E-3</v>
    <v>EUR</v>
    <v>Oryzon Genomics SA, is a Spain-based clinical phase biopharmaceutical company, which discovers and develops drugs based on epigenetics for the treatment of oncological and neurological diseases. Its compounds in clinical development include iadademstat (ORY-lOOl), an LSD1 inhibitor that is in Phase II trials for the treatment of acute myeloid leukemia and small cell lung cancer; and vafidemstat (ORY-2001), an LSD1 inhibitor optimized for the Central Nervous System (CNS), in multiple Phase II clinical trials for the treatment of CNS and psychiatric illnesses. The Company also has ORY-3001, in preclinical development for the treatment of non-oncological diseases and has additional programs to develop inhibitors against other epigenetic targets.</v>
    <v>44</v>
    <v>Bolsas y Mercados Espanoles</v>
    <v>BMEX</v>
    <v>BMEX</v>
    <v>Sant Ferran 74, 08940 ES</v>
    <v>2.84</v>
    <v>Biotechnology &amp; Medical Research</v>
    <v>Stock</v>
    <v>46139.666666666664</v>
    <v>383</v>
    <v>2.79</v>
    <v>261232800</v>
    <v>Oryzon Genomics SA</v>
    <v>Oryzon Genomics SA</v>
    <v>2.79</v>
    <v>2.79</v>
    <v>2.8119999999999998</v>
    <v>79887700</v>
    <v>ORY</v>
    <v>Oryzon Genomics SA (BMEX:ORY)</v>
    <v>92312</v>
    <v>250460</v>
    <v>2000</v>
  </rv>
  <rv s="2">
    <v>384</v>
  </rv>
  <rv s="0">
    <v>https://www.bing.com/financeapi/forcetrigger?t=a1zlu2&amp;q=XNAS%3aPCRX&amp;form=skydnc</v>
    <v>Learn more on Bing</v>
  </rv>
  <rv s="1">
    <v>0</v>
    <v>PACIRA BIOSCIENCES, INC. (XNAS:PCRX)</v>
    <v>2</v>
    <v>3</v>
    <v>Finance</v>
    <v>4</v>
    <v>en</v>
    <v>a1zlu2</v>
    <v>268435456</v>
    <v>1</v>
    <v>Powered by Refinitiv</v>
    <v>27.64</v>
    <v>18.8</v>
    <v>0.28670000000000001</v>
    <v>1.04</v>
    <v>4.2431999999999997E-2</v>
    <v>0.38269999999999998</v>
    <v>1.4978E-2</v>
    <v>USD</v>
    <v>Pacira BioSciences, Inc. is the holding company for its subsidiary, Pacira Pharmaceuticals, Inc. The Company has three commercial-stage non-opioid treatments: EXPAREL (bupivacaine liposome injectable suspension), a long-acting local analgesic approved for infiltration, fascial plane block, and as an interscalene brachial plexus nerve block, an adductor canal nerve block, and a sciatic nerve block in the popliteal fossa for postsurgical pain management; ZILRETTA (triamcinolone acetonide extended-release injectable suspension), an extended-release, intra-articular injection indicated for the management of osteoarthritis knee pain, and iovera, a handheld device for delivering immediate, long-acting, drug-free pain control using precise, controlled doses of cold temperature to a targeted nerve. The Company is also advancing the development of PCRX-201, a locally administered gene therapy with the potential to treat largely prevalent diseases like osteoarthritis.</v>
    <v>829</v>
    <v>Nasdaq Stock Market</v>
    <v>XNAS</v>
    <v>XNAS</v>
    <v>2000 SIERRA POINT PARKWAY, SUITE 900, BRISBANE, CA, 94005 US</v>
    <v>25.68</v>
    <v>Pharmaceuticals</v>
    <v>Stock</v>
    <v>46139.915775022659</v>
    <v>386</v>
    <v>24.07</v>
    <v>1034516689</v>
    <v>PACIRA BIOSCIENCES, INC.</v>
    <v>PACIRA BIOSCIENCES, INC.</v>
    <v>24.51</v>
    <v>162.6353</v>
    <v>24.51</v>
    <v>25.55</v>
    <v>25.932700000000001</v>
    <v>40489890</v>
    <v>PCRX</v>
    <v>PACIRA BIOSCIENCES, INC. (XNAS:PCRX)</v>
    <v>490926</v>
    <v>582034</v>
    <v>2006</v>
  </rv>
  <rv s="2">
    <v>387</v>
  </rv>
  <rv s="0">
    <v>https://www.bing.com/financeapi/forcetrigger?t=c1tsrw&amp;q=XNAS%3aPGY&amp;form=skydnc</v>
    <v>Learn more on Bing</v>
  </rv>
  <rv s="1">
    <v>0</v>
    <v>PAGAYA TECHNOLOGIES LTD (XNAS:PGY)</v>
    <v>2</v>
    <v>3</v>
    <v>Finance</v>
    <v>5</v>
    <v>en</v>
    <v>c1tsrw</v>
    <v>268435456</v>
    <v>1</v>
    <v>Powered by Refinitiv</v>
    <v>44.99</v>
    <v>10.4</v>
    <v>5.4657999999999998</v>
    <v>-0.3</v>
    <v>-2.2075000000000001E-2</v>
    <v>-0.01</v>
    <v>-7.5239999999999997E-4</v>
    <v>USD</v>
    <v>Pagaya Technologies Ltd is an Israel-based company. It is primarily engaged in financial technology (FinTech) industry. The Company develops data science, machine learning and AI technology (Artificial Intelligence) analytics, enabling accurate, real-time customer credit assessments. Company's customers are lending companies that, by connecting to the AI Pagaya network, have the opportunity to discover and approve new customers that meet their credit criteria. Thanks to the Company's solutions, its customers gains a customer without undue risk. Pagaya Technologies Ltd delivers technology that provides loan assistance such as personal, car and credit card loans. The Company serves its clients all over the world.</v>
    <v>518</v>
    <v>Nasdaq Stock Market</v>
    <v>XNAS</v>
    <v>XNAS</v>
    <v>121 Menachem Begin Rd., 54Th Floor IL</v>
    <v>13.83</v>
    <v>Financial Technology (Fintech) &amp; Infrastructure</v>
    <v>Stock</v>
    <v>46139.932964895313</v>
    <v>389</v>
    <v>13.225</v>
    <v>1096776387</v>
    <v>PAGAYA TECHNOLOGIES LTD</v>
    <v>PAGAYA TECHNOLOGIES LTD</v>
    <v>13.59</v>
    <v>14.7913</v>
    <v>13.59</v>
    <v>13.29</v>
    <v>13.28</v>
    <v>82526440</v>
    <v>PGY</v>
    <v>PAGAYA TECHNOLOGIES LTD (XNAS:PGY)</v>
    <v>2492717</v>
    <v>3268152</v>
    <v>2016</v>
  </rv>
  <rv s="2">
    <v>390</v>
  </rv>
  <rv s="0">
    <v>https://www.bing.com/financeapi/forcetrigger?t=a269k2&amp;q=XNAS%3aPGEN&amp;form=skydnc</v>
    <v>Learn more on Bing</v>
  </rv>
  <rv s="1">
    <v>0</v>
    <v>Precigen, Inc. (XNAS:PGEN)</v>
    <v>2</v>
    <v>3</v>
    <v>Finance</v>
    <v>5</v>
    <v>en</v>
    <v>a269k2</v>
    <v>268435456</v>
    <v>1</v>
    <v>Powered by Refinitiv</v>
    <v>5.4649999999999999</v>
    <v>1.2250000000000001</v>
    <v>1.0689</v>
    <v>-0.17</v>
    <v>-4.1162000000000004E-2</v>
    <v>7.0000000000000007E-2</v>
    <v>1.7677000000000002E-2</v>
    <v>USD</v>
    <v>Precigen, Inc. is a discovery and clinical-stage biopharmaceutical company developing gene and cell therapies for improving outcomes for patients with unmet medical needs. The Company’s proprietary technology platforms develop product candidates designed to target urgent and intractable diseases in its core therapeutic areas of immuno-oncology, autoimmune disorders, and infectious diseases. It has developed a pipeline of therapies across multiple indications. The Company’s segments include Biopharmaceuticals and Exemplar. The Biopharmaceuticals segment is primarily comprised of the Company's legal entities as well as royalty interests in therapeutics and therapeutic platforms from companies not controlled by the Company. The Exemplar is composed of Exemplar Genetics LLC, doing business as Precigen Exemplar, its wholly owned subsidiary focused on developing research models and services for healthcare research applications.</v>
    <v>160</v>
    <v>Nasdaq Stock Market</v>
    <v>XNAS</v>
    <v>XNAS</v>
    <v>20374 SENECA MEADOWS PARKWAY, GERMANTOWN, MD, 20876 US</v>
    <v>4.24</v>
    <v>Pharmaceuticals</v>
    <v>Stock</v>
    <v>46139.932911678123</v>
    <v>392</v>
    <v>3.9550000000000001</v>
    <v>1401557652</v>
    <v>Precigen, Inc.</v>
    <v>Precigen, Inc.</v>
    <v>4.0999999999999996</v>
    <v>0</v>
    <v>4.13</v>
    <v>3.96</v>
    <v>4.03</v>
    <v>353928700</v>
    <v>PGEN</v>
    <v>Precigen, Inc. (XNAS:PGEN)</v>
    <v>2800090</v>
    <v>5286563</v>
    <v>2004</v>
  </rv>
  <rv s="2">
    <v>393</v>
  </rv>
  <rv s="0">
    <v>https://www.bing.com/financeapi/forcetrigger?t=amg1fr&amp;q=BMEX%3aPHM&amp;form=skydnc</v>
    <v>Learn more on Bing</v>
  </rv>
  <rv s="3">
    <v>6</v>
    <v>Pharma Mar SA (BMEX:PHM)</v>
    <v>2</v>
    <v>7</v>
    <v>Finance</v>
    <v>8</v>
    <v>en</v>
    <v>amg1fr</v>
    <v>268435456</v>
    <v>1</v>
    <v>Powered by Refinitiv</v>
    <v>102.4</v>
    <v>70.099999999999994</v>
    <v>0.75619999999999998</v>
    <v>2.2000000000000002</v>
    <v>2.3243999999999997E-2</v>
    <v>EUR</v>
    <v>Pharma Mar SA is a Spain-based integrated biopharmaceutical company focused on oncology and committed to research and development (R&amp;D) of antitumor drugs of marine origin. The Company, through its subsidiaries, operates three business segments: Oncology, Diagnostics and RNA interference. The Oncology segment encompasses research, develop and market anti-tumor drugs. The Diagnostics segment includes the development and marketing of diagnostic kits. The RNA interference segment consist of the development of drugs with therapeutic activity based on reducing or silencing gene expression. The Company’s product portfolio includes Yondelis and ZEPZELCA. Yondelis (trabectedin) is indicated for the treatment of advanced soft tissue sarcoma, as well as for the treatment of relapsed platinum-sensitive ovarian cancer. ZEPZELCA (lurbinectedin) is indicated for the treatment of metastatic small cell lung cancer (SCLC) with disease progression. The Company is active globally.</v>
    <v>505</v>
    <v>Bolsas y Mercados Espanoles</v>
    <v>BMEX</v>
    <v>BMEX</v>
    <v>Avenida de los Reyes 1 Poligono Industrial La Mina, 28770 ES</v>
    <v>97</v>
    <v>Pharmaceuticals</v>
    <v>Stock</v>
    <v>46139.666666666664</v>
    <v>395</v>
    <v>94.35</v>
    <v>1438200000</v>
    <v>Pharma Mar SA</v>
    <v>Pharma Mar SA</v>
    <v>94.9</v>
    <v>21.702200000000001</v>
    <v>94.65</v>
    <v>96.85</v>
    <v>18000000</v>
    <v>PHM</v>
    <v>Pharma Mar SA (BMEX:PHM)</v>
    <v>47467</v>
    <v>77990</v>
    <v>1986</v>
  </rv>
  <rv s="2">
    <v>396</v>
  </rv>
  <rv s="0">
    <v>https://www.bing.com/financeapi/forcetrigger?t=a213kr&amp;q=XNAS%3aPOOL&amp;form=skydnc</v>
    <v>Learn more on Bing</v>
  </rv>
  <rv s="1">
    <v>0</v>
    <v>POOL CORPORATION (XNAS:POOL)</v>
    <v>2</v>
    <v>3</v>
    <v>Finance</v>
    <v>4</v>
    <v>en</v>
    <v>a213kr</v>
    <v>268435456</v>
    <v>1</v>
    <v>Powered by Refinitiv</v>
    <v>345</v>
    <v>195.49</v>
    <v>1.232</v>
    <v>-7.27</v>
    <v>-3.1261999999999998E-2</v>
    <v>-0.33</v>
    <v>-1.4649999999999999E-3</v>
    <v>USD</v>
    <v>Pool Corporation is a wholesale distributor of swimming pool supplies, equipment, and related leisure products. The Company also distributes irrigation and landscape products in the United States. The Company operates approximately 448 sales centers in North America, Europe, and Australia through its five distribution networks: SCP Distributors (SCP), Superior Pool Products (Superior), Horizon Distributors (Horizon), National Pool Tile (NPT), and Sun Wholesale Supply (Sun Wholesale). The Company distributes swimming pool supplies, equipment, and related leisure products domestically through its SCP and Superior sales center networks through SCP network. Its Horizon sales centers offer organic fertilizers, organic pesticides, and irrigation and drainage products that reduce water usage and soil erosion. Sun Wholesale distributes swimming pool supplies, equipment, and related leisure products, primarily servicing independently owned and operated Pinch A Penny, Inc. franchise locations.</v>
    <v>6000</v>
    <v>Nasdaq Stock Market</v>
    <v>XNAS</v>
    <v>XNAS</v>
    <v>109 Northpark Boulevard, COVINGTON, LA, 70433-5001 US</v>
    <v>232.005</v>
    <v>Leisure Products</v>
    <v>Stock</v>
    <v>46139.905837892969</v>
    <v>398</v>
    <v>224.93</v>
    <v>8267906662</v>
    <v>POOL CORPORATION</v>
    <v>POOL CORPORATION</v>
    <v>230.82499999999999</v>
    <v>20.713100000000001</v>
    <v>232.55</v>
    <v>225.28</v>
    <v>224.95</v>
    <v>36700580</v>
    <v>POOL</v>
    <v>POOL CORPORATION (XNAS:POOL)</v>
    <v>835266</v>
    <v>744797</v>
    <v>1993</v>
  </rv>
  <rv s="2">
    <v>399</v>
  </rv>
  <rv s="0">
    <v>https://www.bing.com/financeapi/forcetrigger?t=afi6cw&amp;q=XFRA%3aPAH3&amp;form=skydnc</v>
    <v>Learn more on Bing</v>
  </rv>
  <rv s="3">
    <v>6</v>
    <v>Porsche Automobil Holding SE (XFRA:PAH3)</v>
    <v>2</v>
    <v>7</v>
    <v>Finance</v>
    <v>8</v>
    <v>en</v>
    <v>afi6cw</v>
    <v>268435456</v>
    <v>1</v>
    <v>Powered by Refinitiv</v>
    <v>102</v>
    <v>28.48</v>
    <v>0.93520000000000003</v>
    <v>-0.08</v>
    <v>-2.5469999999999998E-3</v>
    <v>EUR</v>
    <v>Porsche Automobil Holding SE (Porsche SE) is a Germany-based holding company engaged in the automobile manufacture industry, with investments in the areas of mobility and industrial technology. The Company's business activities include the acquisition, holding and management as well as the disposal of investments. Its investments are divided into two categories: core investments and portfolio investments. It is engaged in the holding and managing of its investments in Volkswagen AG, through which the Company manages 10 motor brands from five European countries: Volkswagen Passenger Cars, Audi, SEAT, Skoda, Bentley, Lamborghini, Porsche, Ducati, Scania, MAN and others. These long-term investments in Volkswagen AG and Porsche AG form the core investments category. In the portfolio investments category, it holds minority shareholdings in several technology companies in North America, Europe and Israel, as well as investing in private equity and venture capital funds.</v>
    <v>31</v>
    <v>Deutsche Boerse AG</v>
    <v>XFRA</v>
    <v>XFRA</v>
    <v>Porscheplatz 1, STUTTGART, BADEN-WUERTTEMBERG, 70435 DE</v>
    <v>31.48</v>
    <v>Automobiles &amp; Auto Parts</v>
    <v>Stock</v>
    <v>46139.836805555555</v>
    <v>401</v>
    <v>31.17</v>
    <v>5827938000</v>
    <v>Porsche Automobil Holding SE</v>
    <v>Porsche Automobil Holding SE</v>
    <v>31.17</v>
    <v>3.72</v>
    <v>31.41</v>
    <v>31.33</v>
    <v>153125000</v>
    <v>PAH3</v>
    <v>Porsche Automobil Holding SE (XFRA:PAH3)</v>
    <v>3130</v>
    <v>643410</v>
    <v>2007</v>
  </rv>
  <rv s="2">
    <v>402</v>
  </rv>
  <rv s="0">
    <v>https://www.bing.com/financeapi/forcetrigger?t=c6q7vh&amp;q=XNAS%3aPRZO&amp;form=skydnc</v>
    <v>Learn more on Bing</v>
  </rv>
  <rv s="21">
    <v>43</v>
    <v>PARAZERO TECHNOLOGIES LTD (XNAS:PRZO)</v>
    <v>2</v>
    <v>44</v>
    <v>Finance</v>
    <v>5</v>
    <v>en</v>
    <v>c6q7vh</v>
    <v>268435456</v>
    <v>1</v>
    <v>Powered by Refinitiv</v>
    <v>2.145</v>
    <v>0.66</v>
    <v>1.15E-2</v>
    <v>1.6005999999999999E-2</v>
    <v>7.9000000000000008E-3</v>
    <v>1.0822E-2</v>
    <v>USD</v>
    <v>Parazero Technologies Ltd is an Israel-based aerospace company that is primarily focused on drone safety systems and engaged in the business of designing, developing, and providing autonomous parachute safety systems for commercial drones, also known as unmanned aerial systems (UAS). The Company's patented technology SafeAir is designed to protect hardware, people, and payload in the event of an in-flight failure. The Company's SafeAir system is a smart parachute system that monitors UAS flight in real-time, identifies critical failures, and autonomously triggers a parachute in the event of an emergency. The Company has forged partnerships all around the world, including India, South Korea, the United States, Latin America, and Europe.</v>
    <v>22</v>
    <v>Nasdaq Stock Market</v>
    <v>XNAS</v>
    <v>XNAS</v>
    <v>1 Hatachana Street, KFAR SABA, Central(HaMerkaz), 4453001 IL</v>
    <v>0.74770000000000003</v>
    <v>Aerospace &amp; Defense</v>
    <v>Stock</v>
    <v>46139.934871191406</v>
    <v>404</v>
    <v>0.7</v>
    <v>18045775</v>
    <v>PARAZERO TECHNOLOGIES LTD</v>
    <v>PARAZERO TECHNOLOGIES LTD</v>
    <v>0.7</v>
    <v>0</v>
    <v>0.71850000000000003</v>
    <v>0.73</v>
    <v>0.7379</v>
    <v>24720240</v>
    <v>PRZO</v>
    <v>PARAZERO TECHNOLOGIES LTD (XNAS:PRZO)</v>
    <v>321503</v>
    <v>856778</v>
    <v>2013</v>
  </rv>
  <rv s="2">
    <v>405</v>
  </rv>
  <rv s="11">
    <v>24</v>
    <v>Puig Brands SA (BMEX:PUIG)</v>
    <v>17</v>
    <v>25</v>
    <v>Finance</v>
    <v>8</v>
    <v>en</v>
    <v>cd3e52</v>
    <v>268435456</v>
    <v>1</v>
    <v>Powered by Refinitiv</v>
    <v>18.89</v>
    <v>13.11</v>
    <v>0</v>
    <v>0</v>
    <v>EUR</v>
    <v>Puig Brands SA, located in Barcelona, Spain, is a holding company whose corporate purpose consists of the manufacturing and sale of all kinds of perfumery and home goods. The Company was founded in March 2016.</v>
    <v>13016</v>
    <v>Bolsas y Mercados Espanoles</v>
    <v>BMEX</v>
    <v>BMEX</v>
    <v>Placa Europa, 46-48, L'Hospitalet de Llobregat, BARCELONA, BARCELONA, 08902 ES</v>
    <v>18.559999999999999</v>
    <v>Specialty Retailers</v>
    <v>Stock</v>
    <v>46139.666666666664</v>
    <v>18.25</v>
    <v>2805856000</v>
    <v>Puig Brands SA</v>
    <v>Puig Brands SA</v>
    <v>18.25</v>
    <v>17.438300000000002</v>
    <v>18.38</v>
    <v>18.38</v>
    <v>174819700</v>
    <v>PUIG</v>
    <v>Puig Brands SA (BMEX:PUIG)</v>
    <v>332151</v>
    <v>701980</v>
    <v>2016</v>
  </rv>
  <rv s="2">
    <v>407</v>
  </rv>
  <rv s="7">
    <v>16</v>
    <v>RALLIANT CORPORATION (XNYS:RAL)</v>
    <v>17</v>
    <v>15</v>
    <v>Finance</v>
    <v>4</v>
    <v>en</v>
    <v>ch9v5r</v>
    <v>268435456</v>
    <v>1</v>
    <v>Powered by Refinitiv</v>
    <v>57.02</v>
    <v>37.270099999999999</v>
    <v>1.2350000000000001</v>
    <v>-0.26</v>
    <v>-5.8260000000000004E-3</v>
    <v>0</v>
    <v>0</v>
    <v>USD</v>
    <v>Ralliant Corporation is a global provider of precision technologies that specializes in designing, developing, manufacturing and servicing precision instruments and highly engineered products. Through its segments, Test and Measurement and Sensors and Safety Systems, it empowers engineers with precision technologies essential for breakthrough innovation in an electrified and digital world. The Test and Measurement segment provides precision test and measurement instruments, systems, software, and services. The Sensors and Safety Systems segment provides power grid monitoring solutions, safety systems for mission-critical aero, defense and space applications, and sensing solutions for critical environments where uptime, precision and reliability are essential. Its brands under the Test and Measurement segment include Keithley Instruments, Sonix, EA Elektro-Automatik, and others. Its brands under the Sensors and Safety Systems segment include Qualitrol, Gems Sensors, and others.</v>
    <v>7000</v>
    <v>New York Stock Exchange</v>
    <v>XNYS</v>
    <v>XNYS</v>
    <v>4000 Center at North Hills Street,, Suite 430,, RALEIGH, NC, 27609 US</v>
    <v>44.984999999999999</v>
    <v>Electronic Equipment &amp; Parts</v>
    <v>Stock</v>
    <v>46139.911811666403</v>
    <v>44.05</v>
    <v>4966316352</v>
    <v>RALLIANT CORPORATION</v>
    <v>RALLIANT CORPORATION</v>
    <v>44.69</v>
    <v>44.63</v>
    <v>44.37</v>
    <v>44.37</v>
    <v>111929600</v>
    <v>RAL</v>
    <v>RALLIANT CORPORATION (XNYS:RAL)</v>
    <v>942190</v>
    <v>1085550</v>
    <v>2024</v>
  </rv>
  <rv s="2">
    <v>409</v>
  </rv>
  <rv s="0">
    <v>https://www.bing.com/financeapi/forcetrigger?t=amg2c7&amp;q=BMEX%3aREP&amp;form=skydnc</v>
    <v>Learn more on Bing</v>
  </rv>
  <rv s="5">
    <v>11</v>
    <v>Repsol SA (BMEX:REP)</v>
    <v>2</v>
    <v>12</v>
    <v>Finance</v>
    <v>8</v>
    <v>en</v>
    <v>amg2c7</v>
    <v>268435456</v>
    <v>1</v>
    <v>Powered by Refinitiv</v>
    <v>24.9</v>
    <v>10.42</v>
    <v>0.4249</v>
    <v>0.33</v>
    <v>1.5797000000000002E-2</v>
    <v>EUR</v>
    <v>Repsol SA is a Spain-based multinational energy and petrochemical company. The Company operates through four main segments: Exploration and Production (Upstream), which are activities for the exploration and production of crude oil and natural gas reserves, as well as the development of low-carbon geological solutions, especially carbon dioxide storage; Industrial, which are activities involving oil refining, petrochemicals, and the trading, transport and wholesaling of crude oil, natural gas and fuels, including activities relating to new products such as hydrogen, sustainable biofuels and synthetic fuels; Customer, which are businesses involving mobility (gas stations) and the sale of fuel, electricity and gas, and lubricants and other specialties; and Low-Carbon Generation (LCG), which involves the generation of electricity from renewable sources and combined cycle gas turbines (CCGTs).</v>
    <v>24523</v>
    <v>Bolsas y Mercados Espanoles</v>
    <v>BMEX</v>
    <v>BMEX</v>
    <v>Mendez Alvaro, 44, MADRID, MADRID, 28045 ES</v>
    <v>21.54</v>
    <v>Oil &amp; Gas</v>
    <v>Stock</v>
    <v>46139.666666666664</v>
    <v>411</v>
    <v>20.97</v>
    <v>18307840000</v>
    <v>Repsol SA</v>
    <v>Repsol SA</v>
    <v>21.01</v>
    <v>12.9655</v>
    <v>20.89</v>
    <v>21.22</v>
    <v>1105374000</v>
    <v>REP</v>
    <v>Repsol SA (BMEX:REP)</v>
    <v>2880235</v>
    <v>4938180</v>
  </rv>
  <rv s="2">
    <v>412</v>
  </rv>
  <rv s="0">
    <v>https://www.bing.com/financeapi/forcetrigger?t=c1uvkr&amp;q=XNAS%3aRGTI&amp;form=skydnc</v>
    <v>Learn more on Bing</v>
  </rv>
  <rv s="1">
    <v>0</v>
    <v>RIGETTI COMPUTING, INC. (XNAS:RGTI)</v>
    <v>2</v>
    <v>3</v>
    <v>Finance</v>
    <v>5</v>
    <v>en</v>
    <v>c1uvkr</v>
    <v>268435456</v>
    <v>1</v>
    <v>Powered by Refinitiv</v>
    <v>58.150100000000002</v>
    <v>8.35</v>
    <v>1.7676000000000001</v>
    <v>0.30499999999999999</v>
    <v>1.8362E-2</v>
    <v>1.9800000000000002E-2</v>
    <v>1.1709999999999999E-3</v>
    <v>USD</v>
    <v>Rigetti Computing, Inc. is a full-stack quantum computing company. The Company operates quantum computers over the cloud and serves global enterprise, government, and research clients through its Rigetti Quantum Cloud Services platform. The Company’s quantum-classical infrastructure provides high-performance integration with public and private clouds for practical quantum computing. It has developed a multi-chip quantum processor for scalable quantum computing systems. Through the Company’s Quantum Computing as a Service (QCaaS) platform, its machines can be integrated into any public, private or hybrid cloud. It is also engaged in the sale of quantum processing units (QPUs) and custom computing components, and development contracts and other services. Its QPUs contain fabricated silicon-based chips featuring superconducting qubits. The Company designs and manufactures its chips in-house at Fab-1, an integrated quantum device manufacturing facility.</v>
    <v>162</v>
    <v>Nasdaq Stock Market</v>
    <v>XNAS</v>
    <v>XNAS</v>
    <v>775 Heinz Avenue, BERKELEY, CA, 94710 US</v>
    <v>16.949300000000001</v>
    <v>Semiconductors &amp; Semiconductor Equipment</v>
    <v>Stock</v>
    <v>46139.935111064064</v>
    <v>414</v>
    <v>16.11</v>
    <v>5618327399</v>
    <v>RIGETTI COMPUTING, INC.</v>
    <v>RIGETTI COMPUTING, INC.</v>
    <v>16.25</v>
    <v>0</v>
    <v>16.61</v>
    <v>16.914999999999999</v>
    <v>16.9298</v>
    <v>332150600</v>
    <v>RGTI</v>
    <v>RIGETTI COMPUTING, INC. (XNAS:RGTI)</v>
    <v>18144293</v>
    <v>30378068</v>
    <v>2022</v>
  </rv>
  <rv s="2">
    <v>415</v>
  </rv>
  <rv s="0">
    <v>https://www.bing.com/financeapi/forcetrigger?t=a21ycw&amp;q=XNAS%3aRGEN&amp;form=skydnc</v>
    <v>Learn more on Bing</v>
  </rv>
  <rv s="1">
    <v>0</v>
    <v>REPLIGEN CORPORATION (XNAS:RGEN)</v>
    <v>2</v>
    <v>3</v>
    <v>Finance</v>
    <v>4</v>
    <v>en</v>
    <v>a21ycw</v>
    <v>268435456</v>
    <v>1</v>
    <v>Powered by Refinitiv</v>
    <v>175.77</v>
    <v>109.5</v>
    <v>1.0989</v>
    <v>0.69</v>
    <v>5.8669999999999998E-3</v>
    <v>0.1</v>
    <v>8.4540000000000006E-4</v>
    <v>USD</v>
    <v>Repligen Corporation is a global life sciences company that develops and commercializes bioprocessing technologies and systems. Its franchises include filtration, chromatography, process analytics and proteins. Its filtration franchise includes product offering covering upstream and downstream technologies. Its filtration products include XCell Alternating Tangential Flow (ATF) Cell Retention Systems, Flat Sheet Cassettes, Hollow Fiber Consumables, Tangential Flow Filtration Systems and Fluid Management. Its chromatography franchise includes products used in downstream purification, development, manufacturing and quality control of biological drugs. Its chromatography franchise includes OPUS Pre-Packed Columns, KRM Chromatography Systems and other additional chromatography products. Its process analytics include Downstream process analytical technology (PAT) and Upstream PAT. Its Proteins include Protein A Affinity Ligands, AVIPure Resins for New Modalities and Growth Factors.</v>
    <v>2000</v>
    <v>Nasdaq Stock Market</v>
    <v>XNAS</v>
    <v>XNAS</v>
    <v>BUILDING 1, SUITE 100, 41 SEYON STREET, WALTHAM, MA, 02453 US</v>
    <v>119.47</v>
    <v>Healthcare Equipment &amp; Supplies</v>
    <v>Stock</v>
    <v>46139.914976180466</v>
    <v>417</v>
    <v>116.97</v>
    <v>6671469648</v>
    <v>REPLIGEN CORPORATION</v>
    <v>REPLIGEN CORPORATION</v>
    <v>117.56</v>
    <v>136.8622</v>
    <v>117.6</v>
    <v>118.29</v>
    <v>118.39</v>
    <v>56399270</v>
    <v>RGEN</v>
    <v>REPLIGEN CORPORATION (XNAS:RGEN)</v>
    <v>907780</v>
    <v>923804</v>
    <v>1981</v>
  </rv>
  <rv s="2">
    <v>418</v>
  </rv>
  <rv s="0">
    <v>https://www.bing.com/financeapi/forcetrigger?t=a221pr&amp;q=XNAS%3aRIOT&amp;form=skydnc</v>
    <v>Learn more on Bing</v>
  </rv>
  <rv s="1">
    <v>0</v>
    <v>RIOT PLATFORMS, INC. (XNAS:RIOT)</v>
    <v>2</v>
    <v>3</v>
    <v>Finance</v>
    <v>5</v>
    <v>en</v>
    <v>a221pr</v>
    <v>268435456</v>
    <v>1</v>
    <v>Powered by Refinitiv</v>
    <v>23.934999999999999</v>
    <v>6.96</v>
    <v>3.8340000000000001</v>
    <v>-0.34499999999999997</v>
    <v>-1.8537999999999999E-2</v>
    <v>0.03</v>
    <v>1.6409999999999999E-3</v>
    <v>USD</v>
    <v>Riot Platforms, Inc. is an integrated digital infrastructure company. The Company is principally engaged in developing and optimizing its power assets. Its segments include Bitcoin Mining and Engineering. The Bitcoin Mining segment is engaged in Bitcoin mining activities. The Engineering segment designs and manufacturers power distribution equipment and custom engineered electrical products. This segment also provides electricity distribution product design, manufacturing, and installation services primarily focused on large-scale commercial and governmental customers and serves clients across a range of markets including data center, power generation, utility, water, industrial, and alternative energy. It is also focused on developing a portion of its power capacity for artificial intelligence (AI)/ high-performance computing (HPC) uses. The Company provides electrical engineering services to a customer base of energy developers and data center operators.</v>
    <v>816</v>
    <v>Nasdaq Stock Market</v>
    <v>XNAS</v>
    <v>XNAS</v>
    <v>3855 AMBROSIA STREET, SUITE 301, CASTLE ROCK, CO, 80109 US</v>
    <v>18.885000000000002</v>
    <v>Financial Technology (Fintech) &amp; Infrastructure</v>
    <v>Stock</v>
    <v>46139.934684316409</v>
    <v>420</v>
    <v>18.010000000000002</v>
    <v>6924734563</v>
    <v>RIOT PLATFORMS, INC.</v>
    <v>RIOT PLATFORMS, INC.</v>
    <v>18.489999999999998</v>
    <v>0</v>
    <v>18.61</v>
    <v>18.265000000000001</v>
    <v>18.309999999999999</v>
    <v>379125900</v>
    <v>RIOT</v>
    <v>RIOT PLATFORMS, INC. (XNAS:RIOT)</v>
    <v>14943066</v>
    <v>17675161</v>
    <v>2017</v>
  </rv>
  <rv s="2">
    <v>421</v>
  </rv>
  <rv s="0">
    <v>https://www.bing.com/financeapi/forcetrigger?t=amg2z2&amp;q=BMEX%3aSCYR&amp;form=skydnc</v>
    <v>Learn more on Bing</v>
  </rv>
  <rv s="5">
    <v>11</v>
    <v>Sacyr SA (BMEX:SCYR)</v>
    <v>2</v>
    <v>12</v>
    <v>Finance</v>
    <v>8</v>
    <v>en</v>
    <v>amg2z2</v>
    <v>268435456</v>
    <v>1</v>
    <v>Powered by Refinitiv</v>
    <v>4.8959999999999999</v>
    <v>3.141</v>
    <v>1.1895</v>
    <v>-3.2000000000000001E-2</v>
    <v>-6.8410000000000007E-3</v>
    <v>EUR</v>
    <v>Sacyr SA is a Spain-based company primarily engaged in global infrastructure development. The Company has three business lines with synergies and vertical integration between them: Concessions, which is the engine of growth of the group and is focused on Greenfield projects with low demand risk, as well as it manages a portfolio of toll roads, hospitals, airports, and transport hubs; Engineering and infrastructure, which is focused on infrastructure development, mainly own concessions and, to a lesser extent, on the execution of pure construction projects; and Sacyr Agua, which works on the management of the integral water cycle and develops projects for the design, construction, renovation, maintenance and operation of water treatment plants.</v>
    <v>14841</v>
    <v>Bolsas y Mercados Espanoles</v>
    <v>BMEX</v>
    <v>BMEX</v>
    <v>Condesa de Venadito 7, MADRID, MADRID, 28027 ES</v>
    <v>4.7320000000000002</v>
    <v>Construction &amp; Engineering</v>
    <v>Stock</v>
    <v>46139.666666666664</v>
    <v>423</v>
    <v>4.6340000000000003</v>
    <v>3224047000</v>
    <v>Sacyr SA</v>
    <v>Sacyr SA</v>
    <v>4.6959999999999997</v>
    <v>43.395200000000003</v>
    <v>4.6779999999999999</v>
    <v>4.6459999999999999</v>
    <v>805780200</v>
    <v>SCYR</v>
    <v>Sacyr SA (BMEX:SCYR)</v>
    <v>1801750</v>
    <v>2128980</v>
  </rv>
  <rv s="2">
    <v>424</v>
  </rv>
  <rv s="0">
    <v>https://www.bing.com/financeapi/forcetrigger?t=ajgi8m&amp;q=XMIL%3aSPM&amp;form=skydnc</v>
    <v>Learn more on Bing</v>
  </rv>
  <rv s="5">
    <v>11</v>
    <v>Saipem SpA (XMIL:SPM)</v>
    <v>2</v>
    <v>12</v>
    <v>Finance</v>
    <v>13</v>
    <v>en</v>
    <v>ajgi8m</v>
    <v>268435456</v>
    <v>1</v>
    <v>Powered by Refinitiv</v>
    <v>4.58</v>
    <v>2</v>
    <v>1.2762</v>
    <v>0.185</v>
    <v>4.2655999999999999E-2</v>
    <v>EUR</v>
    <v>Saipem SpA is an Italy-based company active as contractor in the oil and gas industry in remote areas and deepwater. It supplies engineering, procurement, project management and construction services with the design and the execution of offshore and onshore projects. In addition, the Company also offers technologies for the gas monetization and heavy oil exploitation. It is organized into five business units: Onshore Engineering &amp; Construction, Offshore Engineering &amp; Construction, Onshore Drilling, Offshore Drilling, and XSIGHT. The Engineering &amp; Construction business unit operates both onshore and offshore. The offshore activities include platforms, marine terminals, pipelines and the development of deepwater fields. The onshore activities focus on the laying of pipelines and installation of plant, equipment and the floaters. The Drilling business unit carries out drilling programs in the onshore and offshore environments globally.</v>
    <v>30409</v>
    <v>Borsa Italiana</v>
    <v>XMIL</v>
    <v>XMIL</v>
    <v>Via Luigi Russolo, 5, MILANO, MILANO, 20138 IT</v>
    <v>4.5750000000000002</v>
    <v>Oil &amp; Gas Related Equipment and Services</v>
    <v>Stock</v>
    <v>46139.666666666664</v>
    <v>426</v>
    <v>4.3570000000000002</v>
    <v>5408162000</v>
    <v>Saipem SpA</v>
    <v>Saipem SpA</v>
    <v>4.4000000000000004</v>
    <v>27.191199999999998</v>
    <v>4.3369999999999997</v>
    <v>4.5220000000000002</v>
    <v>1995632000</v>
    <v>SPM</v>
    <v>Saipem SpA (XMIL:SPM)</v>
    <v>53239962</v>
    <v>39738660</v>
  </rv>
  <rv s="2">
    <v>427</v>
  </rv>
  <rv s="0">
    <v>https://www.bing.com/financeapi/forcetrigger?t=ae9ya2&amp;q=XPAR%3aSAN&amp;form=skydnc</v>
    <v>Learn more on Bing</v>
  </rv>
  <rv s="3">
    <v>6</v>
    <v>Sanofi SA (XPAR:SAN)</v>
    <v>2</v>
    <v>7</v>
    <v>Finance</v>
    <v>8</v>
    <v>en</v>
    <v>ae9ya2</v>
    <v>268435456</v>
    <v>1</v>
    <v>Powered by Refinitiv</v>
    <v>98.36</v>
    <v>74.849999999999994</v>
    <v>0.48380000000000001</v>
    <v>-1.18</v>
    <v>-1.4735E-2</v>
    <v>EUR</v>
    <v>Sanofi SA is a France-based healthcare company based in France. The Company focuses on patient needs and engages in the research, development, manufacture, and marketing of therapeutic solutions. Its three operating segments are: Pharmaceuticals, Consumer Healthcare (CHC), and Vaccines. The Pharmaceuticals includes: Immunology, Multiple Sclerosis / Neurology, Oncology, Rare Diseases, Rare Blood Disorders, Cardiovascular, Diabetes, Established Prescription Products. The Vaccines segment comprises, for all geographical territories, the commercial operations of Sanofi Pasteur, together with research, development, and production activities dedicated to vaccines. The CHC segment comprises the commercial operations for Sanofi’s Consumer Healthcare products, together with research, development and production activities dedicated to those products. The Company’s products developed in collaboration or franchise include Dupixent, Aubagio, Lemtrada, Cerezyme, Lumizyme, Jevtana, Fabrazyme.</v>
    <v>76493</v>
    <v>Euronext Paris</v>
    <v>XPAR</v>
    <v>XPAR</v>
    <v>46, avenue de la Grande Armee, PARIS, ILE-DE-FRANCE, 75017 FR</v>
    <v>80.19</v>
    <v>Pharmaceuticals</v>
    <v>Stock</v>
    <v>46139.666666666664</v>
    <v>429</v>
    <v>78.69</v>
    <v>98169920000</v>
    <v>Sanofi SA</v>
    <v>Sanofi SA</v>
    <v>79.73</v>
    <v>12.863799999999999</v>
    <v>80.08</v>
    <v>78.900000000000006</v>
    <v>1212182000</v>
    <v>SAN</v>
    <v>Sanofi SA (XPAR:SAN)</v>
    <v>1897662</v>
    <v>2183140</v>
    <v>1994</v>
  </rv>
  <rv s="2">
    <v>430</v>
  </rv>
  <rv s="0">
    <v>https://www.bing.com/financeapi/forcetrigger?t=aftlr7&amp;q=XETR%3aSAP&amp;form=skydnc</v>
    <v>Learn more on Bing</v>
  </rv>
  <rv s="3">
    <v>6</v>
    <v>SAP SE (XETR:SAP)</v>
    <v>2</v>
    <v>7</v>
    <v>Finance</v>
    <v>8</v>
    <v>en</v>
    <v>aftlr7</v>
    <v>268435456</v>
    <v>1</v>
    <v>Powered by Refinitiv</v>
    <v>273.55</v>
    <v>137.54</v>
    <v>1.1165</v>
    <v>1.68</v>
    <v>1.1407E-2</v>
    <v>EUR</v>
    <v>SAP SE (SAP) is a Germany-based application software company. The Company operates through two segments Applications, Technology &amp; Support (ATS) segment and its Core Services segment. The ATS segment covers the Company’s integrated product portfolio and includes cloud subscription offerings, support services, and training solutions. It also encompasses activities related to operating cloud technologies and delivering customer support associated with its software products. The Core Services segment complements the Company’s product portfolio by delivering consulting and premium support services to assist customers in adopting its innovations. Revenue in this segment is primarily derived from professional services and enhanced support offerings, while costs arise from the execution of these service activities.</v>
    <v>110650</v>
    <v>Xetra</v>
    <v>XETR</v>
    <v>XETR</v>
    <v>Dietmar-Hopp-Allee 16, WALLDORF, BADEN-WUERTTEMBERG, 69190 DE</v>
    <v>150.72</v>
    <v>Software &amp; IT Services</v>
    <v>Stock</v>
    <v>46139.89603009259</v>
    <v>432</v>
    <v>146.80000000000001</v>
    <v>262224200000</v>
    <v>SAP SE</v>
    <v>SAP SE</v>
    <v>148.1</v>
    <v>23.738600000000002</v>
    <v>147.28</v>
    <v>148.96</v>
    <v>1228504000</v>
    <v>SAP</v>
    <v>SAP SE (XETR:SAP)</v>
    <v>2068745</v>
    <v>2970270</v>
    <v>2014</v>
  </rv>
  <rv s="2">
    <v>433</v>
  </rv>
  <rv s="0">
    <v>https://www.bing.com/financeapi/forcetrigger?t=btjxjc&amp;q=XNAS%3aSDGR&amp;form=skydnc</v>
    <v>Learn more on Bing</v>
  </rv>
  <rv s="1">
    <v>0</v>
    <v>SCHRODINGER, INC. (XNAS:SDGR)</v>
    <v>2</v>
    <v>3</v>
    <v>Finance</v>
    <v>5</v>
    <v>en</v>
    <v>btjxjc</v>
    <v>268435456</v>
    <v>1</v>
    <v>Powered by Refinitiv</v>
    <v>27.63</v>
    <v>10.945</v>
    <v>1.5769</v>
    <v>-0.05</v>
    <v>-4.241E-3</v>
    <v>0.06</v>
    <v>5.1110000000000001E-3</v>
    <v>USD</v>
    <v>Schrodinger, Inc. operates a physics-based computational platform that enables the discovery of molecules for drug development and materials applications. The software platform is used by biopharmaceutical and industrial companies, academic institutions, and government laboratories around the world. Its segments include Software and Drug Discovery. The Software segment is focused on selling its software to transform drug discovery across the life sciences industry, as well as to customers in the material science industries. The Drug Discovery segment is focused on building a diverse portfolio of preclinical and clinical programs, internally and through collaborations, that have advanced to various stages of discovery and development. The Company's pipeline of drug discovery programs includes SGR-1505 (MALT1 Inhibitor), SGR-2921 (CDC7 Inhibitor), SGR-3515 (WEE1 Inhibitor), and others. Its software has been used by researchers around the world at more than 1,818 academic institutions.</v>
    <v>850</v>
    <v>Nasdaq Stock Market</v>
    <v>XNAS</v>
    <v>XNAS</v>
    <v>1540 BROADWAY, 24TH FLOOR, NEW YORK, NY, 10036 US</v>
    <v>12.25</v>
    <v>Software &amp; IT Services</v>
    <v>Stock</v>
    <v>46139.93261372656</v>
    <v>435</v>
    <v>11.72</v>
    <v>866706674</v>
    <v>SCHRODINGER, INC.</v>
    <v>SCHRODINGER, INC.</v>
    <v>11.77</v>
    <v>0</v>
    <v>11.79</v>
    <v>11.74</v>
    <v>11.8</v>
    <v>73825100</v>
    <v>SDGR</v>
    <v>SCHRODINGER, INC. (XNAS:SDGR)</v>
    <v>1795668</v>
    <v>1315237</v>
    <v>1995</v>
  </rv>
  <rv s="2">
    <v>436</v>
  </rv>
  <rv s="0">
    <v>https://www.bing.com/financeapi/forcetrigger?t=a23n27&amp;q=XNYS%3aST&amp;form=skydnc</v>
    <v>Learn more on Bing</v>
  </rv>
  <rv s="1">
    <v>0</v>
    <v>SENSATA TECHNOLOGIES HOLDING PLC (XNYS:ST)</v>
    <v>2</v>
    <v>3</v>
    <v>Finance</v>
    <v>4</v>
    <v>en</v>
    <v>a23n27</v>
    <v>268435456</v>
    <v>1</v>
    <v>Powered by Refinitiv</v>
    <v>42.45</v>
    <v>20.57</v>
    <v>1.2121</v>
    <v>0.56000000000000005</v>
    <v>1.3431999999999999E-2</v>
    <v>0</v>
    <v>0</v>
    <v>USD</v>
    <v>Sensata Technologies Holding plc is a global industrial technology company that develops, manufactures, and sells sensors and sensor-rich solutions, electrical protection components and systems, and other products. Its Performance Sensing segment serves the automotive and heavy vehicle and off-road industries through its development and manufacture of sensors, high-voltage solutions (electrical protection components), and other solutions. Its Sensing Solutions segment serves the industrial and aerospace industries through development and manufacture of a portfolio of application specific sensor and electrical protection products used in a range of industrial markets, including the appliance, heating, ventilation, and air conditioning, water management, operator controls, charging infrastructure, renewable energy generation, green hydrogen production, and microgrid applications and markets, as well as the aerospace market, including commercial aircraft, defense, and aftermarket markets.</v>
    <v>16700</v>
    <v>New York Stock Exchange</v>
    <v>XNYS</v>
    <v>XNYS</v>
    <v>529 Pleasant Street, ATTLEBORO, MA, 02703 US</v>
    <v>42.45</v>
    <v>Electronic Equipment &amp; Parts</v>
    <v>Stock</v>
    <v>46139.840335000001</v>
    <v>438</v>
    <v>41</v>
    <v>6160028875</v>
    <v>SENSATA TECHNOLOGIES HOLDING PLC</v>
    <v>SENSATA TECHNOLOGIES HOLDING PLC</v>
    <v>41.91</v>
    <v>213.40090000000001</v>
    <v>41.69</v>
    <v>42.25</v>
    <v>42.25</v>
    <v>145799500</v>
    <v>ST</v>
    <v>SENSATA TECHNOLOGIES HOLDING PLC (XNYS:ST)</v>
    <v>2390695</v>
    <v>1706534</v>
    <v>2017</v>
  </rv>
  <rv s="2">
    <v>439</v>
  </rv>
  <rv s="0">
    <v>https://www.bing.com/financeapi/forcetrigger?t=c2kadm&amp;q=XNYS%3aS&amp;form=skydnc</v>
    <v>Learn more on Bing</v>
  </rv>
  <rv s="6">
    <v>14</v>
    <v>SENTINELONE, INC. (XNYS:S)</v>
    <v>2</v>
    <v>15</v>
    <v>Finance</v>
    <v>5</v>
    <v>en</v>
    <v>c2kadm</v>
    <v>268435456</v>
    <v>1</v>
    <v>Powered by Refinitiv</v>
    <v>21.4</v>
    <v>11.81</v>
    <v>0.79149999999999998</v>
    <v>0.39</v>
    <v>2.7387999999999999E-2</v>
    <v>-0.02</v>
    <v>-1.3669999999999999E-3</v>
    <v>USD</v>
    <v>SentinelOne, Inc. is an artificial intelligence (AI)-powered cybersecurity provider. The Company’s Singularity Platform delivers AI-powered autonomous threat prevention, detection, response, and exposure management capabilities across an organization’s endpoints, cloud workloads, and identity credentials. The Company’s Singularity platform ingests, correlates, and queries petabytes of structured and unstructured data from a myriad of ever-expanding disparate external and internal sources in real time. Its distributed AI models run both locally on every endpoint and every cloud workload, as well as on its cloud platform. The Company through PingSafe Pte. Ltd. (PingSafe), which is a cloud native application protection platform (CNAPP) to bolster its cloud security product suite. By adding PingSafe’s CNAPP to its Cloud Workload Security (CWS), it provides enterprises with a comprehensive cloud security coverage that drives security, improved posture, and autonomous protection.</v>
    <v>2900</v>
    <v>New York Stock Exchange</v>
    <v>XNYS</v>
    <v>XNYS</v>
    <v>444 Castro Street, Suite 400, MOUNTAIN VIEW, CA, 94041 US</v>
    <v>14.815</v>
    <v>Software &amp; IT Services</v>
    <v>Stock</v>
    <v>46139.933257812503</v>
    <v>441</v>
    <v>14.2</v>
    <v>4978245195</v>
    <v>SENTINELONE, INC.</v>
    <v>SENTINELONE, INC.</v>
    <v>14.21</v>
    <v>14.24</v>
    <v>14.63</v>
    <v>14.61</v>
    <v>340276500</v>
    <v>S</v>
    <v>SENTINELONE, INC. (XNYS:S)</v>
    <v>5563706</v>
    <v>8003404</v>
    <v>2013</v>
  </rv>
  <rv s="2">
    <v>442</v>
  </rv>
  <rv s="0">
    <v>https://www.bing.com/financeapi/forcetrigger?t=azdhr7&amp;q=XFRA%3aSHL&amp;form=skydnc</v>
    <v>Learn more on Bing</v>
  </rv>
  <rv s="9">
    <v>20</v>
    <v>Siemens Healthineers AG (XFRA:SHL)</v>
    <v>2</v>
    <v>21</v>
    <v>Finance</v>
    <v>8</v>
    <v>en</v>
    <v>azdhr7</v>
    <v>268435456</v>
    <v>1</v>
    <v>Powered by Refinitiv</v>
    <v>0.92959999999999998</v>
    <v>-0.25</v>
    <v>-6.9930000000000001E-3</v>
    <v>EUR</v>
    <v>Siemens Healthineers AG is a Germany-based company. The Company is a global provider of healthcare products, solutions and services. It also provides clinical consulting services and training and service offerings. The Company’s segments include Imaging, Diagnostics, Varian, and Advanced Therapies. The Imaging segment offers a software solutions to support the reading and structured reporting of diagnostic images from different modalities. The Diagnostics segment offers to healthcare providers in the fields of general laboratory, specialty laboratory, and point-of-care diagnostics. The Varian segment offers a portfolio of cancer care technologies and services and support oncology departments in hospitals and clinics. The Advanced Therapies segment consists of integrated products, services and solutions used in the treatment of diseases across multiple clinical fields.</v>
    <v>72800</v>
    <v>Deutsche Boerse AG</v>
    <v>XFRA</v>
    <v>XFRA</v>
    <v>Siemensstr. 3, FORCHHEIM, BAYERN, 91301 DE</v>
    <v>35.770000000000003</v>
    <v>Healthcare Equipment &amp; Supplies</v>
    <v>Stock</v>
    <v>46139.836805555555</v>
    <v>444</v>
    <v>35.4</v>
    <v>52722720000</v>
    <v>Siemens Healthineers AG</v>
    <v>Siemens Healthineers AG</v>
    <v>35.659999999999997</v>
    <v>19.03</v>
    <v>35.75</v>
    <v>35.5</v>
    <v>1128000000</v>
    <v>SHL</v>
    <v>Siemens Healthineers AG (XFRA:SHL)</v>
    <v>1174</v>
    <v>1023700</v>
    <v>2017</v>
  </rv>
  <rv s="2">
    <v>445</v>
  </rv>
  <rv s="0">
    <v>https://www.bing.com/financeapi/forcetrigger?t=alofc7&amp;q=XAMS%3aLIGHT&amp;form=skydnc</v>
    <v>Learn more on Bing</v>
  </rv>
  <rv s="3">
    <v>6</v>
    <v>Signify NV (XAMS:LIGHT)</v>
    <v>2</v>
    <v>7</v>
    <v>Finance</v>
    <v>8</v>
    <v>en</v>
    <v>alofc7</v>
    <v>268435456</v>
    <v>1</v>
    <v>Powered by Refinitiv</v>
    <v>23.84</v>
    <v>17.010000000000002</v>
    <v>0.77159999999999995</v>
    <v>0.28999999999999998</v>
    <v>1.4654E-2</v>
    <v>EUR</v>
    <v>Signify NV, formerly Philips Lighting NV, is a company based in the Netherlands that provides lamps and lighting solutions. Its product portfolio includes, among others, incandescent lamps, halogen lamps, fluorescent lamps, linear fluorescent lamps (LFL), compact fluorescent lamps (CFL), high-intensity discharge lamps (HID) and light-emitting diodes (LED), as well as electronic components, such as electronic ballasts and drivers. The Company also provides integrated and customized lighting systems. Its service portfolio includes light management and value-added services, such as energy audits, light design and engineering, as well as remote monitoring and managed services. The Company operates through four segments: The Lamps segments comprises conventional lamps and lamp electronics; the LED segment focuses on LED lamps; the Professional segment includes lighting systems and services for professional consumers, and the Home segment covers consumer luminaries and home systems.</v>
    <v>26581</v>
    <v>Euronext Amsterdam</v>
    <v>XAMS</v>
    <v>XAMS</v>
    <v>High Tech Campus 48, EINDHOVEN, NOORD-BRABANT, 5656 AE NL</v>
    <v>20.46</v>
    <v>Homebuilding &amp; Construction Supplies</v>
    <v>Stock</v>
    <v>46139.666666666664</v>
    <v>447</v>
    <v>19.68</v>
    <v>2596268000</v>
    <v>Signify NV</v>
    <v>Signify NV</v>
    <v>19.72</v>
    <v>12.7112</v>
    <v>19.79</v>
    <v>20.079999999999998</v>
    <v>122581100</v>
    <v>LIGHT</v>
    <v>Signify NV (XAMS:LIGHT)</v>
    <v>855983</v>
    <v>785640</v>
    <v>2016</v>
  </rv>
  <rv s="2">
    <v>448</v>
  </rv>
  <rv s="0">
    <v>https://www.bing.com/financeapi/forcetrigger?t=aftqc7&amp;q=XETR%3aSIX2&amp;form=skydnc</v>
    <v>Learn more on Bing</v>
  </rv>
  <rv s="3">
    <v>6</v>
    <v>Sixt SE (XETR:SIX2)</v>
    <v>2</v>
    <v>7</v>
    <v>Finance</v>
    <v>8</v>
    <v>en</v>
    <v>aftqc7</v>
    <v>268435456</v>
    <v>1</v>
    <v>Powered by Refinitiv</v>
    <v>98.7</v>
    <v>57.7</v>
    <v>1.3515999999999999</v>
    <v>-0.35</v>
    <v>-4.9540000000000001E-3</v>
    <v>EUR</v>
    <v>Sixt SE is a Germany-based holding company engaged in the provision of mobility services. The Company through its products SIXT rent, SIXT share, SIXT ride and SIXT+ offers a range of mobility services in the areas of car and commercial vehicle rental, car sharing, ride services and car subscriptions. SIXT App (application) provides customers digital access to approximately 240,000 vehicles and around 1.5 million connected drivers in over 100 countries worldwide. The Company also operates a network of partner companies with other mobility providers, airlines and hotel chains.</v>
    <v>8941</v>
    <v>Xetra</v>
    <v>XETR</v>
    <v>XETR</v>
    <v>Zugspitzstr. 1, PULLACH, BAYERN, 82049 DE</v>
    <v>71.2</v>
    <v>Passenger Transportation Services</v>
    <v>Stock</v>
    <v>46139.896041666667</v>
    <v>450</v>
    <v>70.05</v>
    <v>3116777000</v>
    <v>Sixt SE</v>
    <v>Sixt SE</v>
    <v>71</v>
    <v>11.619300000000001</v>
    <v>70.650000000000006</v>
    <v>70.3</v>
    <v>46943360</v>
    <v>SIX2</v>
    <v>Sixt SE (XETR:SIX2)</v>
    <v>54543</v>
    <v>75320</v>
    <v>2013</v>
  </rv>
  <rv s="2">
    <v>451</v>
  </rv>
  <rv s="0">
    <v>https://www.bing.com/financeapi/forcetrigger?t=aftlfr&amp;q=XETR%3aS92&amp;form=skydnc</v>
    <v>Learn more on Bing</v>
  </rv>
  <rv s="3">
    <v>6</v>
    <v>SMA Solar Technology AG (XETR:S92)</v>
    <v>2</v>
    <v>7</v>
    <v>Finance</v>
    <v>8</v>
    <v>en</v>
    <v>aftlfr</v>
    <v>268435456</v>
    <v>1</v>
    <v>Powered by Refinitiv</v>
    <v>53.45</v>
    <v>14.84</v>
    <v>0.55320000000000003</v>
    <v>-1.25</v>
    <v>-2.4272000000000002E-2</v>
    <v>EUR</v>
    <v>SMA Solar Technology AG is a Germany-based specialist in photovoltaic (PV) system technology. SMA Solar Technology and its subsidiaries (SMA Group) primarily engaged in develop, produce and sell systems and solutions for generation, storage and use of solar energy. The Company operates through three segments: Home solution segment, SMA group offers integrated solar energy solutions for private PV systems. The new SMA Home Energy Solutions comprises systems for the generation, storage and management of solar energy as well as for heating and charging purpose. Large Scale &amp; Project Solution segment offers products, systems and solutions for industrial solar, storage and hydrogen projects as well as for the conversion of utility grids to a proportion of renewable energy. The Commercial and Industrial Solutions segment focus is on global markets for commercial PV systems with and without energy management, battery storage and electrical vehicle charging solutions.</v>
    <v>3674</v>
    <v>Xetra</v>
    <v>XETR</v>
    <v>XETR</v>
    <v>Sonnenallee 1, HESSEN, 34266 DE</v>
    <v>53.25</v>
    <v>Semiconductors &amp; Semiconductor Equipment</v>
    <v>Stock</v>
    <v>46139.89603009259</v>
    <v>453</v>
    <v>49.8</v>
    <v>1172860000</v>
    <v>SMA Solar Technology AG</v>
    <v>SMA Solar Technology AG</v>
    <v>52.1</v>
    <v>0</v>
    <v>51.5</v>
    <v>50.25</v>
    <v>34700000</v>
    <v>S92</v>
    <v>SMA Solar Technology AG (XETR:S92)</v>
    <v>94335</v>
    <v>145240</v>
    <v>2004</v>
  </rv>
  <rv s="2">
    <v>454</v>
  </rv>
  <rv s="0">
    <v>https://www.bing.com/financeapi/forcetrigger?t=br41zr&amp;q=XNAS%3aSNDL&amp;form=skydnc</v>
    <v>Learn more on Bing</v>
  </rv>
  <rv s="1">
    <v>0</v>
    <v>SNDL Inc. (XNAS:SNDL)</v>
    <v>2</v>
    <v>3</v>
    <v>Finance</v>
    <v>5</v>
    <v>en</v>
    <v>br41zr</v>
    <v>268435456</v>
    <v>1</v>
    <v>Powered by Refinitiv</v>
    <v>2.89</v>
    <v>1.1499999999999999</v>
    <v>0.96819999999999995</v>
    <v>0</v>
    <v>0</v>
    <v>0.02</v>
    <v>1.3245E-2</v>
    <v>USD</v>
    <v>SNDL Inc., through its wholly owned subsidiaries, is a vertically integrated cannabis company and a private-sector liquor and cannabis retailer in Canada. Its retail banners include Ace Liquor, Wine and Beyond, Liquor Depot, Value Buds and Spiritleaf. With products available in licensed cannabis retail locations nationally, its consumer-facing cannabis brands include Top Leaf, Contraband, Palmetto, Bon Jak, La Plogue, Versus, Value Buds, Grasslands, Vacay, Pearls by Gron, No Future and Bhang Chocolate. Its liquor retail segment includes the sales of wines, beers and spirits. Its cannabis retail segment includes the sales of cannabis products and accessories through corporate-owned and franchised cannabis retail operations. Its cannabis operations segment operates as a licensed producer that grows cannabis using indoor facilities and manufactures cannabis products, providing cannabis processing services. Its investments segment includes deployment of capital to investment opportunities.</v>
    <v>2751</v>
    <v>Nasdaq Stock Market</v>
    <v>XNAS</v>
    <v>XNAS</v>
    <v>919 11 AVENUE SW, SUITE 300, Calgary, AB, T2R1P3 CA</v>
    <v>1.55</v>
    <v>Pharmaceuticals</v>
    <v>Stock</v>
    <v>46139.934067997659</v>
    <v>456</v>
    <v>1.5</v>
    <v>388668715</v>
    <v>SNDL Inc.</v>
    <v>SNDL Inc.</v>
    <v>1.5</v>
    <v>0</v>
    <v>1.51</v>
    <v>1.51</v>
    <v>1.53</v>
    <v>257396500</v>
    <v>SNDL</v>
    <v>SNDL Inc. (XNAS:SNDL)</v>
    <v>1776070</v>
    <v>2119650</v>
    <v>2006</v>
  </rv>
  <rv s="2">
    <v>457</v>
  </rv>
  <rv s="0">
    <v>https://www.bing.com/financeapi/forcetrigger?t=bvlqa2&amp;q=XNYS%3aSNOW&amp;form=skydnc</v>
    <v>Learn more on Bing</v>
  </rv>
  <rv s="1">
    <v>0</v>
    <v>SNOWFLAKE INC. (XNYS:SNOW)</v>
    <v>2</v>
    <v>3</v>
    <v>Finance</v>
    <v>5</v>
    <v>en</v>
    <v>bvlqa2</v>
    <v>268435456</v>
    <v>1</v>
    <v>Powered by Refinitiv</v>
    <v>280.67</v>
    <v>118.3</v>
    <v>1.1138999999999999</v>
    <v>3.92</v>
    <v>2.7936000000000002E-2</v>
    <v>0.18</v>
    <v>1.248E-3</v>
    <v>USD</v>
    <v>Snowflake Inc. is a data cloud and artificial intelligence company. Its platform is the technology that powers the AI Data Cloud, enabling customers to consolidate data into a single source of truth to drive meaningful insights, apply artificial intelligence (AI) to solve business problems, build data applications, and share data and data products. It provides its platform through a customer-centric, and consumption-based business model. Its cloud-native architecture consists of three independently scalable but logically integrated layers across compute, storage, and cloud services. The compute layer provides dedicated resources to enable users to simultaneously access common data sets for many use cases with minimal latency. The storage layer ingests massive amounts and varieties of structured, semi-structured, and unstructured data to create a unified data record. Its ClearQuery platform allows users to rapidly search, explore, and analyze their data using natural language queries.</v>
    <v>9060</v>
    <v>New York Stock Exchange</v>
    <v>XNYS</v>
    <v>XNYS</v>
    <v>106 East Babcock Street, Suite 3A, BOZEMAN, MT, 59715 US</v>
    <v>146.10499999999999</v>
    <v>Software &amp; IT Services</v>
    <v>Stock</v>
    <v>46139.934874628903</v>
    <v>459</v>
    <v>140</v>
    <v>49863768000</v>
    <v>SNOWFLAKE INC.</v>
    <v>SNOWFLAKE INC.</v>
    <v>141.24</v>
    <v>0</v>
    <v>140.32</v>
    <v>144.24</v>
    <v>144.43</v>
    <v>345700000</v>
    <v>SNOW</v>
    <v>SNOWFLAKE INC. (XNYS:SNOW)</v>
    <v>5392788</v>
    <v>7487194</v>
    <v>2012</v>
  </rv>
  <rv s="2">
    <v>460</v>
  </rv>
  <rv s="0">
    <v>https://www.bing.com/financeapi/forcetrigger?t=aea5sm&amp;q=XPAR%3aSW&amp;form=skydnc</v>
    <v>Learn more on Bing</v>
  </rv>
  <rv s="3">
    <v>6</v>
    <v>Sodexo SA (XPAR:SW)</v>
    <v>2</v>
    <v>7</v>
    <v>Finance</v>
    <v>8</v>
    <v>en</v>
    <v>aea5sm</v>
    <v>268435456</v>
    <v>1</v>
    <v>Powered by Refinitiv</v>
    <v>62.05</v>
    <v>35.5</v>
    <v>0.53110000000000002</v>
    <v>-0.88</v>
    <v>-2.0369999999999999E-2</v>
    <v>EUR</v>
    <v>Sodexo SA is a France-based service provider company. The Company operates through three main segments: On-site Services, Benefits &amp; Rewards Services and Personal &amp; Home Services. Its on-site Services delivers onsite customizable services, such as foodservices, design of workplaces, sterilization of medical devices, reception and cleaning services to Business &amp; Administrations, Healthcare &amp; Seniors, and Education industries. The Company benefits &amp; rewards services provides customizable services to business customers for improve engagement, recognition, work-life balance, travel and expense management, health, and wellbeing. Its personal &amp; Home Services covers three areas: childcare services, designed to take care of the youngest children; concierge services, to enhance the development and well-being of the clients’ employees in the workplace; home care services for seniors and adults who want to maintain their independence while enjoying the comfort of their home. It is active globally</v>
    <v>426464</v>
    <v>Euronext Paris</v>
    <v>XPAR</v>
    <v>XPAR</v>
    <v>255, quai de la Bataille de Stalingrad, ISSY-LES-MOULINEAUX, ILE-DE-FRANCE, 92130 FR</v>
    <v>43.3</v>
    <v>Hotels &amp; Entertainment Services</v>
    <v>Stock</v>
    <v>46139.666666666664</v>
    <v>462</v>
    <v>42.32</v>
    <v>6178360000</v>
    <v>Sodexo SA</v>
    <v>Sodexo SA</v>
    <v>43.2</v>
    <v>14.031000000000001</v>
    <v>43.2</v>
    <v>42.32</v>
    <v>147454900</v>
    <v>SW</v>
    <v>Sodexo SA (XPAR:SW)</v>
    <v>278279</v>
    <v>406440</v>
    <v>1975</v>
  </rv>
  <rv s="2">
    <v>463</v>
  </rv>
  <rv s="0">
    <v>https://www.bing.com/financeapi/forcetrigger?t=bwlrec&amp;q=BMEX%3aSOL&amp;form=skydnc</v>
    <v>Learn more on Bing</v>
  </rv>
  <rv s="3">
    <v>6</v>
    <v>Soltec Power Holdings, S.a (BMEX:SOL)</v>
    <v>2</v>
    <v>7</v>
    <v>Finance</v>
    <v>8</v>
    <v>en</v>
    <v>bwlrec</v>
    <v>268435456</v>
    <v>1</v>
    <v>Powered by Refinitiv</v>
    <v>2.1800000000000002</v>
    <v>0.16400000000000001</v>
    <v>-2.0899999999999998E-2</v>
    <v>1.4999999999999999E-2</v>
    <v>1.5872999999999998E-2</v>
    <v>EUR</v>
    <v>Soltec Power Holdings SA is a Spain-based company engaged in renewable energy sector. The Company's activities are divided into two business lines: Soltec Industrial and Powertis. Soltec Industrial is a Company’s industrial business line led by Soltec Energias Renovables SL, engaged in the construction, installation and sale of photovoltaic solar trackers. It also provides operation and maintenance services to customers. Powertis is a Company’s project development business line, led by Powertis SA, involved in the development of facilities for producing photovoltaic solar electric energy. Through its subsidiaries, the Company operates in Spain, Italy, France, the United States, Chile, Brazil, Peru, Mexico, Argentina, Colombia and India.</v>
    <v>365</v>
    <v>Bolsas y Mercados Espanoles</v>
    <v>BMEX</v>
    <v>BMEX</v>
    <v>CALLE GABRIEL CAMPILLO, POLIGONO INDUSTRIAL "LA SERRETA" S/N, 30500 ES</v>
    <v>0.98</v>
    <v>Renewable Energy</v>
    <v>Stock</v>
    <v>46139.666666666664</v>
    <v>465</v>
    <v>0.94</v>
    <v>501713100</v>
    <v>Soltec Power Holdings, S.a</v>
    <v>Soltec Power Holdings, S.a</v>
    <v>0.94</v>
    <v>17.5</v>
    <v>0.94499999999999995</v>
    <v>0.96</v>
    <v>456933600</v>
    <v>SOL</v>
    <v>Soltec Power Holdings, S.a (BMEX:SOL)</v>
    <v>450687</v>
    <v>1562900</v>
    <v>1970</v>
  </rv>
  <rv s="2">
    <v>466</v>
  </rv>
  <rv s="0">
    <v>https://www.bing.com/financeapi/forcetrigger?t=a22g6h&amp;q=XNYS%3aSAH&amp;form=skydnc</v>
    <v>Learn more on Bing</v>
  </rv>
  <rv s="1">
    <v>0</v>
    <v>SONIC AUTOMOTIVE, INC. (XNYS:SAH)</v>
    <v>2</v>
    <v>3</v>
    <v>Finance</v>
    <v>4</v>
    <v>en</v>
    <v>a22g6h</v>
    <v>268435456</v>
    <v>1</v>
    <v>Powered by Refinitiv</v>
    <v>89.62</v>
    <v>54.11</v>
    <v>0.82369999999999999</v>
    <v>-0.26</v>
    <v>-3.6189999999999998E-3</v>
    <v>0</v>
    <v>0</v>
    <v>USD</v>
    <v>Sonic Automotive, Inc. is an automotive and powersports retailer in America. The Company's segments include Franchised Dealerships Segment, EchoPark Segment and Powersports Segment. The Franchised Dealerships Segment provides comprehensive sales and services, including sales of both new and used cars and light trucks; sales of replacement parts and performance of vehicle maintenance, manufacturer warranty repairs and paint and collision repair services, and arrangement of third-party financing, extended warranties, service contracts, insurance and other aftermarket products (collectively, F&amp;I) for its guests. The EchoPark Segment sells used cars and light trucks and arranges third-party F&amp;I product sales for its guests in pre-owned vehicle specialty retail locations, and does not offer customer-facing Fixed Operations services. The Powersports Segment offers guests sales of both new and used powersports vehicles; Fixed Operations activities, and third-party F&amp;I services.</v>
    <v>11000</v>
    <v>New York Stock Exchange</v>
    <v>XNYS</v>
    <v>XNYS</v>
    <v>4401 Colwick Rd, CHARLOTTE, NC, 28211 US</v>
    <v>72.739999999999995</v>
    <v>Specialty Retailers</v>
    <v>Stock</v>
    <v>46139.847222661716</v>
    <v>468</v>
    <v>70.965000000000003</v>
    <v>2401290681</v>
    <v>SONIC AUTOMOTIVE, INC.</v>
    <v>SONIC AUTOMOTIVE, INC.</v>
    <v>71.760000000000005</v>
    <v>21.129899999999999</v>
    <v>71.84</v>
    <v>71.58</v>
    <v>71.58</v>
    <v>33546950</v>
    <v>SAH</v>
    <v>SONIC AUTOMOTIVE, INC. (XNYS:SAH)</v>
    <v>187369</v>
    <v>275308</v>
    <v>1997</v>
  </rv>
  <rv s="2">
    <v>469</v>
  </rv>
  <rv s="0">
    <v>https://www.bing.com/financeapi/forcetrigger?t=bt7k2w&amp;q=XNAS%3aSPT&amp;form=skydnc</v>
    <v>Learn more on Bing</v>
  </rv>
  <rv s="1">
    <v>0</v>
    <v>SPROUT SOCIAL, INC. (XNAS:SPT)</v>
    <v>2</v>
    <v>3</v>
    <v>Finance</v>
    <v>4</v>
    <v>en</v>
    <v>bt7k2w</v>
    <v>268435456</v>
    <v>1</v>
    <v>Powered by Refinitiv</v>
    <v>25.48</v>
    <v>4.92</v>
    <v>0.94299999999999995</v>
    <v>0.02</v>
    <v>3.339E-3</v>
    <v>0.05</v>
    <v>8.319E-3</v>
    <v>USD</v>
    <v>Sprout Social, Inc. is engaged in designing, developing, and operating a Web-based social media management tool enabling companies to manage and measure their online presence. It provides organizations with a centralized platform to manage their social media efforts across stakeholders and business functions. Its cloud software brings together social messaging, data, and workflow in a unified system of record, intelligence, and action. It operates across major networks, including X (formerly known as Twitter), Facebook, Instagram, TikTok, Pinterest, LinkedIn, Google, Reddit, Bluesky, Glassdoor and YouTube, and commerce platforms Facebook Shops, Shopify, and WooCommerce. The Company's platform components include artificial intelligence and automation, publishing, engagement, analytics, social listening, influencer marketing by sprout social, and employee advocacy. Its platform is licensed on a per-user, per-month basis, providing scalability to meet the needs of businesses of all sizes.</v>
    <v>1362</v>
    <v>Nasdaq Stock Market</v>
    <v>XNAS</v>
    <v>XNAS</v>
    <v>131 South Dearborn Street, Suite 700, CHICAGO, IL, 60603 US</v>
    <v>6.165</v>
    <v>Software &amp; IT Services</v>
    <v>Stock</v>
    <v>46139.908935381252</v>
    <v>471</v>
    <v>5.9050000000000002</v>
    <v>361099070</v>
    <v>SPROUT SOCIAL, INC.</v>
    <v>SPROUT SOCIAL, INC.</v>
    <v>5.95</v>
    <v>0</v>
    <v>5.99</v>
    <v>6.01</v>
    <v>6.06</v>
    <v>60083040</v>
    <v>SPT</v>
    <v>SPROUT SOCIAL, INC. (XNAS:SPT)</v>
    <v>1255380</v>
    <v>1565411</v>
    <v>2010</v>
  </rv>
  <rv s="2">
    <v>472</v>
  </rv>
  <rv s="0">
    <v>https://www.bing.com/financeapi/forcetrigger?t=a22t2w&amp;q=XNAS%3aSFM&amp;form=skydnc</v>
    <v>Learn more on Bing</v>
  </rv>
  <rv s="1">
    <v>0</v>
    <v>SPROUTS FARMERS MARKET, INC. (XNAS:SFM)</v>
    <v>2</v>
    <v>3</v>
    <v>Finance</v>
    <v>5</v>
    <v>en</v>
    <v>a22t2w</v>
    <v>268435456</v>
    <v>1</v>
    <v>Powered by Refinitiv</v>
    <v>182</v>
    <v>64.75</v>
    <v>0.59909999999999997</v>
    <v>-1.34</v>
    <v>-1.8366E-2</v>
    <v>1.19</v>
    <v>1.6615000000000001E-2</v>
    <v>USD</v>
    <v>Sprouts Farmers Market, Inc. is a specialty natural and organic food retailer. The Company brings products made with lifestyle-friendly ingredients such as organic, plant-based and gluten-free. The Company categorizes the varieties of products it sells as perishable and non-perishable. Its perishable product categories include produce, meat and meat alternatives, seafood, deli, bakery, floral and dairy and dairy alternatives. Its produce products include fruits; vegetables; toppings, refrigerated dressings &amp; dips; miscellaneous produce, and floral. Its non-perishable product categories include grocery, vitamins and supplements, bulk items, frozen foods, beer and wine, and natural health and body care. Its beer &amp; wine products include red wine, white wine, rose &amp; blush, champagne &amp; sparkling, beer, non-alcoholic, and sweet wines. Its target customer is comprised of two specific groups: health enthusiasts and selective shoppers. It operates more than 440 stores in 24 states nationwide.</v>
    <v>36000</v>
    <v>Nasdaq Stock Market</v>
    <v>XNAS</v>
    <v>XNAS</v>
    <v>5455 E High St Ste 111, PHOENIX, AZ, 85054-5464 US</v>
    <v>75</v>
    <v>Food &amp; Drug Retailing</v>
    <v>Stock</v>
    <v>46139.932669258596</v>
    <v>474</v>
    <v>71.010000000000005</v>
    <v>6772137962</v>
    <v>SPROUTS FARMERS MARKET, INC.</v>
    <v>SPROUTS FARMERS MARKET, INC.</v>
    <v>73.45</v>
    <v>13.5221</v>
    <v>72.959999999999994</v>
    <v>71.62</v>
    <v>72.81</v>
    <v>94556520</v>
    <v>SFM</v>
    <v>SPROUTS FARMERS MARKET, INC. (XNAS:SFM)</v>
    <v>2488668</v>
    <v>1891886</v>
    <v>2011</v>
  </rv>
  <rv s="2">
    <v>475</v>
  </rv>
  <rv s="0">
    <v>https://www.bing.com/financeapi/forcetrigger?t=ayqsz2&amp;q=BMEX%3aSQRL&amp;form=skydnc</v>
    <v>Learn more on Bing</v>
  </rv>
  <rv s="5">
    <v>11</v>
    <v>Squirrel Media SA (BMEX:SQRL)</v>
    <v>2</v>
    <v>12</v>
    <v>Finance</v>
    <v>8</v>
    <v>en</v>
    <v>ayqsz2</v>
    <v>268435456</v>
    <v>1</v>
    <v>Powered by Refinitiv</v>
    <v>2.91</v>
    <v>1.85</v>
    <v>0.85840000000000005</v>
    <v>-0.03</v>
    <v>-1.1278E-2</v>
    <v>EUR</v>
    <v>SQUIRREL MEDIA SA, formerly Vertice Trescientos Sesenta Grados SA is a Spain-based company principally engaged in the media sector. The Company’s businesses are structured in two segments: Cinema, where it comprises the production and co-production of feature films, as well as the distribution and exploitation of rights to audiovisual works; Television, where the Company is engaged in the production of films, documents, entertainment programs and competitions for various television channels and audiovisual production. The Company operates mainly in the Spanish market and it is integrated into the Italian producer DMD Media SRL.</v>
    <v>353</v>
    <v>Bolsas y Mercados Espanoles</v>
    <v>BMEX</v>
    <v>BMEX</v>
    <v>Calle Agastia, 80, MADRID, MADRID, 28043 ES</v>
    <v>2.65</v>
    <v>Media &amp; Publishing</v>
    <v>Stock</v>
    <v>46139.666666666664</v>
    <v>477</v>
    <v>2.4900000000000002</v>
    <v>239884100</v>
    <v>Squirrel Media SA</v>
    <v>Squirrel Media SA</v>
    <v>2.4900000000000002</v>
    <v>40.672800000000002</v>
    <v>2.66</v>
    <v>2.63</v>
    <v>95953640</v>
    <v>SQRL</v>
    <v>Squirrel Media SA (BMEX:SQRL)</v>
    <v>50486</v>
    <v>33700</v>
  </rv>
  <rv s="2">
    <v>478</v>
  </rv>
  <rv s="0">
    <v>https://www.bing.com/financeapi/forcetrigger?t=ajf6gh&amp;q=XMIL%3aSTLA&amp;form=skydnc</v>
    <v>Learn more on Bing</v>
  </rv>
  <rv s="3">
    <v>6</v>
    <v>Stellantis NV (XMIL:STLAM)</v>
    <v>2</v>
    <v>7</v>
    <v>Finance</v>
    <v>13</v>
    <v>en</v>
    <v>ajf6gh</v>
    <v>268435456</v>
    <v>1</v>
    <v>Powered by Refinitiv</v>
    <v>10.49</v>
    <v>5.31</v>
    <v>1.5481</v>
    <v>-1E-3</v>
    <v>-1.4630000000000001E-4</v>
    <v>EUR</v>
    <v>Stellantis N.V., formerly Fiat Chrysler Automobiles N.V., is a holding Company based in the Netherlands and operates as an automaker and a mobility provider. The Company is engaged in designing, engineering, manufacturing, distributing and selling vehicles, components and production systems. The Company has industrial operations in more than 30 countries and sells its vehicles directly or through distributors and dealers in more than 130 countries. The Company designs, manufactures, distributes and sells vehicles for the mass-market under the Abarth, Alfa Romeo, Chrysler, Dodge, Fiat, Fiat Professional, Jeep, Lancia and Ram brands. In addition, the Company designs, manufactures, distributes and sells luxury vehicles under the Maserati brand. The Company's brand portfolio also includes Peugeot, Citroen, DS Automobiles, Opel and Vauxhall. It offers a wide variety of vehicle choices from luxury and mainstream passenger vehicles to pickup trucks, sport utility vehicle (SUVs).</v>
    <v>258668</v>
    <v>Borsa Italiana</v>
    <v>XMIL</v>
    <v>XMIL</v>
    <v>Taurusavenue 1, HOOFDDORP, NOORD-HOLLAND, 2132LS NL</v>
    <v>6.9569999999999999</v>
    <v>Automobiles &amp; Auto Parts</v>
    <v>Stock</v>
    <v>46139.666666666664</v>
    <v>480</v>
    <v>6.7930000000000001</v>
    <v>25186840000</v>
    <v>Stellantis NV</v>
    <v>Stellantis NV</v>
    <v>6.85</v>
    <v>0</v>
    <v>6.8369999999999997</v>
    <v>6.8360000000000003</v>
    <v>2903716000</v>
    <v>STLAM</v>
    <v>Stellantis NV (XMIL:STLAM)</v>
    <v>19806715</v>
    <v>32799670</v>
    <v>2014</v>
  </rv>
  <rv s="2">
    <v>481</v>
  </rv>
  <rv s="17">
    <v>37</v>
    <v>Syensqo NV (XBRU:SYENS)</v>
    <v>17</v>
    <v>7</v>
    <v>Finance</v>
    <v>8</v>
    <v>en</v>
    <v>cbp92w</v>
    <v>268435456</v>
    <v>1</v>
    <v>Powered by Refinitiv</v>
    <v>82.12</v>
    <v>41.76</v>
    <v>1.4910000000000001</v>
    <v>0.35</v>
    <v>6.2949999999999994E-3</v>
    <v>EUR</v>
    <v>Syensqo NV is a Belgium-based, Chemical company. The Company provides chemical solutions such as specialty polymers, composite materials, specialty formulations and bio-circular chemistries to assist its customers in identifying, developing, and manufacturing of sustainable solutions. The Company’s activities are organized into two divisions: Materials which consists of performance in polymers platform coupled with a composites business mainly serving automotive, aerospace, and electronics markets; Consumer and Resources providing specialty solutions to consumer focused on end markets such as Argo, Personal Care, Food, and others.</v>
    <v>13515</v>
    <v>Euronext Brussels</v>
    <v>XBRU</v>
    <v>XBRU</v>
    <v>Rue de la Fusee 98, BRUXELLES, BRUXELLES-CAPITALE, 1130 BE</v>
    <v>57.1</v>
    <v>Chemicals</v>
    <v>Stock</v>
    <v>46139.666666666664</v>
    <v>55.6</v>
    <v>7378410000</v>
    <v>Syensqo NV</v>
    <v>Syensqo NV</v>
    <v>55.6</v>
    <v>0</v>
    <v>55.6</v>
    <v>55.95</v>
    <v>103921300</v>
    <v>SYENS</v>
    <v>Syensqo NV (XBRU:SYENS)</v>
    <v>167480</v>
    <v>158500</v>
    <v>2023</v>
  </rv>
  <rv s="2">
    <v>483</v>
  </rv>
  <rv s="0">
    <v>https://www.bing.com/financeapi/forcetrigger?t=aflj5r&amp;q=XFRA%3aSY1&amp;form=skydnc</v>
    <v>Learn more on Bing</v>
  </rv>
  <rv s="3">
    <v>6</v>
    <v>Symrise AG (XFRA:SY1)</v>
    <v>2</v>
    <v>7</v>
    <v>Finance</v>
    <v>8</v>
    <v>en</v>
    <v>aflj5r</v>
    <v>268435456</v>
    <v>1</v>
    <v>Powered by Refinitiv</v>
    <v>132.44999999999999</v>
    <v>61</v>
    <v>0.4914</v>
    <v>-0.5</v>
    <v>-6.7190000000000001E-3</v>
    <v>EUR</v>
    <v>Symrise AG is a Germany-based company. The Company is engaged as a supplier of fragrances, flavorings, cosmetic active ingredients and raw materials, functional ingredients and product solutions for food production based on natural base materials. The Company operates through two segments: Taste, Nutrition &amp; Health and Scent &amp; Care segment. The Taste, Nutrition &amp; Health segment includes the Food &amp; Beverage and Pet Food divisions as well as the two smaller units Aqua Feed and Probi. It uses scientific research to offer customers and partners solutions in the areas of taste, nutrition and health that are sustainable and based on natural ingredients. The Company develops specific active solutions for the desired health benefits. The Scent &amp; Care segment includes the Fragrance, Cosmetic Ingredients and Aroma Molecules divisions. The Fragrance division combine aromatic raw materials like aroma chemicals and essential oils to make complex fragrances (perfume oils).</v>
    <v>12745</v>
    <v>Deutsche Boerse AG</v>
    <v>XFRA</v>
    <v>XFRA</v>
    <v>Muehlenfeldstr. 1, NIEDERSACHSEN, 37603 DE</v>
    <v>73.92</v>
    <v>Chemicals</v>
    <v>Stock</v>
    <v>46139.836805555555</v>
    <v>485</v>
    <v>73.400000000000006</v>
    <v>10401840000</v>
    <v>Symrise AG</v>
    <v>Symrise AG</v>
    <v>73.400000000000006</v>
    <v>41.5</v>
    <v>74.42</v>
    <v>73.92</v>
    <v>139772000</v>
    <v>SY1</v>
    <v>Symrise AG (XFRA:SY1)</v>
    <v>40</v>
    <v>366190</v>
    <v>2006</v>
  </rv>
  <rv s="2">
    <v>486</v>
  </rv>
  <rv s="0">
    <v>https://www.bing.com/financeapi/forcetrigger?t=bxo83m&amp;q=XPAR%3aTE&amp;form=skydnc</v>
    <v>Learn more on Bing</v>
  </rv>
  <rv s="3">
    <v>6</v>
    <v>Technip Energies NV (XPAR:TE)</v>
    <v>2</v>
    <v>7</v>
    <v>Finance</v>
    <v>8</v>
    <v>en</v>
    <v>bxo83m</v>
    <v>268435456</v>
    <v>1</v>
    <v>Powered by Refinitiv</v>
    <v>42.82</v>
    <v>28.06</v>
    <v>0.83540000000000003</v>
    <v>-0.16</v>
    <v>-3.9740000000000001E-3</v>
    <v>EUR</v>
    <v>Technip Energies NV is a France-based company. The Company is specialized in providing projects, technologies, products and services on energy infrastructure both onshore and offshore (LNG, downstream, sustainable chemistry, hydrogen, CO2 management and marine infrastructure). Its expertise includes a full range of design and project development services, from early engagement to delivery. It combines the E&amp;C capabilities with its technological expertise to develop new solutions that will support the world's energy transition and is a pioneer in LNG, a critical transition fuel. In addition, it offers a range of design, construction and industrial solutions that will become more prominent as the world transitions to a less carbon-reliant economy.</v>
    <v>15624</v>
    <v>Euronext Paris</v>
    <v>XPAR</v>
    <v>XPAR</v>
    <v>2126 boulevard de la Defense, Nanterre CEDEX, NANTERRE, ILE-DE-FRANCE, 92741 FR</v>
    <v>40.94</v>
    <v>Oil &amp; Gas Related Equipment and Services</v>
    <v>Stock</v>
    <v>46139.666666666664</v>
    <v>488</v>
    <v>40</v>
    <v>5975687000</v>
    <v>Technip Energies NV</v>
    <v>Technip Energies NV</v>
    <v>40.5</v>
    <v>19.4756</v>
    <v>40.26</v>
    <v>40.1</v>
    <v>178378700</v>
    <v>TE</v>
    <v>Technip Energies NV (XPAR:TE)</v>
    <v>337892</v>
    <v>463740</v>
    <v>2019</v>
  </rv>
  <rv s="2">
    <v>489</v>
  </rv>
  <rv s="0">
    <v>https://www.bing.com/financeapi/forcetrigger?t=a242z2&amp;q=XNYS%3aTDOC&amp;form=skydnc</v>
    <v>Learn more on Bing</v>
  </rv>
  <rv s="1">
    <v>0</v>
    <v>TELADOC HEALTH, INC. (XNYS:TDOC)</v>
    <v>2</v>
    <v>3</v>
    <v>Finance</v>
    <v>5</v>
    <v>en</v>
    <v>a242z2</v>
    <v>268435456</v>
    <v>1</v>
    <v>Powered by Refinitiv</v>
    <v>9.77</v>
    <v>4.4000000000000004</v>
    <v>2.052</v>
    <v>0.11</v>
    <v>1.9130000000000001E-2</v>
    <v>4.8300000000000003E-2</v>
    <v>8.2559999999999995E-3</v>
    <v>USD</v>
    <v>Teladoc Health, Inc. provides virtual healthcare services. Its segments include Teladoc Health Integrated Care (Integrated Care) and BetterHelp. Integrated Care segment includes a suite of global virtual medical services including general medical, expert medical services, specialty medical, chronic condition management, mental health, and enabling technologies and enterprise telehealth solutions for hospitals and health systems. Services in this segment are distributed on a B2B basis. BetterHelp segment includes direct-to-consumer mental health platform. The online counseling and therapy services are provided via its network of over 35,000 licensed clinicians leveraging its platform for Web, mobile app, phone, and text-based interactions. Its Teladoc Health family of brands, including Teladoc and BetterHelp, deliver access to advice and resolution for an array of healthcare needs. Its Telecare brand is a tech-enabled provider of specialist and allied health care via virtual delivery.</v>
    <v>5600</v>
    <v>New York Stock Exchange</v>
    <v>XNYS</v>
    <v>XNYS</v>
    <v>155 E 44TH STREET, SUITE 1700, NEW YORK, NY, 10017 US</v>
    <v>5.92</v>
    <v>Healthcare Providers &amp; Services</v>
    <v>Stock</v>
    <v>46139.928211793747</v>
    <v>491</v>
    <v>5.73</v>
    <v>1057326246</v>
    <v>TELADOC HEALTH, INC.</v>
    <v>TELADOC HEALTH, INC.</v>
    <v>5.74</v>
    <v>0</v>
    <v>5.75</v>
    <v>5.86</v>
    <v>5.8982999999999999</v>
    <v>180431100</v>
    <v>TDOC</v>
    <v>TELADOC HEALTH, INC. (XNYS:TDOC)</v>
    <v>2650328</v>
    <v>4541707</v>
    <v>2008</v>
  </rv>
  <rv s="2">
    <v>492</v>
  </rv>
  <rv s="0">
    <v>https://www.bing.com/financeapi/forcetrigger?t=amg3k2&amp;q=BMEX%3aTEF&amp;form=skydnc</v>
    <v>Learn more on Bing</v>
  </rv>
  <rv s="6">
    <v>14</v>
    <v>Telefonica SA (BMEX:TEF)</v>
    <v>2</v>
    <v>31</v>
    <v>Finance</v>
    <v>32</v>
    <v>en</v>
    <v>amg3k2</v>
    <v>268435456</v>
    <v>1</v>
    <v>Powered by Refinitiv</v>
    <v>4.8929999999999998</v>
    <v>3.2360000000000002</v>
    <v>0.48209999999999997</v>
    <v>-7.8E-2</v>
    <v>-2.0124E-2</v>
    <v>-0.19800000000000001</v>
    <v>-5.2133000000000006E-2</v>
    <v>EUR</v>
    <v>Telefonica SA is a Spain-based integrated and diversified telecommunications group operating in Europe and Latin America. The Company's main purpose is to provide all kinds of public and private telecommunication services, as well as auxiliary or complementary services related to telecommunications in Spain and abroad. As the parent company of a group of enterprises that offers both fixed and mobile communications, Telefonica SA is a fully standalone company whose shares are traded on the continuous market of the Spanish stock exchanges and on the New York and Lima stock exchanges. Through its global subsidiaries The Company services clients (all size businesses, individuals and networks) by implementing telecommunication solutions, cybersecurity, mobile contracts, broadband and wireless, AI and blockchain technology innovations among others.</v>
    <v>77252</v>
    <v>Bolsas y Mercados Espanoles</v>
    <v>BMEX</v>
    <v>BMEX</v>
    <v>Gran Via 28, MADRID, MADRID, 28013 ES</v>
    <v>3.8679999999999999</v>
    <v>Telecommunications Services</v>
    <v>Stock</v>
    <v>46139.666666666664</v>
    <v>494</v>
    <v>3.7909999999999999</v>
    <v>19017720000</v>
    <v>Telefonica SA</v>
    <v>Telefonica SA</v>
    <v>3.8570000000000002</v>
    <v>3.8759999999999999</v>
    <v>3.798</v>
    <v>3.6</v>
    <v>5670162000</v>
    <v>TEF</v>
    <v>Telefonica SA (BMEX:TEF)</v>
    <v>8986136</v>
    <v>10335720</v>
    <v>1924</v>
  </rv>
  <rv s="2">
    <v>495</v>
  </rv>
  <rv s="0">
    <v>https://www.bing.com/financeapi/forcetrigger?t=azrbr7&amp;q=XPAR%3aTEP&amp;form=skydnc</v>
    <v>Learn more on Bing</v>
  </rv>
  <rv s="3">
    <v>6</v>
    <v>Teleperformance SE (XPAR:TEP)</v>
    <v>2</v>
    <v>7</v>
    <v>Finance</v>
    <v>8</v>
    <v>en</v>
    <v>azrbr7</v>
    <v>268435456</v>
    <v>1</v>
    <v>Powered by Refinitiv</v>
    <v>100.3</v>
    <v>45.5</v>
    <v>0.73650000000000004</v>
    <v>1.26</v>
    <v>2.3264E-2</v>
    <v>EUR</v>
    <v>Teleperformance SE, formerly Teleperformance SA is a France-based telemarketing and tele-services provider. The Company provides outsourced services and business consulting dedicated to customer relationship management. It specializes in the outsourcing of contact centers dedicated to customer relationship management. The Company offers customer experience management services, customer information services, technical assistance, customer acquisition, back-office services. It offers integrated business process management and digital transformation services and high value-added consulting services. The Company provides provision of specialized services, online interpreting, management of visa applications and debt collection.</v>
    <v>446716</v>
    <v>Euronext Paris</v>
    <v>XPAR</v>
    <v>XPAR</v>
    <v>21, rue Balzac, PARIS, ILE-DE-FRANCE, 75008 FR</v>
    <v>55.64</v>
    <v>Professional &amp; Commercial Services</v>
    <v>Stock</v>
    <v>46139.666666666664</v>
    <v>497</v>
    <v>54.12</v>
    <v>3430801000</v>
    <v>Teleperformance SE</v>
    <v>Teleperformance SE</v>
    <v>54.18</v>
    <v>6.3940999999999999</v>
    <v>54.16</v>
    <v>55.42</v>
    <v>59874360</v>
    <v>TEP</v>
    <v>Teleperformance SE (XPAR:TEP)</v>
    <v>226805</v>
    <v>293020</v>
    <v>1974</v>
  </rv>
  <rv s="2">
    <v>498</v>
  </rv>
  <rv s="0">
    <v>https://www.bing.com/financeapi/forcetrigger?t=a1q5hw&amp;q=XNYS%3aCOO&amp;form=skydnc</v>
    <v>Learn more on Bing</v>
  </rv>
  <rv s="1">
    <v>0</v>
    <v>THE COOPER COMPANIES, INC. (XNAS:COO)</v>
    <v>2</v>
    <v>3</v>
    <v>Finance</v>
    <v>4</v>
    <v>en</v>
    <v>a1q5hw</v>
    <v>268435456</v>
    <v>1</v>
    <v>Powered by Refinitiv</v>
    <v>89.83</v>
    <v>61.774999999999999</v>
    <v>0.92510000000000003</v>
    <v>-0.08</v>
    <v>-1.242E-3</v>
    <v>-0.01</v>
    <v>-1.5540000000000001E-4</v>
    <v>USD</v>
    <v>The Cooper Companies, Inc. is a global medical device company. The Company operates in two business units: CooperVision and CooperSurgical. CooperVision segment is involved in the contact lens industry. CooperSurgical segment is involved in the fertility and women's health care market through its diversified portfolio of products and services, including fertility products and services, medical devices, cryostorage (such as cord blood and cord tissue storage) and contraception. CooperVision’s products include MyDay daily disposable, MyDay daily disposable toric, MyDay Energys, MyDay multifocal, Biofinity &amp; Biofinity XR, Biofinity Energys. CooperSurgical’s portfolio includes INSORB, Lone Star, and the Doppler Blood Flow Monitor. It also offers a suite of single-use cordless surgical retractors with an integrated multi-light-emitting diode (LED) light source and dual smoke evacuation channels, and single-use surgical suction devices with an integrated, cordless radial LED light source.</v>
    <v>15000</v>
    <v>Nasdaq Stock Market</v>
    <v>XNAS</v>
    <v>XNAS</v>
    <v>6101 Bollinger Canyon Road, Suite 500, SAN RAMON, CA, 94583 US</v>
    <v>65.290000000000006</v>
    <v>Healthcare Equipment &amp; Supplies</v>
    <v>Stock</v>
    <v>46139.88483017344</v>
    <v>500</v>
    <v>64.2</v>
    <v>12553660496</v>
    <v>THE COOPER COMPANIES, INC.</v>
    <v>THE COOPER COMPANIES, INC.</v>
    <v>64.44</v>
    <v>31.834099999999999</v>
    <v>64.42</v>
    <v>64.34</v>
    <v>64.33</v>
    <v>195114400</v>
    <v>COO</v>
    <v>THE COOPER COMPANIES, INC. (XNAS:COO)</v>
    <v>2064461</v>
    <v>1919643</v>
    <v>1980</v>
  </rv>
  <rv s="2">
    <v>501</v>
  </rv>
  <rv s="0">
    <v>https://www.bing.com/financeapi/forcetrigger?t=c1tm3m&amp;q=XNAS%3aHNST&amp;form=skydnc</v>
    <v>Learn more on Bing</v>
  </rv>
  <rv s="1">
    <v>0</v>
    <v>THE HONEST COMPANY, INC. (XNAS:HNST)</v>
    <v>2</v>
    <v>3</v>
    <v>Finance</v>
    <v>5</v>
    <v>en</v>
    <v>c1tm3m</v>
    <v>268435456</v>
    <v>1</v>
    <v>Powered by Refinitiv</v>
    <v>5.5452000000000004</v>
    <v>2.0699999999999998</v>
    <v>2.1791</v>
    <v>-0.09</v>
    <v>-2.521E-2</v>
    <v>-1.95E-2</v>
    <v>-5.6030000000000003E-3</v>
    <v>USD</v>
    <v>The Honest Company, Inc. is a personal care company focused on creating cleanly-formulated and sustainably designed products. It offers personal care products, including diapers, wipes and adult facial care (including skin and color cosmetics). Primary components of its diapers include responsibly sourced, plant-based fluff pulp and other plant-derived materials. Its diapers have a modern and efficient design that uses less material. Its Clean Conscious wipes are compostable and plant-based, made with over 99% water and gentle on sensitive skin. It has a line of bath and body care products for babies, and adult facial care products designed for a range of skin types and concerns. Its ingredients and formulas are toxicologist-audited for potential health concerns. It offers baby clothing made with organic cotton, family flushable wipes, sanitizing wipes and hand sanitizer made with plant-based ingredients. Its distribution network includes two warehouses in Nevada and Pennsylvania.</v>
    <v>174</v>
    <v>Nasdaq Stock Market</v>
    <v>XNAS</v>
    <v>XNAS</v>
    <v>12130 MILLENNIUM DR., #500, LOS ANGELES, CA, 90094 US</v>
    <v>3.5950000000000002</v>
    <v>Specialty Retailers</v>
    <v>Stock</v>
    <v>46139.932429490626</v>
    <v>503</v>
    <v>3.4750000000000001</v>
    <v>390914664</v>
    <v>THE HONEST COMPANY, INC.</v>
    <v>THE HONEST COMPANY, INC.</v>
    <v>3.55</v>
    <v>0</v>
    <v>3.57</v>
    <v>3.48</v>
    <v>3.4605000000000001</v>
    <v>112331800</v>
    <v>HNST</v>
    <v>THE HONEST COMPANY, INC. (XNAS:HNST)</v>
    <v>1637767</v>
    <v>1611342</v>
    <v>2012</v>
  </rv>
  <rv s="2">
    <v>504</v>
  </rv>
  <rv s="0">
    <v>https://www.bing.com/financeapi/forcetrigger?t=a1ub52&amp;q=XNAS%3aGT&amp;form=skydnc</v>
    <v>Learn more on Bing</v>
  </rv>
  <rv s="1">
    <v>0</v>
    <v>THE GOODYEAR TIRE &amp; RUBBER COMPANY (XNAS:GT)</v>
    <v>2</v>
    <v>3</v>
    <v>Finance</v>
    <v>4</v>
    <v>en</v>
    <v>a1ub52</v>
    <v>268435456</v>
    <v>1</v>
    <v>Powered by Refinitiv</v>
    <v>12.03</v>
    <v>6.14</v>
    <v>1.1825000000000001</v>
    <v>0.08</v>
    <v>1.1331000000000001E-2</v>
    <v>0.01</v>
    <v>1.4010000000000001E-3</v>
    <v>USD</v>
    <v>The Goodyear Tire &amp; Rubber Company is a tire company. It develops, manufactures, distributes and sells tires for most applications. It also operates commercial truck service and tire retreading centers. The Company operates approximately 800 retail outlets where it offers its products for sale to consumer and commercial customers and provides repair and other services. It manufactures its products in 51 manufacturing facilities in 19 countries. Its segments represent its regional tire businesses: the Americas, Europe, Middle East and Africa (EMEA), and Asia Pacific. It manufactures and sells numerous lines of rubber tires for automobiles, trucks, buses, aircraft, motorcycles, earthmoving and mining equipment, farm implements, industrial equipment, and various other applications. Its brands include Goodyear, Cooper, Kelly Tires, Mastercraft Tires, Mickey Thompson, Roadmaster, Debica, Sava, Fulda, Avon Tyres, and Sava, among others.</v>
    <v>63000</v>
    <v>Nasdaq Stock Market</v>
    <v>XNAS</v>
    <v>XNAS</v>
    <v>200 Innovation Way, AKRON, OH, 44316 US</v>
    <v>7.26</v>
    <v>Automobiles &amp; Auto Parts</v>
    <v>Stock</v>
    <v>46139.887964664063</v>
    <v>506</v>
    <v>7.07</v>
    <v>2045732808</v>
    <v>THE GOODYEAR TIRE &amp; RUBBER COMPANY</v>
    <v>THE GOODYEAR TIRE &amp; RUBBER COMPANY</v>
    <v>7.07</v>
    <v>0</v>
    <v>7.06</v>
    <v>7.14</v>
    <v>7.15</v>
    <v>286517200</v>
    <v>GT</v>
    <v>THE GOODYEAR TIRE &amp; RUBBER COMPANY (XNAS:GT)</v>
    <v>9882247</v>
    <v>7496677</v>
    <v>1898</v>
  </rv>
  <rv s="2">
    <v>507</v>
  </rv>
  <rv s="0">
    <v>https://www.bing.com/financeapi/forcetrigger?t=a2472w&amp;q=XNAS%3aTGTX&amp;form=skydnc</v>
    <v>Learn more on Bing</v>
  </rv>
  <rv s="1">
    <v>0</v>
    <v>TG THERAPEUTICS, INC. (XNAS:TGTX)</v>
    <v>2</v>
    <v>3</v>
    <v>Finance</v>
    <v>4</v>
    <v>en</v>
    <v>a2472w</v>
    <v>268435456</v>
    <v>1</v>
    <v>Powered by Refinitiv</v>
    <v>46.48</v>
    <v>25.28</v>
    <v>1.7611000000000001</v>
    <v>-1.24</v>
    <v>-3.3861000000000002E-2</v>
    <v>-0.18</v>
    <v>-5.0880000000000005E-3</v>
    <v>USD</v>
    <v>TG Therapeutics, Inc. is a fully integrated, commercial stage biotechnology company focused on the acquisition, development and commercialization of novel treatments for B-cell diseases. Its products include Ublituximab IV (anti-CD20 mAb), Ublituximab IV Simplified Dosing Schedule, Ublituximab Subcutaneous (anti-CD20 mAb), and Azer-cel. It is engaged in late-stage clinical development of BRIUMVI. BRIUMVI is an anti-CD20 monoclonal antibody that can be administered to adults with relapsing forms of multiple sclerosis (RMS) in a one-hour infusion every 24 weeks, following the starting dose. It is used for treatment of adults with clinically isolated syndrome, relapsing-remitting disease, and active secondary progressive disease. The Company is also engaged in ULTIMATE I &amp; II Trials Evaluating Single Agent Ublituximab in RMS. Its ENHANCE Phase 3b Trial is an ongoing, multi-center, open-label study designed to evaluate alternative dosing regimens for BRIUMVI in patients with RMS.</v>
    <v>399</v>
    <v>Nasdaq Stock Market</v>
    <v>XNAS</v>
    <v>XNAS</v>
    <v>3020 Carrington Mill Blvd., Suite 475, MORRISVILLE, NC, 27560-5435 US</v>
    <v>36.99</v>
    <v>Pharmaceuticals</v>
    <v>Stock</v>
    <v>46139.868745323438</v>
    <v>509</v>
    <v>34.984999999999999</v>
    <v>5649772054</v>
    <v>TG THERAPEUTICS, INC.</v>
    <v>TG THERAPEUTICS, INC.</v>
    <v>36.71</v>
    <v>13.1868</v>
    <v>36.619999999999997</v>
    <v>35.380000000000003</v>
    <v>35.200000000000003</v>
    <v>159688300</v>
    <v>TGTX</v>
    <v>TG THERAPEUTICS, INC. (XNAS:TGTX)</v>
    <v>1655298</v>
    <v>1942917</v>
    <v>1993</v>
  </rv>
  <rv s="2">
    <v>510</v>
  </rv>
  <rv s="0">
    <v>https://www.bing.com/financeapi/forcetrigger?t=a1rfec&amp;q=XNAS%3aDWAC&amp;form=skydnc</v>
    <v>Learn more on Bing</v>
  </rv>
  <rv s="1">
    <v>0</v>
    <v>TRUMP MEDIA &amp; TECHNOLOGY GROUP CORP. (XNAS:DJT)</v>
    <v>2</v>
    <v>3</v>
    <v>Finance</v>
    <v>5</v>
    <v>en</v>
    <v>a1rfec</v>
    <v>268435456</v>
    <v>1</v>
    <v>Powered by Refinitiv</v>
    <v>27.78</v>
    <v>8.3049999999999997</v>
    <v>4.2491000000000003</v>
    <v>0.6</v>
    <v>6.4170999999999992E-2</v>
    <v>0</v>
    <v>0</v>
    <v>USD</v>
    <v>Trump Media &amp; Technology Group Corp. (TMTG) is a social media and technology-focused company. The Company's product, Truth Social, is a social media platform where any user can create content, follow other users and engage in an open global conversation. The Company does not restrict whom a user can follow. Additionally, users can be followed by other users without requiring a reciprocal relationship, enhancing the ability of its users to reach a broad audience. Its products and services include Truth Social and Truth+. TMTG operates a TV streaming platform, Truth+, across the entire Truth Social platform-iOS, Android, and the Web. The streaming service relies on TMTG's custom-built content delivery network (CDN), which operates through a data center. TMTG's streaming technology is powered through specially designed infrastructure with its own servers, routers, and software stack. The Company is also focused on launching Truth.Fi, a financial service and FinTech brand.</v>
    <v>31</v>
    <v>Nasdaq Stock Market</v>
    <v>XNAS</v>
    <v>XNAS</v>
    <v>401 N. Cattlemen Rd., Ste. 200, SARASOTA, FL, 34232 US</v>
    <v>10.149900000000001</v>
    <v>Software &amp; IT Services</v>
    <v>Stock</v>
    <v>46139.935046527346</v>
    <v>512</v>
    <v>9.2899999999999991</v>
    <v>2753476435</v>
    <v>TRUMP MEDIA &amp; TECHNOLOGY GROUP CORP.</v>
    <v>TRUMP MEDIA &amp; TECHNOLOGY GROUP CORP.</v>
    <v>9.32</v>
    <v>0</v>
    <v>9.35</v>
    <v>9.9499999999999993</v>
    <v>9.9499999999999993</v>
    <v>276731300</v>
    <v>DJT</v>
    <v>TRUMP MEDIA &amp; TECHNOLOGY GROUP CORP. (XNAS:DJT)</v>
    <v>5407152</v>
    <v>3362937</v>
    <v>2025</v>
  </rv>
  <rv s="2">
    <v>513</v>
  </rv>
  <rv s="0">
    <v>https://www.bing.com/financeapi/forcetrigger?t=a24c52&amp;q=XNAS%3aTMUS&amp;form=skydnc</v>
    <v>Learn more on Bing</v>
  </rv>
  <rv s="1">
    <v>0</v>
    <v>T-MOBILE US, INC. (XNAS:TMUS)</v>
    <v>2</v>
    <v>3</v>
    <v>Finance</v>
    <v>5</v>
    <v>en</v>
    <v>a24c52</v>
    <v>268435456</v>
    <v>1</v>
    <v>Powered by Refinitiv</v>
    <v>261.56</v>
    <v>181.36</v>
    <v>0.30790000000000001</v>
    <v>-7.05</v>
    <v>-3.7143999999999996E-2</v>
    <v>1.05</v>
    <v>5.7460000000000002E-3</v>
    <v>USD</v>
    <v>T-Mobile US, Inc. is a provider of wireless communications services, including voice, messaging and data, under its flagship brands, T-Mobile and Metro by T-Mobile, and Mint Mobile, in the United States, Puerto Rico and the United States Virgin Islands. It provides wireless communications services primarily using its 4G Long Term Evolution network and its 5G technology network. It also offers a selection of wireless devices, including handsets, tablets and other mobile communication devices, and accessories for sale, as well as financing through equipment installment plans. Its primary service plan offering is Go5G Plus, which includes unlimited talk, text and data on its network, 5G access at no extra cost, scam protection features and more. In addition to its wireless communications services, the Company also offers high speed Internet, which includes a fixed wireless product that utilizes the excess capacity of its nationwide 5G network. It also provides advertising solutions.</v>
    <v>75000</v>
    <v>Nasdaq Stock Market</v>
    <v>XNAS</v>
    <v>XNAS</v>
    <v>12920 Se 38Th Street, BELLEVUE, WA, 98006 US</v>
    <v>190.47</v>
    <v>Telecommunications Services</v>
    <v>Stock</v>
    <v>46139.934580971872</v>
    <v>515</v>
    <v>182.01</v>
    <v>201365463250</v>
    <v>T-MOBILE US, INC.</v>
    <v>T-MOBILE US, INC.</v>
    <v>188.76</v>
    <v>19.533799999999999</v>
    <v>189.8</v>
    <v>182.75</v>
    <v>183.8</v>
    <v>1101863000</v>
    <v>TMUS</v>
    <v>T-MOBILE US, INC. (XNAS:TMUS)</v>
    <v>8395127</v>
    <v>6324078</v>
    <v>2004</v>
  </rv>
  <rv s="2">
    <v>516</v>
  </rv>
  <rv s="0">
    <v>https://www.bing.com/financeapi/forcetrigger?t=amg47w&amp;q=BMEX%3aTUB&amp;form=skydnc</v>
    <v>Learn more on Bing</v>
  </rv>
  <rv s="4">
    <v>9</v>
    <v>Tubacex SA (BMEX:TUB)</v>
    <v>2</v>
    <v>10</v>
    <v>Finance</v>
    <v>8</v>
    <v>en</v>
    <v>amg47w</v>
    <v>268435456</v>
    <v>1</v>
    <v>Powered by Refinitiv</v>
    <v>4.28</v>
    <v>2.74</v>
    <v>1.0042</v>
    <v>5.0000000000000001E-3</v>
    <v>1.709E-3</v>
    <v>EUR</v>
    <v>Tubacex SA is a Spain-based company primarily engaged, through its subsidiaries, in the steel industry. The Company's main activity is the manufacture, distribution and sale of seamless stainless steel tubes and pipes. The Company’s product portfolio also includes hollow bars, steel and fittings. It has operations established in Europe, the Americas and Asia.The Company is a parent of Grupo Tubacex, a group, which comprises a number of controlled entities, including Aceria de Alava SA, Tubacex Tubos Inoxidables SA, Schoeller-Bleckmann Edelstahlrohr Inmobilien AG, Salem Tube Inc, Tubacex Taylor Accesorios SA and Metaux Inox Services SAS, among others.</v>
    <v>2578</v>
    <v>Bolsas y Mercados Espanoles</v>
    <v>BMEX</v>
    <v>BMEX</v>
    <v>C/ TRES CRUCES - BARRIO GARDEA SIN MUMERO, 01400 ES</v>
    <v>2.9750000000000001</v>
    <v>Metals &amp; Mining</v>
    <v>Stock</v>
    <v>46139.666666666664</v>
    <v>518</v>
    <v>2.9</v>
    <v>458108300</v>
    <v>Tubacex SA</v>
    <v>Tubacex SA</v>
    <v>2.9750000000000001</v>
    <v>2.9249999999999998</v>
    <v>2.93</v>
    <v>126549200</v>
    <v>TUB</v>
    <v>Tubacex SA (BMEX:TUB)</v>
    <v>283170</v>
    <v>521900</v>
    <v>1963</v>
  </rv>
  <rv s="2">
    <v>519</v>
  </rv>
  <rv s="0">
    <v>https://www.bing.com/financeapi/forcetrigger?t=amg452&amp;q=BMEX%3aTRG&amp;form=skydnc</v>
    <v>Learn more on Bing</v>
  </rv>
  <rv s="10">
    <v>22</v>
    <v>Tubos Reunidos SA (BMEX:TRG)</v>
    <v>2</v>
    <v>23</v>
    <v>Finance</v>
    <v>8</v>
    <v>en</v>
    <v>amg452</v>
    <v>268435456</v>
    <v>1</v>
    <v>Powered by Refinitiv</v>
    <v>0.63600000000000001</v>
    <v>0.13300000000000001</v>
    <v>0.77439999999999998</v>
    <v>-8.4000000000000005E-2</v>
    <v>-0.375</v>
    <v>EUR</v>
    <v>Tubos Reunidos SA is a Spain-based company primarily engaged in the steel industry. The Company specializes in the production, distribution and sale of seamless pipes used in the chemical, petrochemical, automotive, gas and construction industries. The Company’s facilities include steel mills, as well as three production plants, which are located in Amurrio, Pamplona and Trapagaran. The Company offers tubular solutions in a loyal and competitive way, with the advanced R&amp;D&amp;I technology, the knowledge of more than 130 years of history and an environmental commitment. It also develops and manufacture seamless steel tubes in stainless steel, high-alloy and carbon grades for all processes and requirements.</v>
    <v>1287</v>
    <v>Bolsas y Mercados Espanoles</v>
    <v>BMEX</v>
    <v>BMEX</v>
    <v>BARRIO SAGARRIBAI SN, 01470 ES</v>
    <v>0.2225</v>
    <v>Metals &amp; Mining</v>
    <v>Stock</v>
    <v>46139.666666666664</v>
    <v>521</v>
    <v>0.13300000000000001</v>
    <v>56159910</v>
    <v>Tubos Reunidos SA</v>
    <v>Tubos Reunidos SA</v>
    <v>0.2205</v>
    <v>0.224</v>
    <v>0.14000000000000001</v>
    <v>174680900</v>
    <v>TRG</v>
    <v>Tubos Reunidos SA (BMEX:TRG)</v>
    <v>15605686</v>
    <v>801100</v>
  </rv>
  <rv s="2">
    <v>522</v>
  </rv>
  <rv s="0">
    <v>https://www.bing.com/financeapi/forcetrigger?t=afml52&amp;q=XFRA%3aTUI1&amp;form=skydnc</v>
    <v>Learn more on Bing</v>
  </rv>
  <rv s="3">
    <v>6</v>
    <v>TUI AG (XFRA:TUI1)</v>
    <v>2</v>
    <v>7</v>
    <v>Finance</v>
    <v>8</v>
    <v>en</v>
    <v>afml52</v>
    <v>268435456</v>
    <v>1</v>
    <v>Powered by Refinitiv</v>
    <v>20.76</v>
    <v>1.1675</v>
    <v>1.6480999999999999</v>
    <v>-2.8000000000000001E-2</v>
    <v>-4.3140000000000001E-3</v>
    <v>EUR</v>
    <v>TUI AG is a Germany-based global integrated tourism group. It operates through the segments: Hotels &amp; Resorts, Cruises and TUI Musement, three regions: Northern, Central and Western Region, and all other segments. The Hotels &amp; Resorts segment comprises of all group-owned hotel brands and hotel companies. The Cruises segment comprises the joint venture TUI Cruises, which operates cruise ships under the brands Mein Schiff and Hapag-Lloyd Cruises, and Marella Cruises. The TUI Musement segment delivers local services at its holiday destinations. The Northern Region segment comprises of the Group's tour operator activities and airlines in the United Kingdom, Ireland and the Nordics. The Central Region segment consists of tour operators and airlines in Germany and tour operator activities in Austria, Poland and Switzerland. The Western Region segment comprises the tour operators and airlines in Belgium and the Netherlands and France. 'All other segments' takes care of all other operations.</v>
    <v>53593</v>
    <v>Deutsche Boerse AG</v>
    <v>XFRA</v>
    <v>XFRA</v>
    <v>Karl-Wiechert-Allee 23, HANNOVER, NIEDERSACHSEN, 30625 DE</v>
    <v>6.5380000000000003</v>
    <v>Hotels &amp; Entertainment Services</v>
    <v>Stock</v>
    <v>46139.836805555555</v>
    <v>524</v>
    <v>6.3959999999999999</v>
    <v>4640964000</v>
    <v>TUI AG</v>
    <v>TUI AG</v>
    <v>6.4420000000000002</v>
    <v>5.01</v>
    <v>6.49</v>
    <v>6.4619999999999997</v>
    <v>507431000</v>
    <v>TUI1</v>
    <v>TUI AG (XFRA:TUI1)</v>
    <v>33782</v>
    <v>5319350</v>
    <v>1923</v>
  </rv>
  <rv s="2">
    <v>525</v>
  </rv>
  <rv s="0">
    <v>https://www.bing.com/financeapi/forcetrigger?t=bptw77&amp;q=XNYS%3aUBER&amp;form=skydnc</v>
    <v>Learn more on Bing</v>
  </rv>
  <rv s="1">
    <v>0</v>
    <v>UBER TECHNOLOGIES, INC. (XNYS:UBER)</v>
    <v>2</v>
    <v>3</v>
    <v>Finance</v>
    <v>5</v>
    <v>en</v>
    <v>bptw77</v>
    <v>268435456</v>
    <v>1</v>
    <v>Powered by Refinitiv</v>
    <v>101.99</v>
    <v>68.459999999999994</v>
    <v>1.1684000000000001</v>
    <v>1.635</v>
    <v>2.1905000000000001E-2</v>
    <v>0.22520000000000001</v>
    <v>2.9529999999999999E-3</v>
    <v>USD</v>
    <v>Uber Technologies, Inc. operates a technology platform that uses network and technology to power movement from point A to point B. It develops and operates technology applications supporting a variety of offerings on its platform (platform(s)). Its segments include Mobility, Delivery and Freight. Mobility products connect consumers with drivers who provide rides in a variety of vehicles, such as cars, auto rickshaws, motorbikes, minibuses, or taxis. Delivery offerings allow consumers to search for and discover local restaurants, order a meal, and either pick-up at the restaurant or have the meal delivered. In certain markets, the Delivery segment provides offerings for grocery, alcohol, and convenience store delivery as well as select other goods. The Freight segment connects carriers with shippers on its platform, and gives carriers upfront, pricing and the ability to book a shipment. The Freight segment also includes transportation management and other logistics service offerings.</v>
    <v>34000</v>
    <v>New York Stock Exchange</v>
    <v>XNYS</v>
    <v>XNYS</v>
    <v>1725 3Rd Street, SAN FRANCISCO, CA, 94158 US</v>
    <v>76.95</v>
    <v>Software &amp; IT Services</v>
    <v>Stock</v>
    <v>46139.935091620311</v>
    <v>527</v>
    <v>74.67</v>
    <v>155358826875</v>
    <v>UBER TECHNOLOGIES, INC.</v>
    <v>UBER TECHNOLOGIES, INC.</v>
    <v>74.674999999999997</v>
    <v>15.763</v>
    <v>74.64</v>
    <v>76.275000000000006</v>
    <v>76.495199999999997</v>
    <v>2036825000</v>
    <v>UBER</v>
    <v>UBER TECHNOLOGIES, INC. (XNYS:UBER)</v>
    <v>14661856</v>
    <v>14333332</v>
    <v>2010</v>
  </rv>
  <rv s="2">
    <v>528</v>
  </rv>
  <rv s="0">
    <v>https://www.bing.com/financeapi/forcetrigger?t=a21pur&amp;q=XNAS%3aRARE&amp;form=skydnc</v>
    <v>Learn more on Bing</v>
  </rv>
  <rv s="1">
    <v>0</v>
    <v>ULTRAGENYX PHARMACEUTICAL INC. (XNAS:RARE)</v>
    <v>2</v>
    <v>3</v>
    <v>Finance</v>
    <v>5</v>
    <v>en</v>
    <v>a21pur</v>
    <v>268435456</v>
    <v>1</v>
    <v>Powered by Refinitiv</v>
    <v>42.37</v>
    <v>18.29</v>
    <v>0.35880000000000001</v>
    <v>-0.11</v>
    <v>-4.5639999999999995E-3</v>
    <v>0.21</v>
    <v>8.7539999999999996E-3</v>
    <v>USD</v>
    <v>Ultragenyx Pharmaceutical Inc. is a biopharmaceutical company. The Company is focused on the identification, acquisition, development, and commercialization of novel products for the treatment of serious rare and ultrarare genetic diseases. Its therapies and clinical-stage pipeline consist of four product categories: biologics, small molecules, AAV gene therapy, and nucleic acid product candidates. Its four approved product candidates include Crysvita (burosumab) for the treatment of X-linked hypophosphatemia (XLH), and tumor-induced osteomalacia (TIO), Mepsevii (vestronidase alfa) for the treatment of mucopolysaccharidosis VII (MPSVII) or Sly Syndrome, Dojolvi (triheptanoin) for the treatment of long-chain fatty acid oxidation disorders (LC-FAOD), and Evkeeza (evinacumab) for the treatment of homozygous familial hypercholesterolemia (HoFH). Its clinical product candidates include DTX401, DTX301, UX701, UX143, UX111, and GTX-102. UX143 for the treatment of Osteogenesis Imperfecta.</v>
    <v>1371</v>
    <v>Nasdaq Stock Market</v>
    <v>XNAS</v>
    <v>XNAS</v>
    <v>60 Leveroni Ct, NOVATO, CA, 94949 US</v>
    <v>25.05</v>
    <v>Pharmaceuticals</v>
    <v>Stock</v>
    <v>46139.934028714844</v>
    <v>530</v>
    <v>23.78</v>
    <v>2358630107</v>
    <v>ULTRAGENYX PHARMACEUTICAL INC.</v>
    <v>ULTRAGENYX PHARMACEUTICAL INC.</v>
    <v>24.15</v>
    <v>0</v>
    <v>24.1</v>
    <v>23.99</v>
    <v>24.2</v>
    <v>98317220</v>
    <v>RARE</v>
    <v>ULTRAGENYX PHARMACEUTICAL INC. (XNAS:RARE)</v>
    <v>1810340</v>
    <v>1999595</v>
    <v>2011</v>
  </rv>
  <rv s="2">
    <v>531</v>
  </rv>
  <rv s="0">
    <v>https://www.bing.com/financeapi/forcetrigger?t=ae48p2&amp;q=XHEL%3aUPM&amp;form=skydnc</v>
    <v>Learn more on Bing</v>
  </rv>
  <rv s="3">
    <v>6</v>
    <v>UPM-Kymmene Oyj (XHEL:UPM)</v>
    <v>2</v>
    <v>7</v>
    <v>Finance</v>
    <v>45</v>
    <v>en</v>
    <v>ae48p2</v>
    <v>268435456</v>
    <v>1</v>
    <v>Powered by Refinitiv</v>
    <v>37.14</v>
    <v>20.309999999999999</v>
    <v>0.75960000000000005</v>
    <v>-0.18</v>
    <v>-7.1879999999999999E-3</v>
    <v>EUR</v>
    <v>UPM-Kymmene Oyj is Finland- based biomaterials growth company primarily engaged in the forest industry. The Company scope of activity includes offering renewable products from raw materials for a wide range of applications. The focus points of the Company are future alternatives to fossil fuel-based solutions in six business areas: UPM Fibres, UPM Energy, UPM Raflatac, UPM Specialty Papers, UPM Communication Papers and also UPM Plywood. UPM-Kymmene Oyj focuses on specialty packaging materials for flexible packaging, labeling, and industrial release liners. UPM Fibres consists of pulp and timber business. UPM Energy generates CO2-free electricity by Company's own power plants. UPM Raflatac offers self-adhesive paper and film products, including label materials and graphic solutions. UPM Specialty Papers offers packaging materials for flexible packaging. UPM Communication Papers offers a range of graphic papers for advertising and publishing as well as home and office use.</v>
    <v>15127</v>
    <v>NASDAQ Helsinki</v>
    <v>XHEL</v>
    <v>XHEL</v>
    <v>Alvar Aallon katu 1, 00100 FI</v>
    <v>25.04</v>
    <v>Paper &amp; Forest Products</v>
    <v>Stock</v>
    <v>46139.666666666664</v>
    <v>533</v>
    <v>24.66</v>
    <v>13045630000</v>
    <v>UPM-Kymmene Oyj</v>
    <v>UPM-Kymmene Oyj</v>
    <v>25</v>
    <v>27.73</v>
    <v>25.04</v>
    <v>24.86</v>
    <v>527735700</v>
    <v>UPM</v>
    <v>UPM-Kymmene Oyj (XHEL:UPM)</v>
    <v>1003434</v>
    <v>1090660</v>
    <v>1996</v>
  </rv>
  <rv s="2">
    <v>534</v>
  </rv>
  <rv s="0">
    <v>https://www.bing.com/financeapi/forcetrigger?t=a25iu2&amp;q=XNAS%3aVREX&amp;form=skydnc</v>
    <v>Learn more on Bing</v>
  </rv>
  <rv s="1">
    <v>0</v>
    <v>VAREX IMAGING CORPORATION (XNAS:VREX)</v>
    <v>2</v>
    <v>3</v>
    <v>Finance</v>
    <v>4</v>
    <v>en</v>
    <v>a25iu2</v>
    <v>268435456</v>
    <v>1</v>
    <v>Powered by Refinitiv</v>
    <v>14.565</v>
    <v>6.76</v>
    <v>1.0227999999999999</v>
    <v>0.18</v>
    <v>1.4366E-2</v>
    <v>0</v>
    <v>0</v>
    <v>USD</v>
    <v>Varex Imaging Corporation is a designer and manufacturer of X-ray imaging components, which include X-ray tubes, digital detectors and other image processing solutions that are key components of X-ray imaging systems. The Company’s segments include Medical and Industrial. Its Medical segment designs, manufactures, sells and services X-ray imaging components, including X-ray tubes, flat panel and photon-counting detectors and accessories, high-voltage connectors, image-processing software and workstations, 3D reconstruction software, computer-aided diagnostic software, collimators, automatic exposure control devices, generators, and coolers. Its Industrial segment designs, develops, manufactures, sells, and services X-ray imaging products for use in a number of applications, including security applications for cargo screening at ports and borders, baggage screening at airports, and nondestructive testing, irradiation, and inspection applications used in a number of other verticals.</v>
    <v>2400</v>
    <v>Nasdaq Stock Market</v>
    <v>XNAS</v>
    <v>XNAS</v>
    <v>1678 S Pioneer Rd, SALT LAKE CITY, UT, 84104-4205 US</v>
    <v>12.73</v>
    <v>Healthcare Equipment &amp; Supplies</v>
    <v>Stock</v>
    <v>46139.836654548439</v>
    <v>536</v>
    <v>12.34</v>
    <v>532549000</v>
    <v>VAREX IMAGING CORPORATION</v>
    <v>VAREX IMAGING CORPORATION</v>
    <v>12.4</v>
    <v>0</v>
    <v>12.53</v>
    <v>12.71</v>
    <v>12.71</v>
    <v>41900000</v>
    <v>VREX</v>
    <v>VAREX IMAGING CORPORATION (XNAS:VREX)</v>
    <v>251903</v>
    <v>251327</v>
    <v>2016</v>
  </rv>
  <rv s="2">
    <v>537</v>
  </rv>
  <rv s="0">
    <v>https://www.bing.com/financeapi/forcetrigger?t=brxvkr&amp;q=XPAR%3aVRLA&amp;form=skydnc</v>
    <v>Learn more on Bing</v>
  </rv>
  <rv s="3">
    <v>6</v>
    <v>Verallia SA (XPAR:VRLA)</v>
    <v>2</v>
    <v>7</v>
    <v>Finance</v>
    <v>8</v>
    <v>en</v>
    <v>brxvkr</v>
    <v>268435456</v>
    <v>1</v>
    <v>Powered by Refinitiv</v>
    <v>29.92</v>
    <v>15.5</v>
    <v>1.1248</v>
    <v>0.31</v>
    <v>1.5523E-2</v>
    <v>EUR</v>
    <v>Verallia SASU is a France-based company, which operates as a producer of glass packaging solutions. The Company manufactures a number of jars and bottles for various markets, including the still and sparkling wine, spirits, food, as well as the beer and nonalcoholic sectors. Apart from France, the Company also operates in many countries in Western Europe, Eastern Europe and South America, among others.</v>
    <v>10801</v>
    <v>Euronext Paris</v>
    <v>XPAR</v>
    <v>XPAR</v>
    <v>TOUR CARPE DIEM - ESPLANADE NORD, 31 PLACE DES COROLLES, COURBEVOIE, ILE-DE-FRANCE, 92400 FR</v>
    <v>20.399999999999999</v>
    <v>Containers &amp; Packaging</v>
    <v>Stock</v>
    <v>46139.666666666664</v>
    <v>539</v>
    <v>20</v>
    <v>2800262000</v>
    <v>Verallia SA</v>
    <v>Verallia SA</v>
    <v>20</v>
    <v>25.962</v>
    <v>19.97</v>
    <v>20.28</v>
    <v>120805100</v>
    <v>VRLA</v>
    <v>Verallia SA (XPAR:VRLA)</v>
    <v>22512</v>
    <v>45970</v>
    <v>2015</v>
  </rv>
  <rv s="2">
    <v>540</v>
  </rv>
  <rv s="0">
    <v>https://www.bing.com/financeapi/forcetrigger?t=b19hc7&amp;q=XNYS%3aVRT&amp;form=skydnc</v>
    <v>Learn more on Bing</v>
  </rv>
  <rv s="1">
    <v>0</v>
    <v>VERTIV HOLDINGS CO (XNYS:VRT)</v>
    <v>2</v>
    <v>3</v>
    <v>Finance</v>
    <v>5</v>
    <v>en</v>
    <v>b19hc7</v>
    <v>268435456</v>
    <v>1</v>
    <v>Powered by Refinitiv</v>
    <v>330.29500000000002</v>
    <v>80.510000000000005</v>
    <v>2.0908000000000002</v>
    <v>-1.03</v>
    <v>-3.1840000000000002E-3</v>
    <v>-0.99</v>
    <v>-3.0699999999999998E-3</v>
    <v>USD</v>
    <v>Vertiv Holdings Co. provides mission-critical digital infrastructure technologies and lifecycle services primarily for data centers, communication networks, and commercial and industrial environments. The Company operates in three business segments: the Americas; Asia Pacific, and Europe, Middle East &amp; Africa. The Company's offerings include alternate current (AC) and direct current (DC) power management, thermal management, low/medium voltage switchgear, busbar, air cooled and liquid cooled thermal management products, integrated modular solutions, racks, single phase UPS, rack power distribution, rack thermal systems, configurable integrated solutions, energy storage solutions, hardware, software for managing IT equipment, management systems for monitoring and controlling digital infrastructure, and services. It also provides preventative maintenance, acceptance testing, engineering and consulting, remote monitoring, training, spare parts, specialized fluid management, and others.</v>
    <v>34000</v>
    <v>New York Stock Exchange</v>
    <v>XNYS</v>
    <v>XNYS</v>
    <v>505 N. Cleveland Ave., WESTERVILLE, OH, 43082 US</v>
    <v>328.05</v>
    <v>Machinery, Equipment &amp; Components</v>
    <v>Stock</v>
    <v>46139.934903517969</v>
    <v>542</v>
    <v>307.07100000000003</v>
    <v>123848200384</v>
    <v>VERTIV HOLDINGS CO</v>
    <v>VERTIV HOLDINGS CO</v>
    <v>325.99</v>
    <v>80.951499999999996</v>
    <v>323.45999999999998</v>
    <v>322.43</v>
    <v>321.44</v>
    <v>384108800</v>
    <v>VRT</v>
    <v>VERTIV HOLDINGS CO (XNYS:VRT)</v>
    <v>5437463</v>
    <v>9034399</v>
    <v>2016</v>
  </rv>
  <rv s="2">
    <v>543</v>
  </rv>
  <rv s="0">
    <v>https://www.bing.com/financeapi/forcetrigger?t=a259xm&amp;q=XNAS%3aVERI&amp;form=skydnc</v>
    <v>Learn more on Bing</v>
  </rv>
  <rv s="1">
    <v>0</v>
    <v>VERITONE, INC. (XNAS:VERI)</v>
    <v>2</v>
    <v>3</v>
    <v>Finance</v>
    <v>5</v>
    <v>en</v>
    <v>a259xm</v>
    <v>268435456</v>
    <v>1</v>
    <v>Powered by Refinitiv</v>
    <v>9.42</v>
    <v>1.22</v>
    <v>2.3540000000000001</v>
    <v>-0.05</v>
    <v>-2.2422000000000001E-2</v>
    <v>-0.03</v>
    <v>-1.3761000000000001E-2</v>
    <v>USD</v>
    <v>Veritone, Inc. builds human-centered enterprise artificial intelligence (AI) solutions. Its AI operating system, aiWARE, uses machine learning algorithms, or AI models, together with a suite of applications, to reveal valuable insights from vast amounts of structured and unstructured data. Highly modular and customizable, aiWARE enables expansive scale with the flexibility to deploy in the cloud, at the edge or in hybrid environments. Its aiWARE platform offers capabilities that are designed to mimic human cognitive functions such as perception, prediction and problem solving, enabling users to transform unstructured data into structured data, and analyze and optimize data to drive business processes and insights. Its aiWARE platform encompasses industry applications, automate studio and developer APIs, intelligent data lake, applications and cognitive analytics, and generative AI. It serves customers in the media, entertainment, public sector and talent acquisition industries.</v>
    <v>437</v>
    <v>Nasdaq Stock Market</v>
    <v>XNAS</v>
    <v>XNAS</v>
    <v>5291 California Avenue, Suite 350, IRVINE, CA, 92617 US</v>
    <v>2.2799999999999998</v>
    <v>Software &amp; IT Services</v>
    <v>Stock</v>
    <v>46139.929769501563</v>
    <v>545</v>
    <v>2.1408999999999998</v>
    <v>202622563</v>
    <v>VERITONE, INC.</v>
    <v>VERITONE, INC.</v>
    <v>2.23</v>
    <v>0</v>
    <v>2.23</v>
    <v>2.1800000000000002</v>
    <v>2.15</v>
    <v>92946130</v>
    <v>VERI</v>
    <v>VERITONE, INC. (XNAS:VERI)</v>
    <v>1516171</v>
    <v>3283948</v>
    <v>2014</v>
  </rv>
  <rv s="2">
    <v>546</v>
  </rv>
  <rv s="0">
    <v>https://www.bing.com/financeapi/forcetrigger?t=ae8cjc&amp;q=XPAR%3aDG&amp;form=skydnc</v>
    <v>Learn more on Bing</v>
  </rv>
  <rv s="3">
    <v>6</v>
    <v>Vinci SA (XPAR:DG)</v>
    <v>2</v>
    <v>7</v>
    <v>Finance</v>
    <v>8</v>
    <v>en</v>
    <v>ae8cjc</v>
    <v>268435456</v>
    <v>1</v>
    <v>Powered by Refinitiv</v>
    <v>143.15</v>
    <v>112.4</v>
    <v>0.94430000000000003</v>
    <v>0.15</v>
    <v>1.176E-3</v>
    <v>EUR</v>
    <v>Vinci SA is a France-based company active in the concessions and construction industry worldwide. It manages four segments: Design and construction of infrastructure, Design, execution, and maintenance of energy and telecom infrastructures, Sub-contracted infrastructure management and Other. The Design and construction of infrastructure (VINCI Construction): primarily in the fields of building, civil engineering, and hydraulics. In addition, the group is developing a business in the construction, renovation and maintenance of transport infrastructure (roads, freeways and railroads; Eurovia), in the production of aggregates and in urban development; Design, execution, and maintenance of energy and telecom infrastructures (VINCI Energies and Cobra IS); Sub-contracted infrastructure management (VINCI Concessions): primarily managing roads and highways (mainly through Autoroutes du Sud de la France and Cofiroute), parking areas, airport activities; Other: primarily property development.</v>
    <v>292101</v>
    <v>Euronext Paris</v>
    <v>XPAR</v>
    <v>XPAR</v>
    <v>1973 boulevard de la Defense, NANTERRE, ILE-DE-FRANCE, 92000 FR</v>
    <v>129.05000000000001</v>
    <v>Construction &amp; Engineering</v>
    <v>Stock</v>
    <v>46139.666666666664</v>
    <v>548</v>
    <v>127.55</v>
    <v>67810750000</v>
    <v>Vinci SA</v>
    <v>Vinci SA</v>
    <v>127.65</v>
    <v>14.5657</v>
    <v>127.6</v>
    <v>127.75</v>
    <v>582257300</v>
    <v>DG</v>
    <v>Vinci SA (XPAR:DG)</v>
    <v>712157</v>
    <v>1008060</v>
    <v>1955</v>
  </rv>
  <rv s="2">
    <v>549</v>
  </rv>
  <rv s="0">
    <v>https://www.bing.com/financeapi/forcetrigger?t=amg4jc&amp;q=BMEX%3aVIS&amp;form=skydnc</v>
    <v>Learn more on Bing</v>
  </rv>
  <rv s="3">
    <v>6</v>
    <v>Viscofan SA (BMEX:VIS)</v>
    <v>2</v>
    <v>7</v>
    <v>Finance</v>
    <v>8</v>
    <v>en</v>
    <v>amg4jc</v>
    <v>268435456</v>
    <v>1</v>
    <v>Powered by Refinitiv</v>
    <v>64.765000000000001</v>
    <v>47.433999999999997</v>
    <v>0.2319</v>
    <v>0.3</v>
    <v>5.1019999999999998E-3</v>
    <v>EUR</v>
    <v>Viscofan SA is a Spain-based company engaged in the packaging industry, mainly for meat products. The Company focuses on the manufacture and distribution of artificial castings, as well as plastic films that are used for separation of sliced food. Its products range includes cellulose, collagen, fibrous and plastic castings. In addition, it designs and produces packing machinery, as well as provides related spare parts. The Company also sells electric power, which is produced by cogeneration systems. The Company operates manufacturing plants and sales offices in Spain, Serbia, Czech Republic, Germany, Brazil, Mexico, Uruguay, China and the United States, among others. It controls a number of subsidiaries, such as Nanopack, Technology and Packaging SL, Naturin Viscofan GmbH and Viscofan Centroamerica Comercial SA.</v>
    <v>5921</v>
    <v>Bolsas y Mercados Espanoles</v>
    <v>BMEX</v>
    <v>BMEX</v>
    <v>Poligono Industrial Berroa, C/Berroa 15-4 planta, Tajonar, ARANGUREN, NAVARRA, 31192 ES</v>
    <v>59.5</v>
    <v>Containers &amp; Packaging</v>
    <v>Stock</v>
    <v>46139.666666666664</v>
    <v>551</v>
    <v>58.7</v>
    <v>2548200000</v>
    <v>Viscofan SA</v>
    <v>Viscofan SA</v>
    <v>58.9</v>
    <v>16.567599999999999</v>
    <v>58.8</v>
    <v>59.1</v>
    <v>46500000</v>
    <v>VIS</v>
    <v>Viscofan SA (BMEX:VIS)</v>
    <v>92496</v>
    <v>93760</v>
    <v>1975</v>
  </rv>
  <rv s="2">
    <v>552</v>
  </rv>
  <rv s="0">
    <v>https://www.bing.com/financeapi/forcetrigger?t=afufz2&amp;q=XETR%3aVNA&amp;form=skydnc</v>
    <v>Learn more on Bing</v>
  </rv>
  <rv s="3">
    <v>6</v>
    <v>Vonovia SE (XETR:VNA)</v>
    <v>2</v>
    <v>7</v>
    <v>Finance</v>
    <v>8</v>
    <v>en</v>
    <v>afufz2</v>
    <v>268435456</v>
    <v>1</v>
    <v>Powered by Refinitiv</v>
    <v>30.69</v>
    <v>20.09</v>
    <v>1.3083</v>
    <v>0.14000000000000001</v>
    <v>6.0980000000000001E-3</v>
    <v>EUR</v>
    <v>Vonovia SE is a Germany-based residential real estate company. The Company is operating via four segments: Rental, Value Add, Development and Recurring Sales. The Rental segment combines business activities aimed at value-enhancing management of the properties. The Value-add segment offers all housing related services such as maintenance and modernization, in addition to the services related to rental business. The Development segment includes project development for the creation of new homes from purchase of land to the completion of the new building and new construction on their own lands and adding extra stories to the existing buildings. The Recurring Sales segment offers individual dwelling house or single-family houses are sold to the private buyers.</v>
    <v>12708</v>
    <v>Xetra</v>
    <v>XETR</v>
    <v>XETR</v>
    <v>Universitaetsstrasse 133, BOCHUM, NORDRHEIN-WESTFALEN, 44803 DE</v>
    <v>23.2</v>
    <v>Real Estate Operations</v>
    <v>Stock</v>
    <v>46139.896053240744</v>
    <v>554</v>
    <v>22.92</v>
    <v>21451390000</v>
    <v>Vonovia SE</v>
    <v>Vonovia SE</v>
    <v>22.99</v>
    <v>5.2469999999999999</v>
    <v>22.96</v>
    <v>23.1</v>
    <v>848425200</v>
    <v>VNA</v>
    <v>Vonovia SE (XETR:VNA)</v>
    <v>2022937</v>
    <v>2969210</v>
    <v>2017</v>
  </rv>
  <rv s="2">
    <v>555</v>
  </rv>
  <rv s="14">
    <v>29</v>
    <v>VOYAGER TECHNOLOGIES, INC. (XNYS:VOYG)</v>
    <v>17</v>
    <v>3</v>
    <v>Finance</v>
    <v>5</v>
    <v>en</v>
    <v>cgu1h7</v>
    <v>268435456</v>
    <v>1</v>
    <v>Powered by Refinitiv</v>
    <v>73.95</v>
    <v>17.41</v>
    <v>1.982</v>
    <v>-1.47</v>
    <v>-5.1254999999999995E-2</v>
    <v>0.1875</v>
    <v>6.8859999999999998E-3</v>
    <v>USD</v>
    <v>Voyager Technologies, Inc. is a defense technology and space solutions company. The Company is developing and delivering transformative, mission-critical solutions to customers, enabled by its advanced technology, analytics and space infrastructure capabilities. Its solutions include communications and intelligence collection systems, defense systems, advanced space technology, in-space infrastructure and space mission services. The Company’s business consists of diversified solutions across three business segments: Defense &amp; National Security provides mission-critical solutions to protect dynamic and contested domains; Space Solutions delivers space infrastructure, advanced space technology, science systems and mission services that power commercial, academic and government missions from low-Earth orbit to deep space, and Starlab Space Stations, is a commercial space station planned to succeed the ISS and provide continued permanent human presence in space.</v>
    <v>800</v>
    <v>New York Stock Exchange</v>
    <v>XNYS</v>
    <v>XNYS</v>
    <v>1225 17Th Street, Suite 1100, Denver, CO, 80202 US</v>
    <v>28.55</v>
    <v>Aerospace &amp; Defense</v>
    <v>Stock</v>
    <v>46139.935447314063</v>
    <v>26.86</v>
    <v>1609427964</v>
    <v>VOYAGER TECHNOLOGIES, INC.</v>
    <v>VOYAGER TECHNOLOGIES, INC.</v>
    <v>28.16</v>
    <v>0</v>
    <v>28.68</v>
    <v>27.21</v>
    <v>27.4175</v>
    <v>59148400</v>
    <v>VOYG</v>
    <v>VOYAGER TECHNOLOGIES, INC. (XNYS:VOYG)</v>
    <v>927609</v>
    <v>1737854</v>
    <v>2019</v>
  </rv>
  <rv s="2">
    <v>557</v>
  </rv>
  <rv s="0">
    <v>https://www.bing.com/financeapi/forcetrigger?t=aajt3m&amp;q=XWBO%3aWCH&amp;form=skydnc</v>
    <v>Learn more on Bing</v>
  </rv>
  <rv s="9">
    <v>20</v>
    <v>Wacker Chemie AG (XWBO:WCH)</v>
    <v>2</v>
    <v>46</v>
    <v>Finance</v>
    <v>8</v>
    <v>en</v>
    <v>aajt3m</v>
    <v>268435456</v>
    <v>1</v>
    <v>Powered by Refinitiv</v>
    <v>0.61599999999999999</v>
    <v>-1</v>
    <v>-1.0126999999999999E-2</v>
    <v>EUR</v>
    <v>Wacker Chemie AG is a Germany-based manufacturer of specialty chemical products. It operates through four segments: Silicones, Polymers, Biosolutions and Polysilicon. The Silicones segments provides silane, silicone fluids, emulsions, elastomers, sealants and resins to pyrogenic silicas; the Polymers segment offers a range of polymeric binders and additives along with customized services; the Biosolutions segment serves the food, pharmaceutical, life science and agrochemical industries and produces fermenter cysteine and bioengineered cyclodextrins, among others, and the Polysilicon segment manufactures high-purity polysilicon for the solar technology and semiconductor-electronics industries.</v>
    <v>16467</v>
    <v>Wiener Boerse</v>
    <v>XWBO</v>
    <v>XWBO</v>
    <v>Hanns-Seidel-Platz 4, MUNICH, BAYERN, 81737 DE</v>
    <v>98.7</v>
    <v>Chemicals</v>
    <v>Stock</v>
    <v>46135</v>
    <v>559</v>
    <v>97.75</v>
    <v>3671543000</v>
    <v>Wacker Chemie AG</v>
    <v>Wacker Chemie AG</v>
    <v>98.55</v>
    <v>0</v>
    <v>98.75</v>
    <v>97.75</v>
    <v>52152600</v>
    <v>WCH</v>
    <v>Wacker Chemie AG (XWBO:WCH)</v>
    <v>122</v>
    <v>126700</v>
    <v>2005</v>
  </rv>
  <rv s="2">
    <v>560</v>
  </rv>
  <rv s="0">
    <v>https://www.bing.com/financeapi/forcetrigger?t=b1dwfr&amp;q=XNAS%3aXERS&amp;form=skydnc</v>
    <v>Learn more on Bing</v>
  </rv>
  <rv s="1">
    <v>0</v>
    <v>XERIS BIOPHARMA HOLDINGS, INC. (XNAS:XERS)</v>
    <v>2</v>
    <v>3</v>
    <v>Finance</v>
    <v>5</v>
    <v>en</v>
    <v>b1dwfr</v>
    <v>268435456</v>
    <v>1</v>
    <v>Powered by Refinitiv</v>
    <v>10.08</v>
    <v>4.2549999999999999</v>
    <v>0.78269999999999995</v>
    <v>7.0000000000000007E-2</v>
    <v>1.157E-2</v>
    <v>0.1</v>
    <v>1.634E-2</v>
    <v>USD</v>
    <v>Xeris Biopharma Holdings, Inc. is a biopharmaceutical company focused on improving patient lives by developing and commercializing products across a range of therapies. It has three commercially available products: Recorlev, Gvoke, and Keveyis. Recorlev is for the treatment of endogenous Cushing’s syndrome. Gvoke is a ready-to-use liquid glucagon for the treatment of severe hypoglycemia. Keveyis is a therapy for primary periodic paralysis. It also has a pipeline of development programs led by XP-8121, a phase III-ready, once-weekly subcutaneous injection for hypothyroidism. It is pursuing formulation and development partnerships to apply its XeriSol and XeriJect formulation technologies to enhance the drug delivery and clinical profile of other companies’ proprietary drugs and biologics. Recorlev is a cortisol synthesis inhibitor approved for the treatment of endogenous hypercortisolemia in adults with Cushing's syndrome for whom surgery is not an option or has not been curative.</v>
    <v>435</v>
    <v>Nasdaq Stock Market</v>
    <v>XNAS</v>
    <v>XNAS</v>
    <v>1375 West Fulton Street, Suite 1300, CHICAGO, IL, 60607 US</v>
    <v>6.1749999999999998</v>
    <v>Pharmaceuticals</v>
    <v>Stock</v>
    <v>46139.927885149998</v>
    <v>562</v>
    <v>6.02</v>
    <v>1056469896</v>
    <v>XERIS BIOPHARMA HOLDINGS, INC.</v>
    <v>XERIS BIOPHARMA HOLDINGS, INC.</v>
    <v>6.0389999999999997</v>
    <v>0</v>
    <v>6.05</v>
    <v>6.12</v>
    <v>6.22</v>
    <v>172625800</v>
    <v>XERS</v>
    <v>XERIS BIOPHARMA HOLDINGS, INC. (XNAS:XERS)</v>
    <v>957541</v>
    <v>1650046</v>
    <v>2021</v>
  </rv>
  <rv s="2">
    <v>563</v>
  </rv>
  <rv s="0">
    <v>https://www.bing.com/financeapi/forcetrigger?t=c3u6sm&amp;q=XNYS%3aWEAV&amp;form=skydnc</v>
    <v>Learn more on Bing</v>
  </rv>
  <rv s="6">
    <v>14</v>
    <v>WEAVE COMMUNICATIONS, INC. (XNYS:WEAV)</v>
    <v>2</v>
    <v>15</v>
    <v>Finance</v>
    <v>4</v>
    <v>en</v>
    <v>c3u6sm</v>
    <v>268435456</v>
    <v>1</v>
    <v>Powered by Refinitiv</v>
    <v>11.32</v>
    <v>4.24</v>
    <v>1.6392</v>
    <v>0</v>
    <v>0</v>
    <v>0</v>
    <v>0</v>
    <v>USD</v>
    <v>Weave Communications, Inc. provides an all-in-one customer experience and payments software platform for small and medium-sized healthcare businesses. Its Weave platform segment provides communications and payments services to customers under software-as-a-service arrangements. Its products include Unified Phone Number, Customized Phone System, Softphones, Text Messaging, Missed Call Text, Missed Text Auto-Reply, Team Chat, Weave Mobile App, Weave Email Marketing and Email Assistant, Text Connect, Weave Digital Forms and others. Its verticalized software platform streamlines the day-to-day operations of running an SMB healthcare practice. It offers an AI-powered solution that spans all forms of communication and engagement, including physical and softphones, messaging, email marketing, insurance verification, online appointment scheduling, reviews, payments, and more. It has over 35,000 locations under subscription and more than 30,000 customers in the United States and Canada.</v>
    <v>904</v>
    <v>New York Stock Exchange</v>
    <v>XNYS</v>
    <v>XNYS</v>
    <v>1331 W Powell Way, LEHI, UT, 84043 US</v>
    <v>4.9550000000000001</v>
    <v>Software &amp; IT Services</v>
    <v>Stock</v>
    <v>46139.840335428125</v>
    <v>565</v>
    <v>4.76</v>
    <v>383018730</v>
    <v>WEAVE COMMUNICATIONS, INC.</v>
    <v>WEAVE COMMUNICATIONS, INC.</v>
    <v>4.82</v>
    <v>4.87</v>
    <v>4.87</v>
    <v>4.87</v>
    <v>78648610</v>
    <v>WEAV</v>
    <v>WEAVE COMMUNICATIONS, INC. (XNYS:WEAV)</v>
    <v>1295625</v>
    <v>1322192</v>
    <v>2015</v>
  </rv>
  <rv s="2">
    <v>566</v>
  </rv>
  <rv s="0">
    <v>https://www.bing.com/financeapi/forcetrigger?t=a25rkr&amp;q=XNAS%3aWDAY&amp;form=skydnc</v>
    <v>Learn more on Bing</v>
  </rv>
  <rv s="1">
    <v>0</v>
    <v>WORKDAY, INC. (XNAS:WDAY)</v>
    <v>2</v>
    <v>3</v>
    <v>Finance</v>
    <v>4</v>
    <v>en</v>
    <v>a25rkr</v>
    <v>268435456</v>
    <v>1</v>
    <v>Powered by Refinitiv</v>
    <v>276</v>
    <v>110.36</v>
    <v>1.0329999999999999</v>
    <v>-1.93</v>
    <v>-1.6115999999999998E-2</v>
    <v>1.17</v>
    <v>9.9299999999999996E-3</v>
    <v>USD</v>
    <v>Workday, Inc. is a provider of an artificial intelligence (AI) platform to help organizations manage their people, money, and agents. The Company provides over 11,000 organizations with cloud solutions powered by AI to help solve business challenges, including supporting and empowering their workforce, managing their finances and spending in an ever-changing environment, and planning for the unexpected. It offers Financial Management, Spend Management, Human Capital Management (HCM), Planning, and Analytics applications. The Company sells its solutions worldwide primarily through direct sales. It also offers professional services, both directly and through its Workday Services Partners, to help customers deploy its solutions. It offers businesses flexible solutions to help them adapt to their industry-specific needs and respond to change. It serves various industries, including professional and business services, financial services, healthcare, education, government, and others.</v>
    <v>21000</v>
    <v>Nasdaq Stock Market</v>
    <v>XNAS</v>
    <v>XNAS</v>
    <v>6110 Stoneridge Mall Road, PLEASANTON, CA, 94588 US</v>
    <v>120.69</v>
    <v>Software &amp; IT Services</v>
    <v>Stock</v>
    <v>46139.923741562503</v>
    <v>568</v>
    <v>117.02500000000001</v>
    <v>30282310000</v>
    <v>WORKDAY, INC.</v>
    <v>WORKDAY, INC.</v>
    <v>117.66</v>
    <v>45.6599</v>
    <v>119.76</v>
    <v>117.83</v>
    <v>119</v>
    <v>257000000</v>
    <v>WDAY</v>
    <v>WORKDAY, INC. (XNAS:WDAY)</v>
    <v>4306360</v>
    <v>5178213</v>
    <v>2012</v>
  </rv>
  <rv s="2">
    <v>569</v>
  </rv>
  <rv s="0">
    <v>https://www.bing.com/financeapi/forcetrigger?t=aeadvh&amp;q=XPAR%3aWLN&amp;form=skydnc</v>
    <v>Learn more on Bing</v>
  </rv>
  <rv s="3">
    <v>6</v>
    <v>Worldline SA (XPAR:WLN)</v>
    <v>2</v>
    <v>7</v>
    <v>Finance</v>
    <v>8</v>
    <v>en</v>
    <v>aeadvh</v>
    <v>268435456</v>
    <v>1</v>
    <v>Powered by Refinitiv</v>
    <v>1.41</v>
    <v>0.24</v>
    <v>1.6293</v>
    <v>-1E-4</v>
    <v>-3.702E-4</v>
    <v>EUR</v>
    <v>Worldline SA, formerly Atos Worldline SAS, is a France-based company providing payment and transaction services. The Company creates and operates digital platforms which handle all transactions between companies, their partners and customers. Its solutions are divided into three segments: Merchant Services &amp; Terminals, comprising services, solutions and implementation in the areas of payment terminals, multichannel payment acceptance, non-cash payments, private label cards, loyalty services and e-commerce; Mobility &amp; eTransactional Services, engaged in creation of digital products such as e-tickets, e-government collection platforms, and contact and consumer cloud platforms, among others; and Financial Processing &amp; Software Licensing, which provides payment processing, acquiring and issuing processing, online banking solutions, and software solutions. The Company is active internationally through subsidiaries such as, Worldline Euro SA, Santeos SA, Worldline BV, among others.</v>
    <v>18106</v>
    <v>Euronext Paris</v>
    <v>XPAR</v>
    <v>XPAR</v>
    <v>Tour Voltaire, 1 Place des Degres, Cs 81162, Paris la Defense Cedex, PARIS, ILE-DE-FRANCE, 92059 FR</v>
    <v>0.27500000000000002</v>
    <v>Financial Technology (Fintech) &amp; Infrastructure</v>
    <v>Stock</v>
    <v>46139.666666666664</v>
    <v>571</v>
    <v>0.26400000000000001</v>
    <v>449177500</v>
    <v>Worldline SA</v>
    <v>Worldline SA</v>
    <v>0.27050000000000002</v>
    <v>0</v>
    <v>0.27010000000000001</v>
    <v>0.27</v>
    <v>2262760000</v>
    <v>WLN</v>
    <v>Worldline SA (XPAR:WLN)</v>
    <v>13004662</v>
    <v>25164180</v>
    <v>1990</v>
  </rv>
  <rv s="2">
    <v>572</v>
  </rv>
  <rv s="0">
    <v>https://www.bing.com/financeapi/forcetrigger?t=afpqz2&amp;q=XFRA%3aZAL&amp;form=skydnc</v>
    <v>Learn more on Bing</v>
  </rv>
  <rv s="3">
    <v>6</v>
    <v>Zalando SE (XFRA:ZAL)</v>
    <v>2</v>
    <v>7</v>
    <v>Finance</v>
    <v>8</v>
    <v>en</v>
    <v>afpqz2</v>
    <v>268435456</v>
    <v>1</v>
    <v>Powered by Refinitiv</v>
    <v>105.45</v>
    <v>15.99</v>
    <v>1.8140000000000001</v>
    <v>-0.41</v>
    <v>-1.8477E-2</v>
    <v>EUR</v>
    <v>Zalando SE is a Germany-based online European platform for fashion and lifestyle e-commerce. The Company offers a portfolio of women, men and children clothing. Its assortment comprises a range of shoes, clothes, accessories, beauty products and sports goods from more than 6,000 brands. Zalando is operating under two segments such as Business-to-Consumer (B2C) and Business-to-Business (B2B). Zalando is providing multi-brand shopping experience for fashion and lifestyle products to customers in B2C. In B2B it is providing logistics infrastructure, software, and services to support brands and retailers in managing and scaling their entire e-commerce business.</v>
    <v>16582</v>
    <v>Deutsche Boerse AG</v>
    <v>XFRA</v>
    <v>XFRA</v>
    <v>Valeska-Gert-Strasse 5, BERLIN, BERLIN, 10243 DE</v>
    <v>22.06</v>
    <v>Software &amp; IT Services</v>
    <v>Stock</v>
    <v>46139.836805555555</v>
    <v>574</v>
    <v>21.78</v>
    <v>6969121000</v>
    <v>Zalando SE</v>
    <v>Zalando SE</v>
    <v>22.06</v>
    <v>26.52</v>
    <v>22.19</v>
    <v>21.78</v>
    <v>264194000</v>
    <v>ZAL</v>
    <v>Zalando SE (XFRA:ZAL)</v>
    <v>50</v>
    <v>1181850</v>
    <v>2014</v>
  </rv>
  <rv s="2">
    <v>575</v>
  </rv>
  <rv s="0">
    <v>https://www.bing.com/financeapi/forcetrigger?t=a26f77&amp;q=XNAS%3aZ&amp;form=skydnc</v>
    <v>Learn more on Bing</v>
  </rv>
  <rv s="1">
    <v>0</v>
    <v>ZILLOW GROUP, INC. (XNAS:Z)</v>
    <v>2</v>
    <v>3</v>
    <v>Finance</v>
    <v>4</v>
    <v>en</v>
    <v>a26f77</v>
    <v>268435456</v>
    <v>1</v>
    <v>Powered by Refinitiv</v>
    <v>93.88</v>
    <v>39.049999999999997</v>
    <v>2.1044</v>
    <v>0.18</v>
    <v>3.9639999999999996E-3</v>
    <v>-0.01</v>
    <v>-2.1930000000000002E-4</v>
    <v>USD</v>
    <v>Zillow Group, Inc. helps people find and get the home they want by connecting them with digital solutions, dedicated partners and agents, and buying, selling, financing, and renting experiences. The Company’s affiliates, subsidiaries, and brands include Zillow, Zillow Premier Agent, Zillow Home Loans, Zillow Rentals, Trulia, Out East, StreetEasy, HotPads, ShowingTime+, Spruce, and Follow Up Boss. It helps renters, buyers, sellers, and real estate professionals across all their residential real estate needs through its housing super app, which serves as an ecosystem of connected solutions for the tasks and services related to moving. It provides integrated transaction experience for movers through Zillow, its network of partners, its affiliated brands, and through a comprehensive suite of marketing software and technology solutions for the real estate industry, including ShowingTime+, Follow Up Boss and Spruce. It offers multifamily property managers a variety of advertising products.</v>
    <v>7068</v>
    <v>Nasdaq Stock Market</v>
    <v>XNAS</v>
    <v>XNAS</v>
    <v>1301 SECOND AVENUE, FLOOR 36, SEATTLE, WA, 98101 US</v>
    <v>46.325000000000003</v>
    <v>Real Estate Operations</v>
    <v>Stock</v>
    <v>46139.923999339844</v>
    <v>577</v>
    <v>45.16</v>
    <v>10443898529</v>
    <v>ZILLOW GROUP, INC.</v>
    <v>ZILLOW GROUP, INC.</v>
    <v>45.16</v>
    <v>505.99329999999998</v>
    <v>45.41</v>
    <v>45.59</v>
    <v>45.58</v>
    <v>229083100</v>
    <v>Z</v>
    <v>ZILLOW GROUP, INC. (XNAS:Z)</v>
    <v>1749984</v>
    <v>3492410</v>
    <v>2014</v>
  </rv>
  <rv s="2">
    <v>578</v>
  </rv>
  <rv s="0">
    <v>https://www.bing.com/financeapi/forcetrigger?t=alo152&amp;q=XAMS%3aBESI&amp;form=skydnc</v>
    <v>Learn more on Bing</v>
  </rv>
  <rv s="5">
    <v>11</v>
    <v>BE Semiconductor Industries NV (XAMS:BESI)</v>
    <v>2</v>
    <v>12</v>
    <v>Finance</v>
    <v>8</v>
    <v>en</v>
    <v>alo152</v>
    <v>268435456</v>
    <v>1</v>
    <v>Powered by Refinitiv</v>
    <v>257.39999999999998</v>
    <v>92.74</v>
    <v>1.9101999999999999</v>
    <v>-2.6</v>
    <v>-1.0375000000000001E-2</v>
    <v>EUR</v>
    <v>BE Semiconductor Industries N.V. (Besi) is a holding company. The Company is engaged in the development, manufacturing, marketing, sales and service of semiconductor assembly equipment for the global semiconductor and electronics industries. It operates through three segments: Die Attach, Packaging and Plating. It develops assembly processes and equipment for leadframe, substrate and wafer level packaging applications in a range of end user markets, including electronics, computer, automotive, industrial and solar energy. The Company offers products, such as Die attach equipment, which include single chip, multi-chip, multi module, flip chip, thermo-compression bonding (TCB) and enhanced wafer level ball grid array (eWLB) die bonding systems, and die sorting systems; Packaging equipment, which include wafer level molding and singulation systems, and Plating equipment, which include metal plating systems and related process chemicals.</v>
    <v>1902</v>
    <v>Euronext Amsterdam</v>
    <v>XAMS</v>
    <v>XAMS</v>
    <v>Ratio 6, DUIVEN, GELDERLAND, 6921 RW NL</v>
    <v>254.6</v>
    <v>Semiconductors &amp; Semiconductor Equipment</v>
    <v>Stock</v>
    <v>46139.666666666664</v>
    <v>580</v>
    <v>242</v>
    <v>13567730000</v>
    <v>BE Semiconductor Industries NV</v>
    <v>BE Semiconductor Industries NV</v>
    <v>252.4</v>
    <v>131.9314</v>
    <v>250.6</v>
    <v>248</v>
    <v>81146740</v>
    <v>BESI</v>
    <v>BE Semiconductor Industries NV (XAMS:BESI)</v>
    <v>460565</v>
    <v>501950</v>
  </rv>
  <rv s="2">
    <v>581</v>
  </rv>
  <rv s="0">
    <v>https://www.bing.com/financeapi/forcetrigger?t=afqicw&amp;q=XETR%3aAIXA&amp;form=skydnc</v>
    <v>Learn more on Bing</v>
  </rv>
  <rv s="3">
    <v>6</v>
    <v>Aixtron SE (XETR:AIXA)</v>
    <v>2</v>
    <v>7</v>
    <v>Finance</v>
    <v>8</v>
    <v>en</v>
    <v>afqicw</v>
    <v>268435456</v>
    <v>1</v>
    <v>Powered by Refinitiv</v>
    <v>48.1</v>
    <v>11.135</v>
    <v>0.65359999999999996</v>
    <v>-2.4</v>
    <v>-5.1535000000000004E-2</v>
    <v>EUR</v>
    <v>AIXTRON SE is a Germany based Company. The Company is a provider of deposition equipment to the semiconductor industry. The Company develops, produces and installs equipment for the deposition of complex semiconductor materials, and offers deposition processes, consulting, training, customer support and service for these systems. It also provides peripheral devices and services for the operation of its systems. The Company also supplies deposition equipment for volume production as well as for research and development (R&amp;D) and pre-series production.</v>
    <v>1117</v>
    <v>Xetra</v>
    <v>XETR</v>
    <v>XETR</v>
    <v>Dornkaulstrasse 2, 52134 DE</v>
    <v>46.72</v>
    <v>Semiconductors &amp; Semiconductor Equipment</v>
    <v>Stock</v>
    <v>46139.895983796298</v>
    <v>583</v>
    <v>44.07</v>
    <v>2271392000</v>
    <v>Aixtron SE</v>
    <v>Aixtron SE</v>
    <v>46.7</v>
    <v>61.413699999999999</v>
    <v>46.57</v>
    <v>44.17</v>
    <v>113456100</v>
    <v>AIXA</v>
    <v>Aixtron SE (XETR:AIXA)</v>
    <v>878411</v>
    <v>1469760</v>
    <v>2010</v>
  </rv>
  <rv s="2">
    <v>584</v>
  </rv>
  <rv s="0">
    <v>https://www.bing.com/financeapi/forcetrigger?t=aftr5r&amp;q=XETR%3aSMHN&amp;form=skydnc</v>
    <v>Learn more on Bing</v>
  </rv>
  <rv s="3">
    <v>6</v>
    <v>SUSS MicroTec SE (XETR:SMHN)</v>
    <v>2</v>
    <v>7</v>
    <v>Finance</v>
    <v>8</v>
    <v>en</v>
    <v>aftr5r</v>
    <v>268435456</v>
    <v>1</v>
    <v>Powered by Refinitiv</v>
    <v>71.599999999999994</v>
    <v>24</v>
    <v>2.1004999999999998</v>
    <v>-0.4</v>
    <v>-5.7220000000000005E-3</v>
    <v>EUR</v>
    <v>SUSS MicroTec SE, formerly SUESS MicroTec SE, is a Germany-based holding company (the Group) that develops, manufactures and distributes products using microelectromechanical systems and microelectronics in the semiconductor industry. The group operates through advanced backend solutions division, photomask solutions division and central group functions. The advanced backend solutions division comprises the development, production and sale of solutions in the imaging, coating and bonding product lines, specifically offering mask aligners and ultraviolet projection scanners (imaging systems), coaters and developers (coating systems), as well as temporary and permanent bonders (bonding systems). The Photomask Solutions division comprises the development, manufacture, and sale of systems used in the production or cleaning of photomasks for the semiconductor industry. The central group functions division includes all other activities and the costs of the central group functions.</v>
    <v>1497</v>
    <v>Xetra</v>
    <v>XETR</v>
    <v>XETR</v>
    <v>Schleissheimer Str. 90, GARCHING, BAYERN, 85748 DE</v>
    <v>71.5</v>
    <v>Semiconductors &amp; Semiconductor Equipment</v>
    <v>Stock</v>
    <v>46139.896041666667</v>
    <v>586</v>
    <v>68.599999999999994</v>
    <v>873580100</v>
    <v>SUSS MicroTec SE</v>
    <v>SUSS MicroTec SE</v>
    <v>70.5</v>
    <v>27.0093</v>
    <v>69.900000000000006</v>
    <v>69.5</v>
    <v>19115540</v>
    <v>SMHN</v>
    <v>SUSS MicroTec SE (XETR:SMHN)</v>
    <v>103738</v>
    <v>119400</v>
    <v>2017</v>
  </rv>
  <rv s="2">
    <v>587</v>
  </rv>
  <rv s="0">
    <v>https://www.bing.com/financeapi/forcetrigger?t=a1zk27&amp;q=XNAS%3aPCAR&amp;form=skydnc</v>
    <v>Learn more on Bing</v>
  </rv>
  <rv s="1">
    <v>0</v>
    <v>PACCAR INC (XNAS:PCAR)</v>
    <v>2</v>
    <v>3</v>
    <v>Finance</v>
    <v>4</v>
    <v>en</v>
    <v>a1zk27</v>
    <v>268435456</v>
    <v>1</v>
    <v>Powered by Refinitiv</v>
    <v>131.875</v>
    <v>83.584500000000006</v>
    <v>1.0898000000000001</v>
    <v>0.2</v>
    <v>1.575E-3</v>
    <v>0.02</v>
    <v>1.5720000000000003E-4</v>
    <v>USD</v>
    <v>PACCAR Inc is a multinational company operating in three principal industry segments. The Truck segment includes the design, manufacture and distribution of light-, medium- and heavy-duty commercial trucks. Heavy-duty trucks have a gross vehicle weight (GVW) of over 33,000 lbs (Class 8) in North America and over 16 metric tons in Europe and South America. Medium-duty trucks have a GVW ranging from 19,500 to 33,000 lbs (Class 6 to 7) in North America, and in Europe, light- and medium-duty trucks range between 6 and 16 metric tons. Trucks are configured with the engine in front of cab (conventional) or cab-over-engine (COE). The Parts segment includes the distribution of aftermarket parts for trucks and related commercial vehicles. The Financial Services segment includes finance and leasing products and services provided to customers and dealers. Its finance and leasing activities are principally related to the Company’s products and associated equipment.</v>
    <v>25900</v>
    <v>Nasdaq Stock Market</v>
    <v>XNAS</v>
    <v>XNAS</v>
    <v>777 106th Avenue NE, BELLEVUE, WA, 98004 US</v>
    <v>128.57900000000001</v>
    <v>Machinery, Equipment &amp; Components</v>
    <v>Stock</v>
    <v>46139.920858437501</v>
    <v>589</v>
    <v>125.55500000000001</v>
    <v>66940653600</v>
    <v>PACCAR INC</v>
    <v>PACCAR INC</v>
    <v>125.71</v>
    <v>28.204599999999999</v>
    <v>127</v>
    <v>127.2</v>
    <v>127.22</v>
    <v>526263000</v>
    <v>PCAR</v>
    <v>PACCAR INC (XNAS:PCAR)</v>
    <v>4051001</v>
    <v>2678649</v>
    <v>1971</v>
  </rv>
  <rv s="2">
    <v>590</v>
  </rv>
  <rv s="0">
    <v>https://www.bing.com/financeapi/forcetrigger?t=bztea2&amp;q=XNYS%3aDOCN&amp;form=skydnc</v>
    <v>Learn more on Bing</v>
  </rv>
  <rv s="1">
    <v>0</v>
    <v>DigitalOcean Holdings, Inc. (XNYS:DOCN)</v>
    <v>2</v>
    <v>3</v>
    <v>Finance</v>
    <v>4</v>
    <v>en</v>
    <v>bztea2</v>
    <v>268435456</v>
    <v>1</v>
    <v>Powered by Refinitiv</v>
    <v>99.23</v>
    <v>25.56</v>
    <v>1.4215</v>
    <v>3.74</v>
    <v>3.9281999999999997E-2</v>
    <v>-1.05</v>
    <v>-1.0610999999999999E-2</v>
    <v>USD</v>
    <v>DigitalOcean Holdings, Inc. is the agentic inference cloud built for artificial intelligence (AI) native and digital-native enterprises scaling production workloads. The platform combines production-ready GPU infrastructure, a full-stack cloud, model-first inference workflows, and an agentic experience layer to reduce operational complexity and accelerate time to production. The Company offers a comprehensive set of cloud platform capabilities which span across Infrastructure-as-a-Service (IaaS), including Droplet virtual machines, storage and networking offerings; Platform-as-a-Service (PaaS) and Software-as-a-Service (SaaS), including Managed Hosting, Managed Database, Managed Kubernetes and Marketplace offerings. It also offers a comprehensive artificial intelligence and machine learning (AI/ML) platform - DigitalOcean Gradient AI Agentic Cloud, which includes Gradient AI Infrastructure; the Gradient AI Platform which offers various building block services, and Gradient AI Agents.</v>
    <v>1462</v>
    <v>New York Stock Exchange</v>
    <v>XNYS</v>
    <v>XNYS</v>
    <v>105 Edgeview Drive, Suite 425, BROOMFIELD, CO, 80021 US</v>
    <v>99.1</v>
    <v>Software &amp; IT Services</v>
    <v>Stock</v>
    <v>46139.924207580472</v>
    <v>592</v>
    <v>90.11</v>
    <v>10280479515</v>
    <v>DigitalOcean Holdings, Inc.</v>
    <v>DigitalOcean Holdings, Inc.</v>
    <v>94.99</v>
    <v>39.185000000000002</v>
    <v>95.21</v>
    <v>98.95</v>
    <v>97.9</v>
    <v>103895700</v>
    <v>DOCN</v>
    <v>DigitalOcean Holdings, Inc. (XNYS:DOCN)</v>
    <v>2258317</v>
    <v>5399692</v>
    <v>2016</v>
  </rv>
  <rv s="2">
    <v>593</v>
  </rv>
  <rv s="0">
    <v>https://www.bing.com/financeapi/forcetrigger?t=bplh3m&amp;q=XNAS%3aHOOK&amp;form=skydnc</v>
    <v>Learn more on Bing</v>
  </rv>
  <rv s="1">
    <v>0</v>
    <v>HOOKIPA PHARMA INC. (OTCM:HOOK)</v>
    <v>2</v>
    <v>3</v>
    <v>Finance</v>
    <v>32</v>
    <v>en</v>
    <v>bplh3m</v>
    <v>268435456</v>
    <v>1</v>
    <v>Powered by Refinitiv</v>
    <v>1.7699</v>
    <v>0.80010000000000003</v>
    <v>0.78439999999999999</v>
    <v>0</v>
    <v>0</v>
    <v>0.02</v>
    <v>1.8182E-2</v>
    <v>USD</v>
    <v>HOOKIPA Pharma Inc. is a clinical-stage biopharmaceutical company developing a new class of immunotherapeutics based on its proprietary arenavirus platform that is designed to target and amplify T cell and immune responses to fight diseases. The Company's replicating and non-replicating technologies are engineered to induce robust and durable antigen-specific CD8+ T cell responses and pathogen-neutralizing antibodies. The Company is also engaged in the assessment of strategic alternatives and the development of infectious disease therapies in partnership with other companies. Its Hepatitis B (HBV) program, HB-400, and its Human Immunodeficiency Virus (HIV) program, HB-500, are developed in a partnership with Gilead Sciences Inc.</v>
    <v>82</v>
    <v>OTC Markets</v>
    <v>OTCM</v>
    <v>OTCM</v>
    <v>350 Fifth Avenue, 72Nd Floor, Suite 7240, NEW YORK, NY, 10118 US</v>
    <v>1.1000000000000001</v>
    <v>Biotechnology &amp; Medical Research</v>
    <v>Stock</v>
    <v>46139.888888888891</v>
    <v>595</v>
    <v>1.1000000000000001</v>
    <v>13563341</v>
    <v>HOOKIPA PHARMA INC.</v>
    <v>HOOKIPA PHARMA INC.</v>
    <v>1.1000000000000001</v>
    <v>0</v>
    <v>1.1000000000000001</v>
    <v>1.1000000000000001</v>
    <v>1.1200000000000001</v>
    <v>12330310</v>
    <v>HOOK</v>
    <v>HOOKIPA PHARMA INC. (OTCM:HOOK)</v>
    <v>4196</v>
    <v>138353</v>
    <v>2017</v>
  </rv>
  <rv s="2">
    <v>596</v>
  </rv>
  <rv s="0">
    <v>https://www.bing.com/financeapi/forcetrigger?t=a1z3h7&amp;q=XNAS%3aODFL&amp;form=skydnc</v>
    <v>Learn more on Bing</v>
  </rv>
  <rv s="1">
    <v>0</v>
    <v>OLD DOMINION FREIGHT LINE, INC. (XNAS:ODFL)</v>
    <v>2</v>
    <v>3</v>
    <v>Finance</v>
    <v>4</v>
    <v>en</v>
    <v>a1z3h7</v>
    <v>268435456</v>
    <v>1</v>
    <v>Powered by Refinitiv</v>
    <v>227.08</v>
    <v>126.01</v>
    <v>1.2081999999999999</v>
    <v>0.55000000000000004</v>
    <v>2.5000000000000001E-3</v>
    <v>-0.01</v>
    <v>-4.5349999999999998E-5</v>
    <v>USD</v>
    <v>Old Dominion Freight Line, Inc. is a less-than-truckload (LTL) motor carrier. The Company provides regional, inter-regional and national LTL services through a single integrated, union-free organization. Its service offerings, which include expedited transportation, are provided through an expansive network of service centers located throughout the continental United States. It offers a range of value-added services including container drayage, truckload brokerage and supply chain consulting. It operates approximately 261 service center locations, of which it owns 239 and leased 22. Its service centers are responsible for the pickup and delivery of freight within their local service area. Its systems allow it to offer its customers access to information, such as freight tracking, shipping documents, rate quotes, rate databases and account activity. Its integrated systems and customer service department provide its customers with a single point of contact to access information.</v>
    <v>20591</v>
    <v>Nasdaq Stock Market</v>
    <v>XNAS</v>
    <v>XNAS</v>
    <v>500 Old Dominion Way, THOMASVILLE, NC, 27360 US</v>
    <v>224.17</v>
    <v>Freight &amp; Logistics Services</v>
    <v>Stock</v>
    <v>46139.920898217184</v>
    <v>598</v>
    <v>219.31</v>
    <v>45934656813</v>
    <v>OLD DOMINION FREIGHT LINE, INC.</v>
    <v>OLD DOMINION FREIGHT LINE, INC.</v>
    <v>220.2</v>
    <v>45.5914</v>
    <v>219.98</v>
    <v>220.53</v>
    <v>220.52</v>
    <v>208292100</v>
    <v>ODFL</v>
    <v>OLD DOMINION FREIGHT LINE, INC. (XNAS:ODFL)</v>
    <v>2639635</v>
    <v>1973264</v>
    <v>1950</v>
  </rv>
  <rv s="2">
    <v>599</v>
  </rv>
  <rv s="0">
    <v>https://www.bing.com/financeapi/forcetrigger?t=a24qc7&amp;q=XNYS%3aUA&amp;form=skydnc</v>
    <v>Learn more on Bing</v>
  </rv>
  <rv s="6">
    <v>14</v>
    <v>UNDER ARMOUR, INC. (XNYS:UA)</v>
    <v>2</v>
    <v>15</v>
    <v>Finance</v>
    <v>4</v>
    <v>en</v>
    <v>a24qc7</v>
    <v>268435456</v>
    <v>1</v>
    <v>Powered by Refinitiv</v>
    <v>7.9066999999999998</v>
    <v>3.95</v>
    <v>1.7326999999999999</v>
    <v>0.21</v>
    <v>3.5057999999999999E-2</v>
    <v>-1.0200000000000001E-2</v>
    <v>-1.645E-3</v>
    <v>USD</v>
    <v>Under Armour, Inc. is an inventor, marketer and distributor of branded athletic performance apparel, footwear and accessories for men, women and youth. Its primary business operates in four geographic segments: North America, comprising the United States and Canada, Europe, the Middle East and Africa (EMEA), Asia-Pacific, and Latin America. Its apparel comes in three primary fit types: compression (tight fit), fitted (athletic fit) and loose (relaxed fit). Its footwear includes products for running, training, basketball, cleated sports, recovery and outdoor applications, as well as casual use. Its accessories primarily include athletic performance gloves, bags, headwear and socks. It sells its apparel, footwear and accessories in North America through wholesale and direct-to-consumer channels. It sells its apparel, footwear and accessories in EMEA primarily through wholesale customers and independent distributors, along with e-commerce Websites and brand and factory house stores.</v>
    <v>6500</v>
    <v>New York Stock Exchange</v>
    <v>XNYS</v>
    <v>XNYS</v>
    <v>101 Performance Drive, BALTIMORE, MD, 21230 US</v>
    <v>6.21</v>
    <v>Textiles &amp; Apparel</v>
    <v>Stock</v>
    <v>46139.896090497656</v>
    <v>601</v>
    <v>5.99</v>
    <v>2640518000</v>
    <v>UNDER ARMOUR, INC.</v>
    <v>UNDER ARMOUR, INC.</v>
    <v>5.99</v>
    <v>5.99</v>
    <v>6.2</v>
    <v>6.1898</v>
    <v>425890000</v>
    <v>UA</v>
    <v>UNDER ARMOUR, INC. (XNYS:UA)</v>
    <v>2402391</v>
    <v>2533261</v>
    <v>1996</v>
  </rv>
  <rv s="2">
    <v>602</v>
  </rv>
  <rv s="0">
    <v>https://www.bing.com/financeapi/forcetrigger?t=a1wvtc&amp;q=XNAS%3aLGIH&amp;form=skydnc</v>
    <v>Learn more on Bing</v>
  </rv>
  <rv s="1">
    <v>0</v>
    <v>LGI HOMES, INC. (XNAS:LGIH)</v>
    <v>2</v>
    <v>3</v>
    <v>Finance</v>
    <v>4</v>
    <v>en</v>
    <v>a1wvtc</v>
    <v>268435456</v>
    <v>1</v>
    <v>Powered by Refinitiv</v>
    <v>69.5</v>
    <v>33.549999999999997</v>
    <v>1.8415999999999999</v>
    <v>-0.17</v>
    <v>-3.7369999999999999E-3</v>
    <v>0</v>
    <v>0</v>
    <v>USD</v>
    <v>LGI Homes, Inc. is focused on the homebuilding industry. The Company is engaged in the design, construction and sale of homes across approximately 36 markets in 21 states. It offers multiple product lines, including attached and detached entry-level homes and active adult offerings that are marketed and sold under its LGI Homes brand and luxury homes that are marketed and sold under its Terrata Homes brand. Its homebuilding operations are organized and managed by seven operating segments: West, Northwest, Central, Midwest, Florida, Southeast and Mid-Atlantic. The Company offers an attached townhome product in certain markets. Its CompleteHome and CompleteHome Plus packages offer buyers move-in ready homes. Each of these packages includes preselected, upgraded features, including stainless steel appliances, cabinets and others. Its wholesale business builds and sells homes primarily to institutions interested in acquiring single-family rental properties through bulk sales agreements.</v>
    <v>1056</v>
    <v>Nasdaq Stock Market</v>
    <v>XNAS</v>
    <v>XNAS</v>
    <v>1450 Lake Robbins Dr Ste 430, THE WOODLANDS, TX, 77380 US</v>
    <v>46.24</v>
    <v>Homebuilding &amp; Construction Supplies</v>
    <v>Stock</v>
    <v>46139.875690300782</v>
    <v>604</v>
    <v>44.95</v>
    <v>1048391638</v>
    <v>LGI HOMES, INC.</v>
    <v>LGI HOMES, INC.</v>
    <v>45.49</v>
    <v>14.558</v>
    <v>45.49</v>
    <v>45.32</v>
    <v>45.32</v>
    <v>23133090</v>
    <v>LGIH</v>
    <v>LGI HOMES, INC. (XNAS:LGIH)</v>
    <v>398005</v>
    <v>517163</v>
    <v>2013</v>
  </rv>
  <rv s="2">
    <v>605</v>
  </rv>
  <rv s="0">
    <v>https://www.bing.com/financeapi/forcetrigger?t=a1zutc&amp;q=XNYS%3aPHM&amp;form=skydnc</v>
    <v>Learn more on Bing</v>
  </rv>
  <rv s="1">
    <v>0</v>
    <v>PULTEGROUP, INC. (XNYS:PHM)</v>
    <v>2</v>
    <v>3</v>
    <v>Finance</v>
    <v>4</v>
    <v>en</v>
    <v>a1zutc</v>
    <v>268435456</v>
    <v>1</v>
    <v>Powered by Refinitiv</v>
    <v>144.495</v>
    <v>95.2</v>
    <v>1.2858000000000001</v>
    <v>0.72</v>
    <v>5.6439999999999997E-3</v>
    <v>0.22</v>
    <v>1.7150000000000002E-3</v>
    <v>USD</v>
    <v>PulteGroup, Inc. is a homebuilder in the United States. The Company's segments include Homebuilding and Financial Services. Its Homebuilding operations involve acquisition and development of land primarily for residential purposes within the United States and the construction of housing on such land. Its financial services business segment includes mortgage banking, title, and insurance agency operations, through Pulte Mortgage LLC (Pulte Mortgage) and other subsidiaries. Pulte Mortgage arranges financing through the origination of mortgage loans primarily for the benefit of its homebuyers. Its Homebuilding operations are aggregated into six segments: Northeast, Southeast, Florida, Midwest, Texas and West. The Company, through its brand portfolio that includes Centex, Pulte Homes, Del Webb, DiVosta Homes, American West and John Wieland Homes and Neighborhoods, offers a variety of home designs with varying levels of options and amenities to its customer groups.</v>
    <v>6506</v>
    <v>New York Stock Exchange</v>
    <v>XNYS</v>
    <v>XNYS</v>
    <v>3350 Peachtree Road Northeast, Suite 1500, ATLANTA, GA, 30326 US</v>
    <v>128.83000000000001</v>
    <v>Homebuilding &amp; Construction Supplies</v>
    <v>Stock</v>
    <v>46139.920463703122</v>
    <v>607</v>
    <v>126.845</v>
    <v>24435582564</v>
    <v>PULTEGROUP, INC.</v>
    <v>PULTEGROUP, INC.</v>
    <v>127.2</v>
    <v>12.401899999999999</v>
    <v>127.56</v>
    <v>128.28</v>
    <v>128.5</v>
    <v>190486300</v>
    <v>PHM</v>
    <v>PULTEGROUP, INC. (XNYS:PHM)</v>
    <v>1481856</v>
    <v>2054945</v>
    <v>1987</v>
  </rv>
  <rv s="2">
    <v>608</v>
  </rv>
  <rv s="0">
    <v>https://www.bing.com/financeapi/forcetrigger?t=a1ncgh&amp;q=XNYS%3aALSN&amp;form=skydnc</v>
    <v>Learn more on Bing</v>
  </rv>
  <rv s="1">
    <v>0</v>
    <v>ALLISON TRANSMISSION HOLDINGS, INC. (XNYS:ALSN)</v>
    <v>2</v>
    <v>3</v>
    <v>Finance</v>
    <v>4</v>
    <v>en</v>
    <v>a1ncgh</v>
    <v>268435456</v>
    <v>1</v>
    <v>Powered by Refinitiv</v>
    <v>137.62</v>
    <v>76.010000000000005</v>
    <v>1.0189999999999999</v>
    <v>-1.82</v>
    <v>-1.3431E-2</v>
    <v>2</v>
    <v>1.4959999999999999E-2</v>
    <v>USD</v>
    <v>Allison Transmission Holdings, Inc. specializes in high-performance mobility and work solutions. The Company operates through two business units: Allison Transmission and Allison Off-Highway Drive &amp; Motion Systems. The Company manufactures solutions which offer value propositions across vital sectors such as infrastructure, mining, energy, agriculture, construction, transportation and national security. Its transmission model products include 1000 Series + 2000 Series, 9-Speed, 3000 Series, 4000 Series, 6000 Series, 8000 Series, 9000 Series, FracTran, and X Models. Its electric + hybrid model products include eGen Flex, eGen Force, and eGen Power. Allison Off-Highway Drive &amp; Motion Systems specializes in powertrain technologies, encompassing axles, propulsion solutions and drivetrain components. It specializes in hybrid and electric drive systems tailored to customer needs. The Company has a global presence by serving customers in North America, Asia, Europe, South America, and Africa.</v>
    <v>4000</v>
    <v>New York Stock Exchange</v>
    <v>XNYS</v>
    <v>XNYS</v>
    <v>One Allison Way, INDIANAPOLIS, IN, 46222 US</v>
    <v>137.62</v>
    <v>Machinery, Equipment &amp; Components</v>
    <v>Stock</v>
    <v>46139.903343390622</v>
    <v>610</v>
    <v>133.61000000000001</v>
    <v>11113572159</v>
    <v>ALLISON TRANSMISSION HOLDINGS, INC.</v>
    <v>ALLISON TRANSMISSION HOLDINGS, INC.</v>
    <v>135.72</v>
    <v>18.506399999999999</v>
    <v>135.51</v>
    <v>133.69</v>
    <v>135.69</v>
    <v>83129420</v>
    <v>ALSN</v>
    <v>ALLISON TRANSMISSION HOLDINGS, INC. (XNYS:ALSN)</v>
    <v>883280</v>
    <v>752794</v>
    <v>2007</v>
  </rv>
  <rv s="2">
    <v>611</v>
  </rv>
  <rv s="0">
    <v>https://www.bing.com/financeapi/forcetrigger?t=a1ook2&amp;q=XNYS%3aBMY&amp;form=skydnc</v>
    <v>Learn more on Bing</v>
  </rv>
  <rv s="1">
    <v>0</v>
    <v>BRISTOL-MYERS SQUIBB COMPANY (XNYS:BMY)</v>
    <v>2</v>
    <v>3</v>
    <v>Finance</v>
    <v>4</v>
    <v>en</v>
    <v>a1ook2</v>
    <v>268435456</v>
    <v>1</v>
    <v>Powered by Refinitiv</v>
    <v>62.886400000000002</v>
    <v>42.52</v>
    <v>0.23960000000000001</v>
    <v>-0.93</v>
    <v>-1.5841000000000001E-2</v>
    <v>0.06</v>
    <v>1.0380000000000001E-3</v>
    <v>USD</v>
    <v>Bristol-Myers Squibb Company is a global biopharmaceutical company. It is engaged in the discovery, development, and delivery of transformational medicines for patients facing serious diseases in areas: oncology, hematology, immunology, cardiovascular, neuroscience and other areas. Its growth portfolio includes Opdivo (nivolumab), Opdivo Qvantig (nivolumab and hyaluronidase-nvhy), Orencia (abatacept), Yervoy (ipilimumab), Reblozyl (luspatercept-aamt), Breyanzi (lisocabtagene maraleucel), Opdualag (nivolumab and relatlimab-rmbw), Camzyos (mavacamten), Zeposia (ozanimod), Abecma (idecabtagene vicleucel), Sotyktu (deucravacitinib), Krazati (adagrasib), and Cobenfy (xanomeline and trospium chloride). Its other growth products include Augtyro, Onureg, Inrebic, Nulojix, and Empliciti. Its legacy portfolio includes Eliquis (apixaban), Revlimid (lenalidomide), Pomalyst/Imnovid (pomalidomide), Sprycel (dasatinib), and Abraxane (paclitaxel albumin-bound particles for injectable suspension).</v>
    <v>32500</v>
    <v>New York Stock Exchange</v>
    <v>XNYS</v>
    <v>XNYS</v>
    <v>Route 206 And Province Line Road, PRINCETON, NJ, 08543 US</v>
    <v>59.125</v>
    <v>Pharmaceuticals</v>
    <v>Stock</v>
    <v>46139.921521064061</v>
    <v>613</v>
    <v>57.71</v>
    <v>117971448300</v>
    <v>BRISTOL-MYERS SQUIBB COMPANY</v>
    <v>BRISTOL-MYERS SQUIBB COMPANY</v>
    <v>58.21</v>
    <v>16.732800000000001</v>
    <v>58.71</v>
    <v>57.78</v>
    <v>57.84</v>
    <v>2041735000</v>
    <v>BMY</v>
    <v>BRISTOL-MYERS SQUIBB COMPANY (XNYS:BMY)</v>
    <v>10699706</v>
    <v>11753702</v>
    <v>1933</v>
  </rv>
  <rv s="2">
    <v>614</v>
  </rv>
  <rv s="0">
    <v>https://www.bing.com/financeapi/forcetrigger?t=ajezf2&amp;q=XMIL%3aENI&amp;form=skydnc</v>
    <v>Learn more on Bing</v>
  </rv>
  <rv s="5">
    <v>11</v>
    <v>Eni SpA (XMIL:ENI)</v>
    <v>2</v>
    <v>12</v>
    <v>Finance</v>
    <v>13</v>
    <v>en</v>
    <v>ajezf2</v>
    <v>268435456</v>
    <v>1</v>
    <v>Powered by Refinitiv</v>
    <v>25.02</v>
    <v>12.4</v>
    <v>0.4904</v>
    <v>5.5E-2</v>
    <v>2.3969999999999998E-3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32349</v>
    <v>Borsa Italiana</v>
    <v>XMIL</v>
    <v>XMIL</v>
    <v>Piazza Ezio Vanoni, 1, SAN DONATO MILANESE, MILANO, 20097 IT</v>
    <v>23.175000000000001</v>
    <v>Oil &amp; Gas</v>
    <v>Stock</v>
    <v>46139.666666666664</v>
    <v>616</v>
    <v>22.76</v>
    <v>51688770000</v>
    <v>Eni SpA</v>
    <v>Eni SpA</v>
    <v>23.045000000000002</v>
    <v>27.217700000000001</v>
    <v>22.95</v>
    <v>23.004999999999999</v>
    <v>3027982000</v>
    <v>ENI</v>
    <v>Eni SpA (XMIL:ENI)</v>
    <v>9283584</v>
    <v>12108020</v>
  </rv>
  <rv s="2">
    <v>617</v>
  </rv>
  <rv s="0">
    <v>https://www.bing.com/financeapi/forcetrigger?t=a1yg77&amp;q=XNAS%3aNEXT&amp;form=skydnc</v>
    <v>Learn more on Bing</v>
  </rv>
  <rv s="1">
    <v>0</v>
    <v>NEXTDECADE CORPORATION (XNAS:NEXT)</v>
    <v>2</v>
    <v>3</v>
    <v>Finance</v>
    <v>5</v>
    <v>en</v>
    <v>a1yg77</v>
    <v>268435456</v>
    <v>1</v>
    <v>Powered by Refinitiv</v>
    <v>12.12</v>
    <v>4.75</v>
    <v>1.5978000000000001</v>
    <v>0.15</v>
    <v>2.1156999999999999E-2</v>
    <v>0</v>
    <v>0</v>
    <v>USD</v>
    <v>NextDecade Corporation is an energy company. The Company is engaged in construction and development activities related to the liquefaction and sale of liquefied natural gas (LNG) and the capture and storage of carbon dioxide (CO2) emissions. The Company is constructing and developing a natural gas liquefaction and export facility located in the Rio Grande Valley in Brownsville, Texas (the Rio Grande LNG Facility), which has three liquefaction trains and related infrastructure under construction. Through its subsidiary, Rio Grande LNG, LLC (Rio Grande), the Company is constructing the Rio Grande LNG Facility on the north shore of the Brownsville Ship Channel. The site is located on 984 acres of land which has been leased long-term and includes 15 thousand feet of frontage on the Brownsville Ship Channel. It is also developing a planned carbon capture and storage (CCS) project at the Rio Grande LNG Facility and other potential CCS projects.</v>
    <v>360</v>
    <v>Nasdaq Stock Market</v>
    <v>XNAS</v>
    <v>XNAS</v>
    <v>1000 Louisiana Street, Suite 3300, HOUSTON, TX, 77002 US</v>
    <v>7.4050000000000002</v>
    <v>Construction &amp; Engineering</v>
    <v>Stock</v>
    <v>46139.930393193747</v>
    <v>619</v>
    <v>7.1</v>
    <v>1918453028</v>
    <v>NEXTDECADE CORPORATION</v>
    <v>NEXTDECADE CORPORATION</v>
    <v>7.1</v>
    <v>0</v>
    <v>7.09</v>
    <v>7.24</v>
    <v>7.24</v>
    <v>264979700</v>
    <v>NEXT</v>
    <v>NEXTDECADE CORPORATION (XNAS:NEXT)</v>
    <v>2151908</v>
    <v>5803664</v>
    <v>2014</v>
  </rv>
  <rv s="2">
    <v>620</v>
  </rv>
  <rv s="0">
    <v>https://www.bing.com/financeapi/forcetrigger?t=a259dm&amp;q=XNAS%3aVECO&amp;form=skydnc</v>
    <v>Learn more on Bing</v>
  </rv>
  <rv s="1">
    <v>0</v>
    <v>VEECO INSTRUMENTS INC. (XNAS:VECO)</v>
    <v>2</v>
    <v>3</v>
    <v>Finance</v>
    <v>5</v>
    <v>en</v>
    <v>a259dm</v>
    <v>268435456</v>
    <v>1</v>
    <v>Powered by Refinitiv</v>
    <v>53.43</v>
    <v>18.23</v>
    <v>1.3888</v>
    <v>-1.99</v>
    <v>-3.8469000000000003E-2</v>
    <v>-1.03</v>
    <v>-2.0708000000000001E-2</v>
    <v>USD</v>
    <v>Veeco Instruments Inc. is a manufacturer of semiconductor process equipment. The Company's laser annealing, ion beam, chemical vapor deposition (CVD), metal organic chemical vapor deposition (MOCVD), single wafer etch &amp; clean and lithography technologies are used in the fabrication and packaging of advanced semiconductor devices. Such devices include advanced node application processors for artificial intelligence (AI) chips, high-performance computing, mobile devices, high-speed data communications, and radio frequency (RF) filters and power amplifiers for fifth generation (5G) networks and mobile electronics, photonics devices for 3D sensing, advanced displays, and thin film magnetic heads for hard disk drives in data storage. The Company has comprehensive sales and service operations across the Asia-Pacific, Europe, and North America regions. Its products are purchased by customers in four end-markets: semiconductor, compound semiconductor, data storage, and scientific &amp; other.</v>
    <v>1265</v>
    <v>Nasdaq Stock Market</v>
    <v>XNAS</v>
    <v>XNAS</v>
    <v>TERMINAL DRIVE, PLAINVIEW, NY, 11803 US</v>
    <v>52.284999999999997</v>
    <v>Semiconductors &amp; Semiconductor Equipment</v>
    <v>Stock</v>
    <v>46139.924589652343</v>
    <v>622</v>
    <v>48.71</v>
    <v>3003897582</v>
    <v>VEECO INSTRUMENTS INC.</v>
    <v>VEECO INSTRUMENTS INC.</v>
    <v>52.23</v>
    <v>88.395600000000002</v>
    <v>51.73</v>
    <v>49.74</v>
    <v>48.71</v>
    <v>60391990</v>
    <v>VECO</v>
    <v>VEECO INSTRUMENTS INC. (XNAS:VECO)</v>
    <v>1688363</v>
    <v>1265304</v>
    <v>1989</v>
  </rv>
  <rv s="2">
    <v>623</v>
  </rv>
  <rv s="0">
    <v>https://www.bing.com/financeapi/forcetrigger?t=a1nlww&amp;q=XNAS%3aAPLS&amp;form=skydnc</v>
    <v>Learn more on Bing</v>
  </rv>
  <rv s="1">
    <v>0</v>
    <v>APELLIS PHARMACEUTICALS, INC. (XNAS:APLS)</v>
    <v>2</v>
    <v>3</v>
    <v>Finance</v>
    <v>4</v>
    <v>en</v>
    <v>a1nlww</v>
    <v>268435456</v>
    <v>1</v>
    <v>Powered by Refinitiv</v>
    <v>40.96</v>
    <v>16.100000000000001</v>
    <v>-0.24879999999999999</v>
    <v>0.01</v>
    <v>2.4430000000000003E-4</v>
    <v>-0.09</v>
    <v>-2.1979999999999999E-3</v>
    <v>USD</v>
    <v>Apellis Pharmaceuticals, Inc. is a commercial-stage biopharmaceutical company. The Company is focused on the discovery, development and commercialization of novel therapeutic compounds to treat diseases with high unmet needs through the inhibition of the complement system. SYFOVRE (pegcetacoplan injection) is the Company’s approved treatment for geographic atrophy secondary to age-related macular degeneration (GA). Its EMPAVELI (pegcetacoplan) is for the treatment of paroxysmal nocturnal hemoglobinuria (PNH). Its Aspaveli (pegcetacoplan) for the treatment of adults with PNH who are anemic after treatment with a C5 inhibitor for at least three months. Systemic pegcetacoplan has also been approved for the treatment of PNH in Japan, Saudi Arabia, Australia, the United Kingdom and other jurisdictions. Systemic pegcetacoplan is marketed under the trade name EMPAVELI in the United States, Saudi Arabia and Australia and Aspaveli in the European Union, Japan and the United Kingdom.</v>
    <v>733</v>
    <v>Nasdaq Stock Market</v>
    <v>XNAS</v>
    <v>XNAS</v>
    <v>100 Fifth Avenue, WALTHAM, MA, 02451 US</v>
    <v>40.96</v>
    <v>Pharmaceuticals</v>
    <v>Stock</v>
    <v>46139.915316515624</v>
    <v>625</v>
    <v>40.909999999999997</v>
    <v>2184612991</v>
    <v>APELLIS PHARMACEUTICALS, INC.</v>
    <v>APELLIS PHARMACEUTICALS, INC.</v>
    <v>40.93</v>
    <v>331.57889999999998</v>
    <v>40.94</v>
    <v>40.950000000000003</v>
    <v>40.86</v>
    <v>127841600</v>
    <v>APLS</v>
    <v>APELLIS PHARMACEUTICALS, INC. (XNAS:APLS)</v>
    <v>2747531</v>
    <v>8736648</v>
    <v>2009</v>
  </rv>
  <rv s="2">
    <v>626</v>
  </rv>
  <rv s="0">
    <v>https://www.bing.com/financeapi/forcetrigger?t=aea4nm&amp;q=XPAR%3aSTM&amp;form=skydnc</v>
    <v>Learn more on Bing</v>
  </rv>
  <rv s="3">
    <v>6</v>
    <v>STMicroelectronics NV (XPAR:STMPA)</v>
    <v>2</v>
    <v>7</v>
    <v>Finance</v>
    <v>8</v>
    <v>en</v>
    <v>aea4nm</v>
    <v>268435456</v>
    <v>1</v>
    <v>Powered by Refinitiv</v>
    <v>44.29</v>
    <v>18.2</v>
    <v>1.4809000000000001</v>
    <v>-0.99</v>
    <v>-2.2827E-2</v>
    <v>EUR</v>
    <v>STMicroelectronics N.V. is a Netherlands-based semiconductor company. It designs, develops, manufactures and markets a range of products, including discrete and standard commodity components, and application-specific integrated circuits (ASICs) for analog, digital and mixed-signal applications. The Company's segments include Automotive and Discrete Group (ADG), Analog, MEMS and Sensors Group (AMS), and Microcontrollers and Digital ICs Group (MDG). The ADG segment comprises all dedicated automotive Integrated Circuits (ICs), and discrete and power transistor products. The AMS segment includes low-power analog ICs for all markets, smart power products; Touch Screen Controllers, Low Power Connectivity solutions for Internet of Things (IoT), and power conversion products, among others. The AMS segment comprises general purpose and secure microcontrollers, and Electrically Erasable Programmable Read-Only Memory memories.</v>
    <v>47737</v>
    <v>Euronext Paris</v>
    <v>XPAR</v>
    <v>XPAR</v>
    <v>WTC Schiphol Airport, Schiphol Boulevard 265, SCHIPHOL, NOORD-HOLLAND, 1118BH NL</v>
    <v>44.075000000000003</v>
    <v>Semiconductors &amp; Semiconductor Equipment</v>
    <v>Stock</v>
    <v>46139.666666666664</v>
    <v>628</v>
    <v>42.064999999999998</v>
    <v>22586220000</v>
    <v>STMicroelectronics NV</v>
    <v>STMicroelectronics NV</v>
    <v>43.854999999999997</v>
    <v>151.9622</v>
    <v>43.37</v>
    <v>42.38</v>
    <v>911281900</v>
    <v>STMPA</v>
    <v>STMicroelectronics NV (XPAR:STMPA)</v>
    <v>2590126</v>
    <v>3793290</v>
    <v>1987</v>
  </rv>
  <rv s="2">
    <v>629</v>
  </rv>
  <rv s="0">
    <v>https://www.bing.com/financeapi/forcetrigger?t=c432pr&amp;q=XNAS%3aIPAX&amp;form=skydnc</v>
    <v>Learn more on Bing</v>
  </rv>
  <rv s="1">
    <v>0</v>
    <v>INTUITIVE MACHINES, INC. (XNAS:LUNR)</v>
    <v>2</v>
    <v>3</v>
    <v>Finance</v>
    <v>5</v>
    <v>en</v>
    <v>c432pr</v>
    <v>268435456</v>
    <v>1</v>
    <v>Powered by Refinitiv</v>
    <v>31.15</v>
    <v>7.78</v>
    <v>1.4742999999999999</v>
    <v>0.67</v>
    <v>2.6244E-2</v>
    <v>-0.17499999999999999</v>
    <v>-6.6790000000000009E-3</v>
    <v>USD</v>
    <v>Intuitive Machines, Inc. is a space technology, infrastructure, and services company. It is a provider and supplier of space products and services that enable sustained robotic and human exploration to the Moon, Mars, and beyond. Its services include delivery services, data transmission services, and infrastructure as a service. Its delivery services provide transportation and delivery of payloads, such as satellites, scientific instruments and cargo to various destinations in space, in addition to rideshare delivery and lunar surface access. Its data transmission services offerings include the collection, processing, and interpretation of space-based data, utilizing applications, such as command, control, communications, reconnaissance and prospecting. Its infrastructure as a service delivers space assets, performing tasks and making decisions without human intervention that are designed to perform essential functions, such as navigation, scientific data collection, and others.</v>
    <v>525</v>
    <v>Nasdaq Stock Market</v>
    <v>XNAS</v>
    <v>XNAS</v>
    <v>13467 Columbia Shuttle Street, HOUSTON, TX, 77059 US</v>
    <v>26.4</v>
    <v>Aerospace &amp; Defense</v>
    <v>Stock</v>
    <v>46139.935172140627</v>
    <v>631</v>
    <v>24.64</v>
    <v>5680180960</v>
    <v>INTUITIVE MACHINES, INC.</v>
    <v>INTUITIVE MACHINES, INC.</v>
    <v>25.74</v>
    <v>0</v>
    <v>25.53</v>
    <v>26.2</v>
    <v>26.024999999999999</v>
    <v>216800800</v>
    <v>LUNR</v>
    <v>INTUITIVE MACHINES, INC. (XNAS:LUNR)</v>
    <v>9383855</v>
    <v>17435839</v>
    <v>2023</v>
  </rv>
  <rv s="2">
    <v>632</v>
  </rv>
  <rv s="0">
    <v>https://www.bing.com/financeapi/forcetrigger?t=a1pshw&amp;q=XNYS%3aCL&amp;form=skydnc</v>
    <v>Learn more on Bing</v>
  </rv>
  <rv s="1">
    <v>0</v>
    <v>COLGATE-PALMOLIVE COMPANY (XNYS:CL)</v>
    <v>2</v>
    <v>3</v>
    <v>Finance</v>
    <v>4</v>
    <v>en</v>
    <v>a1pshw</v>
    <v>268435456</v>
    <v>1</v>
    <v>Powered by Refinitiv</v>
    <v>99.33</v>
    <v>74.545000000000002</v>
    <v>0.30109999999999998</v>
    <v>-0.48</v>
    <v>-5.6699999999999997E-3</v>
    <v>-0.02</v>
    <v>-2.376E-4</v>
    <v>USD</v>
    <v>Colgate-Palmolive Company is a growth company. It is focused on Oral Care, Personal Care, Home Care and Pet Nutrition, it sells its products under brands, such as Colgate, Palmolive, elmex, hello, meridol, Sorriso, Tom's of Maine, EltaMD, Filorga, Irish Spring, Lady Speed Stick, PCA SKIN, Protex, Sanex, Softsoap, Speed Stick, Ajax, Axion, Fabuloso, Murphy, Soupline and Suavitel, as well as Hill's Science Diet and Hill's Prescription Diet. Its Oral, Personal and Home Care product segment is managed geographically in five segments, such as North America, Latin America, Europe, Asia Pacific and Africa/Eurasia, all of which sell primarily to a variety of traditional and e-commerce retailers, wholesalers, distributors, dentists and skin health professionals. Its Pet Nutrition products include specialty pet nutrition products manufactured and marketed by Hill's Pet Nutrition. The customers for Pet Nutrition products are authorized pet supply retailers, veterinarians and e-commerce retailers.</v>
    <v>33600</v>
    <v>New York Stock Exchange</v>
    <v>XNYS</v>
    <v>XNYS</v>
    <v>300 PARK AVE, NEW YORK, NY, 10022 US</v>
    <v>85.3</v>
    <v>Personal &amp; Household Products &amp; Services</v>
    <v>Stock</v>
    <v>46139.920852522657</v>
    <v>634</v>
    <v>83.86</v>
    <v>67529750923</v>
    <v>COLGATE-PALMOLIVE COMPANY</v>
    <v>COLGATE-PALMOLIVE COMPANY</v>
    <v>84.26</v>
    <v>32.108800000000002</v>
    <v>84.65</v>
    <v>84.17</v>
    <v>84.15</v>
    <v>802301900</v>
    <v>CL</v>
    <v>COLGATE-PALMOLIVE COMPANY (XNYS:CL)</v>
    <v>4413459</v>
    <v>5937292</v>
    <v>1923</v>
  </rv>
  <rv s="2">
    <v>635</v>
  </rv>
  <rv s="0">
    <v>https://www.bing.com/financeapi/forcetrigger?t=c33t1h&amp;q=XNAS%3aDATS&amp;form=skydnc</v>
    <v>Learn more on Bing</v>
  </rv>
  <rv s="1">
    <v>0</v>
    <v>MYSEUM.AI, INC. (XNAS:MYSE)</v>
    <v>2</v>
    <v>3</v>
    <v>Finance</v>
    <v>5</v>
    <v>en</v>
    <v>c33t1h</v>
    <v>268435456</v>
    <v>1</v>
    <v>Powered by Refinitiv</v>
    <v>5.7698999999999998</v>
    <v>1.31</v>
    <v>2.6539999999999999</v>
    <v>0.01</v>
    <v>3.1350000000000002E-3</v>
    <v>0.02</v>
    <v>6.2500000000000003E-3</v>
    <v>USD</v>
    <v>Myseum.AI, Inc., formerly Myseum, Inc., is a privacy-focused artificial intelligence (AI) and social media technology company developing innovative platforms for secure digital sharing and storage. The Company is developing privacy-first agentic localized AI agents that assist in managing personal media such as photos, videos and messages, while maintaining privacy. Technology adapts to individual patterns and preferences to better assist the user while maintaining data integrity and encryption to ensure that user information is never shared with any other social platforms.</v>
    <v>11</v>
    <v>Nasdaq Stock Market</v>
    <v>XNAS</v>
    <v>XNAS</v>
    <v>65 Church Street, Suite 230, NEW BRUNSWICK, NJ, 08901 US</v>
    <v>3.32</v>
    <v>Software &amp; IT Services</v>
    <v>Stock</v>
    <v>46139.932065115623</v>
    <v>637</v>
    <v>3.07</v>
    <v>6227035</v>
    <v>MYSEUM.AI, INC.</v>
    <v>MYSEUM.AI, INC.</v>
    <v>3.19</v>
    <v>0</v>
    <v>3.19</v>
    <v>3.2</v>
    <v>3.22</v>
    <v>4324330</v>
    <v>MYSE</v>
    <v>MYSEUM.AI, INC. (XNAS:MYSE)</v>
    <v>463757</v>
    <v>11615892</v>
    <v>2014</v>
  </rv>
  <rv s="2">
    <v>638</v>
  </rv>
  <rv s="0">
    <v>https://www.bing.com/financeapi/forcetrigger?t=a1zyw7&amp;q=XNAS%3aPLUG&amp;form=skydnc</v>
    <v>Learn more on Bing</v>
  </rv>
  <rv s="1">
    <v>0</v>
    <v>PLUG POWER INC. (XNAS:PLUG)</v>
    <v>2</v>
    <v>3</v>
    <v>Finance</v>
    <v>5</v>
    <v>en</v>
    <v>a1zyw7</v>
    <v>268435456</v>
    <v>1</v>
    <v>Powered by Refinitiv</v>
    <v>4.58</v>
    <v>0.69</v>
    <v>2.0670000000000002</v>
    <v>-0.06</v>
    <v>-1.9108E-2</v>
    <v>-9.7999999999999997E-3</v>
    <v>-3.1819999999999999E-3</v>
    <v>USD</v>
    <v>Plug Power Inc. is engaged in providing an end-to-end hydrogen ecosystem, from production, storage, and delivery to energy generation. The Company is focused on delivering hydrogen solutions. Its vertically integrated, end-to-end hydrogen solutions are designed to fit customer needs, including hydrogen production equipment and the delivery of hydrogen fuel, including fuel cells, proton exchange membrane (PEM) electrolyzers, hydrogen liquefiers, liquid hydrogen cryogenic solutions, and hydrogen production. Its product and service portfolio includes GenDrive, GenFuel, GenCare, GenKey, GenEco Electrolyzers, Liquefaction Systems, Cryogenic Equipment, GenSure, and Liquid Hydrogen. GenDrive is a hydrogen fueled PEM fuel cell system, providing power to material handling electric vehicles (EVs), including Class 1, 2, 3 and 6 electric forklifts, automated guided vehicles, and ground support equipment. GenFuel is a liquid hydrogen fueling, delivery, generation, storage, and dispensing system.</v>
    <v>2582</v>
    <v>Nasdaq Stock Market</v>
    <v>XNAS</v>
    <v>XNAS</v>
    <v>125 Vista Boulevard, SLINGERLANDS, NY, 12159 US</v>
    <v>3.16</v>
    <v>Renewable Energy</v>
    <v>Stock</v>
    <v>46139.934902685156</v>
    <v>640</v>
    <v>2.9449999999999998</v>
    <v>4293381400</v>
    <v>PLUG POWER INC.</v>
    <v>PLUG POWER INC.</v>
    <v>3.15</v>
    <v>0</v>
    <v>3.14</v>
    <v>3.08</v>
    <v>3.0701999999999998</v>
    <v>1393955000</v>
    <v>PLUG</v>
    <v>PLUG POWER INC. (XNAS:PLUG)</v>
    <v>57656059</v>
    <v>68856886</v>
    <v>1999</v>
  </rv>
  <rv s="2">
    <v>641</v>
  </rv>
  <rv s="0">
    <v>https://www.bing.com/financeapi/forcetrigger?t=a1t2ur&amp;q=XNYS%3aFLR&amp;form=skydnc</v>
    <v>Learn more on Bing</v>
  </rv>
  <rv s="1">
    <v>0</v>
    <v>FLUOR CORPORATION. (XNYS:FLR)</v>
    <v>2</v>
    <v>3</v>
    <v>Finance</v>
    <v>5</v>
    <v>en</v>
    <v>a1t2ur</v>
    <v>268435456</v>
    <v>1</v>
    <v>Powered by Refinitiv</v>
    <v>57.5</v>
    <v>33.82</v>
    <v>1.2595000000000001</v>
    <v>3.46</v>
    <v>7.1739999999999998E-2</v>
    <v>-0.53</v>
    <v>-1.0255E-2</v>
    <v>USD</v>
    <v>Fluor Corporation is a holding company that provides engineering, procurement, construction (EPC), fabrication and modularization, and project management services. The Company's segments include Energy Solutions, Urban Solutions and Mission Solutions. The Energy Solutions segment provides EPC services for traditional oil and gas markets, including the production and fuels, chemicals, LNG and power markets. The segment serves these industries with comprehensive project life-cycle services. The Urban Solutions segment provides EPC and project management services to the advanced technologies and manufacturing, life sciences, mining and metals, infrastructure industries and professional staffing services. The Mission Solutions segment provides high-end technical solutions to the United States and other governments. These include, among others, the DOE, the Department of Defense, FEMA and intelligence agencies. The segment also provides services to commercial nuclear clients.</v>
    <v>22995</v>
    <v>New York Stock Exchange</v>
    <v>XNYS</v>
    <v>XNYS</v>
    <v>6700 Las Colinas Blvd, IRVING, TX, 75039 US</v>
    <v>51.82</v>
    <v>Construction &amp; Engineering</v>
    <v>Stock</v>
    <v>46139.930849432814</v>
    <v>643</v>
    <v>48.46</v>
    <v>7397164647</v>
    <v>FLUOR CORPORATION.</v>
    <v>FLUOR CORPORATION.</v>
    <v>48.46</v>
    <v>0</v>
    <v>48.23</v>
    <v>51.69</v>
    <v>51.15</v>
    <v>143106300</v>
    <v>FLR</v>
    <v>FLUOR CORPORATION. (XNYS:FLR)</v>
    <v>3511934</v>
    <v>2153406</v>
    <v>2000</v>
  </rv>
  <rv s="2">
    <v>644</v>
  </rv>
  <rv s="22">
    <v>47</v>
    <v>EUR/USD</v>
    <v>48</v>
    <v>49</v>
    <v>Finance</v>
    <v>50</v>
    <v>en</v>
    <v>av932w</v>
    <v>268435456</v>
    <v>1</v>
    <v>Powered by Refinitiv</v>
    <v>1.2078</v>
    <v>1.1064000000000001</v>
    <v>0</v>
    <v>0</v>
    <v>USD</v>
    <v>EUR</v>
    <v>1.1722999999999999</v>
    <v>Currency Pair</v>
    <v>46139.935173611113</v>
    <v>1.1719999999999999</v>
    <v>Euro/US Dollar FX Spot Rate</v>
    <v>1.1722999999999999</v>
    <v>1.1719999999999999</v>
    <v>1.1719999999999999</v>
    <v>EURUSD</v>
    <v>EUR/USD</v>
  </rv>
  <rv s="2">
    <v>646</v>
  </rv>
  <rv s="22">
    <v>47</v>
    <v>USD/EUR</v>
    <v>48</v>
    <v>51</v>
    <v>Finance</v>
    <v>50</v>
    <v>en</v>
    <v>avyn9c</v>
    <v>268435456</v>
    <v>1</v>
    <v>Powered by Refinitiv</v>
    <v>0.90369999999999995</v>
    <v>0.82779999999999998</v>
    <v>-1E-4</v>
    <v>-1.1719999999999999E-4</v>
    <v>EUR</v>
    <v>USD</v>
    <v>0.85319999999999996</v>
    <v>Currency Pair</v>
    <v>46139.935324074075</v>
    <v>0.85299999999999998</v>
    <v>US Dollar/Euro FX Cross Rate</v>
    <v>0.85289999999999999</v>
    <v>0.85309999999999997</v>
    <v>0.85299999999999998</v>
    <v>USDEUR</v>
    <v>USD/EUR</v>
  </rv>
  <rv s="2">
    <v>648</v>
  </rv>
  <rv s="23">
    <v>12</v>
    <v>P/E</v>
    <v>0</v>
  </rv>
  <rv s="0">
    <v>https://www.bing.com/financeapi/forcetrigger?t=alwkyc&amp;q=XLIS%3aEDP&amp;form=skydnc</v>
    <v>Learn more on Bing</v>
  </rv>
  <rv s="3">
    <v>6</v>
    <v>EDP SA (XLIS:EDP)</v>
    <v>2</v>
    <v>7</v>
    <v>Finance</v>
    <v>8</v>
    <v>en</v>
    <v>alwkyc</v>
    <v>268435456</v>
    <v>1</v>
    <v>Powered by Refinitiv</v>
    <v>4.7699999999999996</v>
    <v>3.19</v>
    <v>1.0749</v>
    <v>0.06</v>
    <v>1.3229999999999999E-2</v>
    <v>EUR</v>
    <v>EDP SA, formerly EDP Energias de Portugal SA is a Brazil-based holding company that operates through its subsidiaries. The Group's businesses are focused on the generation, transmission, distribution and supply of electricity and supply of gas. Additionally, the Group also operates in related areas such as engineering, laboratory tests, professional training, energy services and property management. EDP's activities are divided into two business segments: Renewables, Clients &amp; Energy Management, that corresponds to the activity of generation of electricity from renewable sources, mainly hydro, wind and solar; and Networks, that corresponds to the activities of electricity distribution and transmission.</v>
    <v>11858</v>
    <v>Euronext Lisbon</v>
    <v>XLIS</v>
    <v>XLIS</v>
    <v>Avenida 24 de Julho, n 12, LISBOA, 1249-300 PT</v>
    <v>4.6139999999999999</v>
    <v>Electrical Utilities &amp; IPPs</v>
    <v>Stock</v>
    <v>46139.666666666664</v>
    <v>651</v>
    <v>4.5339999999999998</v>
    <v>17150300000</v>
    <v>EDP SA</v>
    <v>EDP SA</v>
    <v>4.548</v>
    <v>16.121600000000001</v>
    <v>4.5350000000000001</v>
    <v>4.5949999999999998</v>
    <v>4184021000</v>
    <v>EDP</v>
    <v>EDP SA (XLIS:EDP)</v>
    <v>8611035</v>
    <v>8500400</v>
    <v>1976</v>
  </rv>
  <rv s="2">
    <v>652</v>
  </rv>
  <rv s="0">
    <v>https://www.bing.com/financeapi/forcetrigger?t=c4eo6h&amp;q=XETR%3aDTG&amp;form=skydnc</v>
    <v>Learn more on Bing</v>
  </rv>
  <rv s="3">
    <v>6</v>
    <v>Daimler Truck Holding AG (XETR:DTG)</v>
    <v>2</v>
    <v>7</v>
    <v>Finance</v>
    <v>8</v>
    <v>en</v>
    <v>c4eo6h</v>
    <v>268435456</v>
    <v>1</v>
    <v>Powered by Refinitiv</v>
    <v>45.19</v>
    <v>33.46</v>
    <v>1.2709999999999999</v>
    <v>-0.91</v>
    <v>-2.0681999999999999E-2</v>
    <v>EUR</v>
    <v>Daimler Truck Holding AG is a Germany-based company. The Company divides its business into Industrial Business and Financial Services. The Industrial Business comprises the vehicle segments Trucks North America, Mercedes-Benz, Trucks Asia, Daimler Buses and the reconciliation. Trucks Asia combines the business operations of Mitsubishi Fuso Truck and Bus Corporation (MFTBC) based in Japan and Daimler India Commercial Vehicles (DICV) in India. Daimler Buses is a full-service provider of buses and chassis with permissible gross weights exceeding eight tons. The Financial Services segment offers customers a complete package of vehicles, financing and leasing products and other services. The Company is the parent company of the Daimler Truck Group. The Daimler Truck Group unites eight vehicle brands under its umbrella: Freightliner, Thomas Built Buses, Western Star, Mercedes-Benz, FUSO, BharatBenz, RIZON, and Setra.</v>
    <v>108476</v>
    <v>Xetra</v>
    <v>XETR</v>
    <v>XETR</v>
    <v>Fasanenweg 10, LEINFELDEN-ECHTERDINGEN, BADEN-WUERTTEMBERG, 70771 DE</v>
    <v>44.1</v>
    <v>Machinery, Equipment &amp; Components</v>
    <v>Stock</v>
    <v>46139.895995370367</v>
    <v>654</v>
    <v>43.09</v>
    <v>30876660000</v>
    <v>Daimler Truck Holding AG</v>
    <v>Daimler Truck Holding AG</v>
    <v>44</v>
    <v>18.0839</v>
    <v>44</v>
    <v>43.09</v>
    <v>765600400</v>
    <v>DTG</v>
    <v>Daimler Truck Holding AG (XETR:DTG)</v>
    <v>797528</v>
    <v>938190</v>
    <v>2021</v>
  </rv>
  <rv s="2">
    <v>655</v>
  </rv>
  <rv s="23">
    <v>12</v>
    <v>52 week high</v>
    <v>0</v>
  </rv>
  <rv s="24">
    <v>12</v>
    <v>1</v>
  </rv>
  <rv s="23">
    <v>12</v>
    <v>52 week low</v>
    <v>0</v>
  </rv>
  <rv s="0">
    <v>https://www.bing.com/financeapi/forcetrigger?t=afo1z2&amp;q=XFRA%3aWCH&amp;form=skydnc</v>
    <v>Learn more on Bing</v>
  </rv>
  <rv s="4">
    <v>9</v>
    <v>Wacker Chemie AG (XFRA:WCH)</v>
    <v>2</v>
    <v>10</v>
    <v>Finance</v>
    <v>8</v>
    <v>en</v>
    <v>afo1z2</v>
    <v>268435456</v>
    <v>1</v>
    <v>Powered by Refinitiv</v>
    <v>185.8</v>
    <v>30.87</v>
    <v>0.61599999999999999</v>
    <v>-1.25</v>
    <v>-1.3028E-2</v>
    <v>EUR</v>
    <v>Wacker Chemie AG is a Germany-based manufacturer of specialty chemical products. It operates through four segments: Silicones, Polymers, Biosolutions and Polysilicon. The Silicones segments provides silane, silicone fluids, emulsions, elastomers, sealants and resins to pyrogenic silicas; the Polymers segment offers a range of polymeric binders and additives along with customized services; the Biosolutions segment serves the food, pharmaceutical, life science and agrochemical industries and produces fermenter cysteine and bioengineered cyclodextrins, among others, and the Polysilicon segment manufactures high-purity polysilicon for the solar technology and semiconductor-electronics industries.</v>
    <v>16467</v>
    <v>Deutsche Boerse AG</v>
    <v>XFRA</v>
    <v>XFRA</v>
    <v>Hanns-Seidel-Platz 4, MUNICH, BAYERN, 81737 DE</v>
    <v>94.7</v>
    <v>Chemicals</v>
    <v>Stock</v>
    <v>46139.836805555555</v>
    <v>660</v>
    <v>94.7</v>
    <v>3804532000</v>
    <v>Wacker Chemie AG</v>
    <v>Wacker Chemie AG</v>
    <v>94.7</v>
    <v>95.95</v>
    <v>94.7</v>
    <v>52152600</v>
    <v>WCH</v>
    <v>Wacker Chemie AG (XFRA:WCH)</v>
    <v>450</v>
    <v>126700</v>
    <v>2005</v>
  </rv>
  <rv s="2">
    <v>661</v>
  </rv>
  <rv s="0">
    <v>https://www.bing.com/financeapi/forcetrigger?t=af6l27&amp;q=XFRA%3aCBK&amp;form=skydnc</v>
    <v>Learn more on Bing</v>
  </rv>
  <rv s="3">
    <v>6</v>
    <v>Commerzbank AG (XFRA:CBK)</v>
    <v>2</v>
    <v>7</v>
    <v>Finance</v>
    <v>8</v>
    <v>en</v>
    <v>af6l27</v>
    <v>268435456</v>
    <v>1</v>
    <v>Powered by Refinitiv</v>
    <v>38.08</v>
    <v>1.0999999999999999E-2</v>
    <v>0.98580000000000001</v>
    <v>0.67</v>
    <v>1.9747000000000001E-2</v>
    <v>EUR</v>
    <v>COMMERZBANK AG is a Germany-based international commercial bank with branches and offices in nearly 40 countries. The Bank’s two business segments, Private and Small-Business Customers and Corporate Clients, offer a portfolio of financial services to their customers’ needs. The Bank offers its sector strategy to its corporate clients in Germany and abroad and is a provider of capital market products. It focusses on the German Mittelstand, large corporates, and institutional clients. As part of its international business, it supports clients with a business relationship to Germany, Austria or Switzerland and companies operating in selected future-oriented industries.</v>
    <v>40812</v>
    <v>Deutsche Boerse AG</v>
    <v>XFRA</v>
    <v>XFRA</v>
    <v>Kaiserstrasse 16, HESSEN, 60311 DE</v>
    <v>34.67</v>
    <v>Banking Services</v>
    <v>Stock</v>
    <v>46139.836805555555</v>
    <v>663</v>
    <v>34.409999999999997</v>
    <v>40330540000</v>
    <v>Commerzbank AG</v>
    <v>Commerzbank AG</v>
    <v>34.549999999999997</v>
    <v>16.579999999999998</v>
    <v>33.93</v>
    <v>34.6</v>
    <v>1127496000</v>
    <v>CBK</v>
    <v>Commerzbank AG (XFRA:CBK)</v>
    <v>7949</v>
    <v>2573600</v>
    <v>1952</v>
  </rv>
  <rv s="2">
    <v>664</v>
  </rv>
  <rv s="0">
    <v>https://www.bing.com/financeapi/forcetrigger?t=afr1pr&amp;q=XETR%3aCON&amp;form=skydnc</v>
    <v>Learn more on Bing</v>
  </rv>
  <rv s="3">
    <v>6</v>
    <v>Continental AG (XETR:CON)</v>
    <v>2</v>
    <v>7</v>
    <v>Finance</v>
    <v>8</v>
    <v>en</v>
    <v>afr1pr</v>
    <v>268435456</v>
    <v>1</v>
    <v>Powered by Refinitiv</v>
    <v>75.36</v>
    <v>51.116</v>
    <v>1.4581</v>
    <v>-0.84</v>
    <v>-1.2797000000000001E-2</v>
    <v>EUR</v>
    <v>Continental AG is a Germany-based company offering mobility solutions to automotive sector. The Company operates in four group sectors: Automotive, Tires, ContiTech and Contract Manufacturing. Automotive sector offers technologies for safety, brake, chassis, motion and motion-control systems, which is divided into five business areas: Architecture and Networking, Autonomous Mobility, Safety and Motion, Software and Central Technologies and User Experience. Tires sector offers solutions in tire technology, which is divided into five business areas: Original Equipment, Replacement APAC, Replacement EMEA, Replacement The Americas and Specialty Tires. ContiTech group sector develops products and systems made from rubber, plastic, metal, and textiles. It is divided into five business areas: Industrial Solutions Americas, Industrial Solutions APAC, Industrial Solutions EMEA, Original Equipment Solutions and Surface Solutions. Contract Manufacturing sector handles contract manufacturing.</v>
    <v>92653</v>
    <v>Xetra</v>
    <v>XETR</v>
    <v>XETR</v>
    <v>Continental-Plaza 1, HANNOVER, NIEDERSACHSEN, 30175 DE</v>
    <v>65.819999999999993</v>
    <v>Automobiles &amp; Auto Parts</v>
    <v>Stock</v>
    <v>46139.896006944444</v>
    <v>666</v>
    <v>64.62</v>
    <v>13536410000</v>
    <v>Continental AG</v>
    <v>Continental AG</v>
    <v>65.819999999999993</v>
    <v>0</v>
    <v>65.64</v>
    <v>64.8</v>
    <v>200006000</v>
    <v>CON</v>
    <v>Continental AG (XETR:CON)</v>
    <v>291375</v>
    <v>372240</v>
    <v>1871</v>
  </rv>
  <rv s="2">
    <v>667</v>
  </rv>
  <rv s="0">
    <v>https://www.bing.com/financeapi/forcetrigger?t=afkamw&amp;q=XFRA%3aS92&amp;form=skydnc</v>
    <v>Learn more on Bing</v>
  </rv>
  <rv s="4">
    <v>9</v>
    <v>SMA Solar Technology AG (XFRA:S92)</v>
    <v>2</v>
    <v>10</v>
    <v>Finance</v>
    <v>8</v>
    <v>en</v>
    <v>afkamw</v>
    <v>268435456</v>
    <v>1</v>
    <v>Powered by Refinitiv</v>
    <v>112.2</v>
    <v>10.9</v>
    <v>0.55320000000000003</v>
    <v>-1.7</v>
    <v>-3.2754999999999999E-2</v>
    <v>EUR</v>
    <v>SMA Solar Technology AG is a Germany-based specialist in photovoltaic (PV) system technology. SMA Solar Technology and its subsidiaries (SMA Group) primarily engaged in develop, produce and sell systems and solutions for generation, storage and use of solar energy. The Company operates through three segments: Home solution segment, SMA group offers integrated solar energy solutions for private PV systems. The new SMA Home Energy Solutions comprises systems for the generation, storage and management of solar energy as well as for heating and charging purpose. Large Scale &amp; Project Solution segment offers products, systems and solutions for industrial solar, storage and hydrogen projects as well as for the conversion of utility grids to a proportion of renewable energy. The Commercial and Industrial Solutions segment focus is on global markets for commercial PV systems with and without energy management, battery storage and electrical vehicle charging solutions.</v>
    <v>3674</v>
    <v>Deutsche Boerse AG</v>
    <v>XFRA</v>
    <v>XFRA</v>
    <v>Sonnenallee 1, HESSEN, 34266 DE</v>
    <v>53.2</v>
    <v>Semiconductors &amp; Semiconductor Equipment</v>
    <v>Stock</v>
    <v>46139.836805555555</v>
    <v>669</v>
    <v>50.2</v>
    <v>1172860000</v>
    <v>SMA Solar Technology AG</v>
    <v>SMA Solar Technology AG</v>
    <v>51.95</v>
    <v>51.9</v>
    <v>50.2</v>
    <v>34700000</v>
    <v>S92</v>
    <v>SMA Solar Technology AG (XFRA:S92)</v>
    <v>796</v>
    <v>145240</v>
    <v>2004</v>
  </rv>
  <rv s="2">
    <v>670</v>
  </rv>
  <rv s="0">
    <v>https://www.bing.com/financeapi/forcetrigger?t=bxe3bh&amp;q=XNYS%3aTINV&amp;form=skydnc</v>
    <v>Learn more on Bing</v>
  </rv>
  <rv s="1">
    <v>0</v>
    <v>GRINDR INC. (XNYS:GRND)</v>
    <v>2</v>
    <v>3</v>
    <v>Finance</v>
    <v>4</v>
    <v>en</v>
    <v>bxe3bh</v>
    <v>268435456</v>
    <v>1</v>
    <v>Powered by Refinitiv</v>
    <v>25.13</v>
    <v>9.7316000000000003</v>
    <v>0.27900000000000003</v>
    <v>7.0000000000000007E-2</v>
    <v>5.1929999999999997E-3</v>
    <v>-0.40450000000000003</v>
    <v>-2.9852E-2</v>
    <v>USD</v>
    <v>Grindr Inc. manages and operates the Grindr platform, which a global social networking platform primarily serving and addressing the needs of gay, bisexual, and sexually explorative adults. The Company is developing new products for users to engage with the Grindr platform, which include new partnership-based digital versions of services typically found in physical gayborhoods. Its platform enables GBTQ adults to connect with one another. Its platform helps its users find what they are looking for: casual dating, long-term relationships, community and friendships, professional networking, travel information and local discovery. The Grindr platform offers a variety of location-based social features and functions, including identity expression (profile, photos, presence); connection (search, filters, the Cascade, Viewed Me); and interaction (chat, media sharing); with trust and safety tools across the experience, and subscriptions for premium features offering further access and control.</v>
    <v>160</v>
    <v>New York Stock Exchange</v>
    <v>XNYS</v>
    <v>XNYS</v>
    <v>750 N. San Vicente Blvd., Suite Re 1400, WEST HOLLYWOOD, CA, 90069 US</v>
    <v>13.9</v>
    <v>Software &amp; IT Services</v>
    <v>Stock</v>
    <v>46139.913530010941</v>
    <v>672</v>
    <v>13.41</v>
    <v>2508751335</v>
    <v>GRINDR INC.</v>
    <v>GRINDR INC.</v>
    <v>13.41</v>
    <v>27.880700000000001</v>
    <v>13.48</v>
    <v>13.55</v>
    <v>13.1455</v>
    <v>185147700</v>
    <v>GRND</v>
    <v>GRINDR INC. (XNYS:GRND)</v>
    <v>926709</v>
    <v>1173524</v>
    <v>2022</v>
  </rv>
  <rv s="2">
    <v>673</v>
  </rv>
  <rv s="0">
    <v>https://www.bing.com/financeapi/forcetrigger?t=afqpar&amp;q=XETR%3aBMW&amp;form=skydnc</v>
    <v>Learn more on Bing</v>
  </rv>
  <rv s="3">
    <v>6</v>
    <v>Bayerische Motoren Werke AG (XETR:BMW)</v>
    <v>2</v>
    <v>7</v>
    <v>Finance</v>
    <v>8</v>
    <v>en</v>
    <v>afqpar</v>
    <v>268435456</v>
    <v>1</v>
    <v>Powered by Refinitiv</v>
    <v>97.92</v>
    <v>70.94</v>
    <v>0.98809999999999998</v>
    <v>-0.04</v>
    <v>-5.042E-4</v>
    <v>EUR</v>
    <v>Bayerische Motoren Werke AG (BMW) is a Germany-based company. The Company is engaged in the development and manufacturing of automobiles and motorcycles. Its business is divided into three segments: Automotive segment, Motorcycles segment, and Financial Services segment. The Automotive segment has three brands BMW, MINI and Rolls-Royce. The product range includes automobiles ranging from the compact class to the luxury class. The Motorcycles segment develops manufactures and sells motorcycles and scooters in the Sport, Tour, Roadster, Heritage, Adventure and Urban Mobility categories, as well as motorcycles for private use and special-purpose vehicles for operational use. The Financial Services segment offers credit financing and the leasing of BMW Group brand automobiles and motorcycles to retail customers. It also handles financing for dealerships and customer deposits.</v>
    <v>154540</v>
    <v>Xetra</v>
    <v>XETR</v>
    <v>XETR</v>
    <v>Petuelring 130, MUNICH, BAYERN, 80809 DE</v>
    <v>80.459999999999994</v>
    <v>Automobiles &amp; Auto Parts</v>
    <v>Stock</v>
    <v>46139.895995370367</v>
    <v>675</v>
    <v>79.180000000000007</v>
    <v>54471310000</v>
    <v>Bayerische Motoren Werke AG</v>
    <v>Bayerische Motoren Werke AG</v>
    <v>79.8</v>
    <v>6.7257999999999996</v>
    <v>79.34</v>
    <v>79.3</v>
    <v>615810400</v>
    <v>BMW</v>
    <v>Bayerische Motoren Werke AG (XETR:BMW)</v>
    <v>820879</v>
    <v>947810</v>
    <v>1995</v>
  </rv>
  <rv s="2">
    <v>676</v>
  </rv>
  <rv s="0">
    <v>https://www.bing.com/financeapi/forcetrigger?t=afqoec&amp;q=XETR%3aBEI&amp;form=skydnc</v>
    <v>Learn more on Bing</v>
  </rv>
  <rv s="3">
    <v>6</v>
    <v>Beiersdorf AG (XETR:BEI)</v>
    <v>2</v>
    <v>7</v>
    <v>Finance</v>
    <v>8</v>
    <v>en</v>
    <v>afqoec</v>
    <v>268435456</v>
    <v>1</v>
    <v>Powered by Refinitiv</v>
    <v>127.45</v>
    <v>71.099999999999994</v>
    <v>0.50339999999999996</v>
    <v>0.16</v>
    <v>2.2179999999999999E-3</v>
    <v>EUR</v>
    <v>Beiersdorf Aktiengesellschaft is a Germany‑based company engaged in manufacturing chemical consumer goods through its Consumer and tesa business segments. The Consumer segment provides skin and beauty care products under brands such as NIVEA, Eucerin, La Prairie and Hansaplast. The tesa segment develops adhesive tapes and self‑adhesive solutions for industrial and consumer applications, supported by research and development activities.</v>
    <v>22399</v>
    <v>Xetra</v>
    <v>XETR</v>
    <v>XETR</v>
    <v>Beiersdorfstrasse 1-9, HAMBURG, HAMBURG, 22529 DE</v>
    <v>72.599999999999994</v>
    <v>Personal &amp; Household Products &amp; Services</v>
    <v>Stock</v>
    <v>46139.895995370367</v>
    <v>678</v>
    <v>71.58</v>
    <v>23672910000</v>
    <v>Beiersdorf AG</v>
    <v>Beiersdorf AG</v>
    <v>72</v>
    <v>17.049499999999998</v>
    <v>72.14</v>
    <v>72.3</v>
    <v>243000000</v>
    <v>BEI</v>
    <v>Beiersdorf AG (XETR:BEI)</v>
    <v>402354</v>
    <v>451720</v>
    <v>1922</v>
  </rv>
  <rv s="2">
    <v>679</v>
  </rv>
  <rv s="0">
    <v>https://www.bing.com/financeapi/forcetrigger?t=afso4c&amp;q=XETR%3aLEG&amp;form=skydnc</v>
    <v>Learn more on Bing</v>
  </rv>
  <rv s="3">
    <v>6</v>
    <v>LEG Immobilien SE (XETR:LEG)</v>
    <v>2</v>
    <v>7</v>
    <v>Finance</v>
    <v>8</v>
    <v>en</v>
    <v>afso4c</v>
    <v>268435456</v>
    <v>1</v>
    <v>Powered by Refinitiv</v>
    <v>77.95</v>
    <v>52.65</v>
    <v>1.3160000000000001</v>
    <v>0.2</v>
    <v>3.32E-3</v>
    <v>EUR</v>
    <v>LEG Immobilien SE is a Germany-based Company, which provides real estate services, with approximately 166,300 rental properties and operates in Germany. The Company's portfolio consists mainly of rental and leasing business of residential units, commercial and industrial assets, followed by garages and parking spaces.</v>
    <v>1789</v>
    <v>Xetra</v>
    <v>XETR</v>
    <v>XETR</v>
    <v>Flughafenstrasse 99, DUESSELDORF, NORDRHEIN-WESTFALEN, 40474 DE</v>
    <v>60.85</v>
    <v>Real Estate Operations</v>
    <v>Stock</v>
    <v>46139.896018518521</v>
    <v>681</v>
    <v>59.7</v>
    <v>4938552000</v>
    <v>LEG Immobilien SE</v>
    <v>LEG Immobilien SE</v>
    <v>60.1</v>
    <v>3.0989</v>
    <v>60.25</v>
    <v>60.45</v>
    <v>75570800</v>
    <v>LEG</v>
    <v>LEG Immobilien SE (XETR:LEG)</v>
    <v>221130</v>
    <v>264390</v>
    <v>2021</v>
  </rv>
  <rv s="2">
    <v>682</v>
  </rv>
  <rv s="0">
    <v>https://www.bing.com/financeapi/forcetrigger?t=aznagh&amp;q=XETR%3aSHL&amp;form=skydnc</v>
    <v>Learn more on Bing</v>
  </rv>
  <rv s="3">
    <v>6</v>
    <v>Siemens Healthineers AG (XETR:SHL)</v>
    <v>2</v>
    <v>7</v>
    <v>Finance</v>
    <v>8</v>
    <v>en</v>
    <v>aznagh</v>
    <v>268435456</v>
    <v>1</v>
    <v>Powered by Refinitiv</v>
    <v>50</v>
    <v>35.200000000000003</v>
    <v>0.92959999999999998</v>
    <v>0.14000000000000001</v>
    <v>3.9509999999999997E-3</v>
    <v>EUR</v>
    <v>Siemens Healthineers AG is a Germany-based company. The Company is a global provider of healthcare products, solutions and services. It also provides clinical consulting services and training and service offerings. The Company’s segments include Imaging, Diagnostics, Varian, and Advanced Therapies. The Imaging segment offers a software solutions to support the reading and structured reporting of diagnostic images from different modalities. The Diagnostics segment offers to healthcare providers in the fields of general laboratory, specialty laboratory, and point-of-care diagnostics. The Varian segment offers a portfolio of cancer care technologies and services and support oncology departments in hospitals and clinics. The Advanced Therapies segment consists of integrated products, services and solutions used in the treatment of diseases across multiple clinical fields.</v>
    <v>72800</v>
    <v>Xetra</v>
    <v>XETR</v>
    <v>XETR</v>
    <v>Siemensstr. 3, FORCHHEIM, BAYERN, 91301 DE</v>
    <v>35.74</v>
    <v>Healthcare Equipment &amp; Supplies</v>
    <v>Stock</v>
    <v>46139.89603009259</v>
    <v>684</v>
    <v>35.26</v>
    <v>52722720000</v>
    <v>Siemens Healthineers AG</v>
    <v>Siemens Healthineers AG</v>
    <v>35.26</v>
    <v>18.667999999999999</v>
    <v>35.43</v>
    <v>35.57</v>
    <v>1128000000</v>
    <v>SHL</v>
    <v>Siemens Healthineers AG (XETR:SHL)</v>
    <v>759148</v>
    <v>1023700</v>
    <v>2017</v>
  </rv>
  <rv s="2">
    <v>685</v>
  </rv>
  <rv s="0">
    <v>https://www.bing.com/financeapi/forcetrigger?t=c45ftc&amp;q=XETR%3aESF0&amp;form=skydnc</v>
    <v>Learn more on Bing</v>
  </rv>
  <rv s="9">
    <v>20</v>
    <v>Eurofins Scientific SE (XETR:ESF0)</v>
    <v>2</v>
    <v>21</v>
    <v>Finance</v>
    <v>8</v>
    <v>en</v>
    <v>c45ftc</v>
    <v>268435456</v>
    <v>1</v>
    <v>Powered by Refinitiv</v>
    <v>0.75580000000000003</v>
    <v>-0.38</v>
    <v>-6.1429999999999992E-3</v>
    <v>EUR</v>
    <v>Eurofins Scientific SE is a Luxembourg-based company engaged in the business support services industry. The Company joins a part of international group of laboratories providing a range of analytical testing services to the pharmaceutical, food, environmental and, consumer products industries and to governments. It operates through a number of subsidiaries, such as VRL Laboratories in the United States, Institut Nehring GmbH in Germany, Agfirst Bay of Plenty, a fruit maturity testing laboratory in New Zealand, and Megalab SA, a clinical diagnostic laboratory in Spain.</v>
    <v>65694</v>
    <v>Xetra</v>
    <v>XETR</v>
    <v>XETR</v>
    <v>23 val Fleuri, LUXEMBOURG, 1526 LU</v>
    <v>63.02</v>
    <v>Biotechnology &amp; Medical Research</v>
    <v>Stock</v>
    <v>46139.896006944444</v>
    <v>687</v>
    <v>61.28</v>
    <v>13319760000</v>
    <v>Eurofins Scientific SE</v>
    <v>Eurofins Scientific SE</v>
    <v>62.3</v>
    <v>27.148199999999999</v>
    <v>61.86</v>
    <v>61.48</v>
    <v>176000000</v>
    <v>ESF0</v>
    <v>Eurofins Scientific SE (XETR:ESF0)</v>
    <v>1362</v>
    <v>363780</v>
    <v>2012</v>
  </rv>
  <rv s="2">
    <v>688</v>
  </rv>
  <rv s="0">
    <v>https://www.bing.com/financeapi/forcetrigger?t=a2cez2&amp;q=XNAS%3aCLSK&amp;form=skydnc</v>
    <v>Learn more on Bing</v>
  </rv>
  <rv s="1">
    <v>0</v>
    <v>CLEANSPARK, INC. (XNAS:CLSK)</v>
    <v>2</v>
    <v>3</v>
    <v>Finance</v>
    <v>5</v>
    <v>en</v>
    <v>a2cez2</v>
    <v>268435456</v>
    <v>1</v>
    <v>Powered by Refinitiv</v>
    <v>23.61</v>
    <v>7.82</v>
    <v>3.7526000000000002</v>
    <v>-0.51</v>
    <v>-3.9969000000000005E-2</v>
    <v>3.0599999999999999E-2</v>
    <v>2.4979999999999998E-3</v>
    <v>USD</v>
    <v>CleanSpark, Inc. is a bitcoin mining company. The Company independently owns and operates data centers across the United States with locations in Georgia, Mississippi, Tennessee and Wyoming for a total contracted power capacity of approximately 853 megawatts (MW). The Company designs its infrastructure to responsibly secure and support the bitcoin network. Its operating mining units are capable of producing over 40 exahashes per second (EH/s) of computing power. The Company operates approximately 188,500 bitcoin mining machines, with a hashrate capacity of approximately 27.6 EH/s and a fleetwide efficiency of 21.94 joules per terahash (J/TH). The Company's subsidiaries include ATL Data Centers LLC, CleanBlok, Inc., CleanSpark DW, LLC, CleanSpark GLP, LLC, CSRE Properties Washington, LLC, CSRE Properties Dalton, LLC, CSRE Property Management Company, LLC, and CSRE Properties Norcross, LLC, among others.</v>
    <v>314</v>
    <v>Nasdaq Stock Market</v>
    <v>XNAS</v>
    <v>XNAS</v>
    <v>10624 S. Eastern Ave., Suite A - 638, HENDERSON, NV, 89052 US</v>
    <v>12.7</v>
    <v>Financial Technology (Fintech) &amp; Infrastructure</v>
    <v>Stock</v>
    <v>46139.93490708281</v>
    <v>690</v>
    <v>11.97</v>
    <v>3132973025</v>
    <v>CLEANSPARK, INC.</v>
    <v>CLEANSPARK, INC.</v>
    <v>12.62</v>
    <v>0</v>
    <v>12.76</v>
    <v>12.25</v>
    <v>12.2806</v>
    <v>255752900</v>
    <v>CLSK</v>
    <v>CLEANSPARK, INC. (XNAS:CLSK)</v>
    <v>20385302</v>
    <v>20586468</v>
    <v>1987</v>
  </rv>
  <rv s="2">
    <v>691</v>
  </rv>
  <rv s="0">
    <v>https://www.bing.com/financeapi/forcetrigger?t=b1ao52&amp;q=XAMS%3aADYEN&amp;form=skydnc</v>
    <v>Learn more on Bing</v>
  </rv>
  <rv s="3">
    <v>6</v>
    <v>Adyen NV (XAMS:ADYEN)</v>
    <v>2</v>
    <v>7</v>
    <v>Finance</v>
    <v>8</v>
    <v>en</v>
    <v>b1ao52</v>
    <v>268435456</v>
    <v>1</v>
    <v>Powered by Refinitiv</v>
    <v>1750.4</v>
    <v>824.4</v>
    <v>2.4258000000000002</v>
    <v>-9</v>
    <v>-9.2300000000000004E-3</v>
    <v>EUR</v>
    <v>Adyen N.V. is a Netherlands‑based, publicly listed financial technology company providing a single platform for global payments and financial management. The company enables merchants to accept, process and settle payments across online, mobile and in‑store point‑of‑sale channels through an end‑to‑end infrastructure. Adyen’s platform covers the full payment lifecycle, including acquiring, authorization, risk management, reconciliation and settlement, and is delivered through application programming interfaces and hosted payment solutions. The company holds banking and acquiring licenses, allowing it to support unified commerce, local acquiring and embedded financial products. Adyen serves large international merchants and platform businesses across retail, travel, mobility and digital marketplaces, including Uber, H &amp; M, Netflix, eBay and Microsoft, and operates offices across Europe, North America, Latin America and Asia Pacific.</v>
    <v>4771</v>
    <v>Euronext Amsterdam</v>
    <v>XAMS</v>
    <v>XAMS</v>
    <v>Simon Carmiggeltstraat 6-50, AMSTERDAM, NOORD-HOLLAND, 1011DJ NL</v>
    <v>980.2</v>
    <v>Financial Technology (Fintech) &amp; Infrastructure</v>
    <v>Stock</v>
    <v>46139.666666666664</v>
    <v>693</v>
    <v>959.4</v>
    <v>44081990000</v>
    <v>Adyen NV</v>
    <v>Adyen NV</v>
    <v>980</v>
    <v>28.919799999999999</v>
    <v>975.1</v>
    <v>966.1</v>
    <v>31547680</v>
    <v>ADYEN</v>
    <v>Adyen NV (XAMS:ADYEN)</v>
    <v>108279</v>
    <v>135820</v>
    <v>2006</v>
  </rv>
  <rv s="2">
    <v>694</v>
  </rv>
  <rv s="25">
    <v>52</v>
    <v>Webull Corporation (XNAS:BULL)</v>
    <v>17</v>
    <v>53</v>
    <v>Finance</v>
    <v>5</v>
    <v>en</v>
    <v>c739a2</v>
    <v>268435456</v>
    <v>1</v>
    <v>Powered by Refinitiv</v>
    <v>18.850000000000001</v>
    <v>4.5</v>
    <v>0.59160000000000001</v>
    <v>0.24</v>
    <v>3.4783000000000001E-2</v>
    <v>9.4000000000000004E-3</v>
    <v>1.317E-3</v>
    <v>USD</v>
    <v>Webull Corporation is a digital investment platform built upon a next-generation global infrastructure. The Company’s platform allows its customers to invest in United States (U.S.) listed stocks, exchange-traded funds (ETFs), as well as American Depository Receipts. It offers fractional share trading for U.S.-listed stocks and ETFs on its Webull App, which allows its customers to invest in fractions of a share of a stock or ETF instead of buying or selling whole shares. It also offers trading in multiple-listed stock options, ETFs, and index options. It offers cash sweep products to its customers, allowing them to earn interest on uninvested brokerage cash that the Company sweeps to its partner banks. It provides robo-advisor services through Webull Advisors LLC. It also provides retirement investment accounts and portfolio management tools for long-term investors. It offers seamless interoperability for clients investing through mobile, tablet, Web-based, and desktop devices.</v>
    <v>1396</v>
    <v>Nasdaq Stock Market</v>
    <v>XNAS</v>
    <v>XNAS</v>
    <v>200 CARILLON PARKWAY ST. PETERSBURG, FL, 33716 US</v>
    <v>7.3949999999999996</v>
    <v>Financial Technology (Fintech) &amp; Infrastructure</v>
    <v>Stock</v>
    <v>46139.934944003908</v>
    <v>6.782</v>
    <v>3795889608</v>
    <v>Webull Corporation</v>
    <v>Webull Corporation</v>
    <v>6.8460000000000001</v>
    <v>0</v>
    <v>6.9</v>
    <v>7.14</v>
    <v>7.1494</v>
    <v>531637200</v>
    <v>BULL</v>
    <v>Webull Corporation (XNAS:BULL)</v>
    <v>13022356</v>
    <v>14442023</v>
  </rv>
  <rv s="2">
    <v>696</v>
  </rv>
  <rv s="0">
    <v>https://www.bing.com/financeapi/forcetrigger?t=c3jiw7&amp;q=XLON%3a0UMG&amp;form=skydnc</v>
    <v>Learn more on Bing</v>
  </rv>
  <rv s="26">
    <v>54</v>
    <v>Universal Music Group NV (XLON:0UMG)</v>
    <v>2</v>
    <v>55</v>
    <v>Finance</v>
    <v>56</v>
    <v>en</v>
    <v>c3jiw7</v>
    <v>268435456</v>
    <v>1</v>
    <v>Powered by Refinitiv</v>
    <v>28.390999999999998</v>
    <v>15.46</v>
    <v>1.1133</v>
    <v>-0.8901</v>
    <v>-4.3073E-2</v>
    <v>EUR</v>
    <v>Universal Music Group NV is a company based in the Netherlands which is mainly engaged in music entertainment. The Company is focused on the discovery and development of artists and songwriters and the marketing, promotion, distribution, sales and licensing of audio and audio-visual content. Universal Music Group N.V. includes music publishing companies Universal Music Publishing Group. Its recorded music catalog consists more than three million recordings includes a wide array of performers such as ABBA, Louis Armstrong, The Beatles, The Beach Boys, The Bee Gees, Ariana Grande, Imagine Dragons, Lady Gaga, James Brown, Bon Jovi, Neil Diamond, Marvin Gaye, Drake, Billie Eilish, Eminem, Selena Gomez Guns N’ Roses, Elton John, Bob Marley, Paul McCartney, Nirvana, Luciano Pavarotti, Queen, The Rolling Stones, Frank Sinatra, U2, Amy Winehouse and Stevie Wonde,r among others.</v>
    <v>10000</v>
    <v>London Stock Exchange</v>
    <v>XLON</v>
    <v>XLON</v>
    <v>S-Gravelandseweg 80, HILVERSUM, NOORD-HOLLAND, 1217EW NL</v>
    <v>Media &amp; Publishing</v>
    <v>Stock</v>
    <v>46139.651096017966</v>
    <v>698</v>
    <v>40553760000</v>
    <v>Universal Music Group NV</v>
    <v>Universal Music Group NV</v>
    <v>20.665099999999999</v>
    <v>19.774999999999999</v>
    <v>1838528000</v>
    <v>0UMG</v>
    <v>Universal Music Group NV (XLON:0UMG)</v>
    <v>100737</v>
    <v>2643470</v>
  </rv>
  <rv s="2">
    <v>699</v>
  </rv>
  <rv s="23">
    <v>12</v>
    <v>High</v>
    <v>0</v>
  </rv>
  <rv s="23">
    <v>12</v>
    <v>Low</v>
    <v>0</v>
  </rv>
  <rv s="0">
    <v>https://www.bing.com/financeapi/forcetrigger?t=a26fim&amp;q=XNYS%3aZBH&amp;form=skydnc</v>
    <v>Learn more on Bing</v>
  </rv>
  <rv s="1">
    <v>0</v>
    <v>ZIMMER BIOMET HOLDINGS, INC. (XNYS:ZBH)</v>
    <v>2</v>
    <v>3</v>
    <v>Finance</v>
    <v>4</v>
    <v>en</v>
    <v>a26fim</v>
    <v>268435456</v>
    <v>1</v>
    <v>Powered by Refinitiv</v>
    <v>108.29</v>
    <v>84.59</v>
    <v>0.56040000000000001</v>
    <v>1.33</v>
    <v>1.4574E-2</v>
    <v>0</v>
    <v>0</v>
    <v>USD</v>
    <v>Zimmer Biomet Holdings, Inc. is a global medical technology company. It designs, manufactures and markets orthopedic reconstructive products; sports medicine, biologics, extremities and trauma products; CMFT; surgical products; and a suite of integrated digital and robotic technologies that leverage data, data analytics and artificial intelligence. Its segments include Americas, EMEA, and Asia Pacific. Its products and solutions help treat patients suffering from disorders of, or injuries to, bones, joints or supporting soft tissues. Its knee brands include the Persona Knee, NexGen Knee Implants, Vanguard Knee and Oxford Partial Knee. Its hip brands include the Taperloc Hip System, Avenir Complete Hip System, Arcos Modular Hip System and G7 Acetabular System. It also focused on a suite of orthopedic robotics, enabling solutions and analytics to address the needs of surgeons pre-, intra- and post-operatively. Its portfolio features imageless robotics through its ROSA Robotics platform.</v>
    <v>17000</v>
    <v>New York Stock Exchange</v>
    <v>XNYS</v>
    <v>XNYS</v>
    <v>345 E Main St, WARSAW, IN, 46580-2746 US</v>
    <v>93.78</v>
    <v>Healthcare Equipment &amp; Supplies</v>
    <v>Stock</v>
    <v>46139.863928726561</v>
    <v>703</v>
    <v>91.24</v>
    <v>17922562969</v>
    <v>ZIMMER BIOMET HOLDINGS, INC.</v>
    <v>ZIMMER BIOMET HOLDINGS, INC.</v>
    <v>91.28</v>
    <v>25.738900000000001</v>
    <v>91.26</v>
    <v>92.59</v>
    <v>92.59</v>
    <v>193569100</v>
    <v>ZBH</v>
    <v>ZIMMER BIOMET HOLDINGS, INC. (XNYS:ZBH)</v>
    <v>2503781</v>
    <v>1916790</v>
    <v>2001</v>
  </rv>
  <rv s="2">
    <v>704</v>
  </rv>
  <rv s="0">
    <v>https://www.bing.com/financeapi/forcetrigger?t=bvsyhw&amp;q=XNYS%3aU&amp;form=skydnc</v>
    <v>Learn more on Bing</v>
  </rv>
  <rv s="1">
    <v>0</v>
    <v>Unity Software Inc (XNYS:U)</v>
    <v>2</v>
    <v>3</v>
    <v>Finance</v>
    <v>5</v>
    <v>en</v>
    <v>bvsyhw</v>
    <v>268435456</v>
    <v>1</v>
    <v>Powered by Refinitiv</v>
    <v>52.15</v>
    <v>16.78</v>
    <v>2.0327999999999999</v>
    <v>0.64</v>
    <v>2.4605999999999999E-2</v>
    <v>8.9999999999999998E-4</v>
    <v>3.3779999999999998E-5</v>
    <v>USD</v>
    <v>Unity Software Inc. provides a platform for creating and growing games and interactive experiences. The Company offers a suite of tools across all platforms, from mobile, PC, and console, to extended reality (XR). Its set of software, including artificial intelligence (AI) solutions, supports creators through the entire development lifecycle. The Company’s platform consists of two complementary sets of solutions: Create Solutions and Grow Solutions. Create Solutions is a robust set of tools and services used to build, ship and run high-definition, real-time two-dimensional (2D) and three-dimensional (3D) content. Designed for developers, these tools and services are used across a range of industries, ranging from games to aerospace, construction to retail, medical to manufacturing, and others. Grow Solutions offers customers the ability to engage their user base and monetize their content from 2D puzzle games to multiplayer, multi-platform games, or other 3D interactive content.</v>
    <v>4412</v>
    <v>New York Stock Exchange</v>
    <v>XNYS</v>
    <v>XNYS</v>
    <v>116 New Montgomery Street, SAN FRANCISCO, CA, 94105-3607 US</v>
    <v>26.83</v>
    <v>Software &amp; IT Services</v>
    <v>Stock</v>
    <v>46139.933861307814</v>
    <v>706</v>
    <v>25.62</v>
    <v>11628194500</v>
    <v>Unity Software Inc</v>
    <v>Unity Software Inc</v>
    <v>25.99</v>
    <v>0</v>
    <v>26.01</v>
    <v>26.65</v>
    <v>26.640899999999998</v>
    <v>436330000</v>
    <v>U</v>
    <v>Unity Software Inc (XNYS:U)</v>
    <v>8538484</v>
    <v>15114019</v>
    <v>2009</v>
  </rv>
  <rv s="2">
    <v>707</v>
  </rv>
  <rv s="0">
    <v>https://www.bing.com/financeapi/forcetrigger?t=a1vtzr&amp;q=XNAS%3aITCI&amp;form=skydnc</v>
    <v>Learn more on Bing</v>
  </rv>
  <rv s="27">
    <v>57</v>
    <v>INTRA-CELLULAR THERAPIES, INC. (XNAS:ITCI)</v>
    <v>2</v>
    <v>58</v>
    <v>Finance</v>
    <v>59</v>
    <v>en</v>
    <v>a1vtzr</v>
    <v>268435456</v>
    <v>1</v>
    <v>1</v>
    <v>Powered by Refinitiv</v>
    <v>131.97999999999999</v>
    <v>64.09</v>
    <v>0.41739999999999999</v>
    <v>0</v>
    <v>0</v>
    <v>USD</v>
    <v>Intra-Cellular Therapies, Inc. is a biopharmaceutical company focused on the development and commercialization of therapeutics for central nervous system (CNS) disorders. The Company leverages intracellular approach to develop treatments for people living with complex psychiatric and neurologic diseases. The Company’s product, CAPLYTA (lumateperone), is an oral, once daily atypical antipsychotic approved in adults for the treatment of schizophrenia and the treatment of depressive episodes associated with bipolar I or II disorder (bipolar depression) as monotherapy and as adjunctive therapy with lithium or valproate. Its pipeline includes several product candidates in clinical development and additional product candidates in non-clinical testing, such as ITI-1284-ODT-SL program, Phosphodiesterase type I inhibitor (PDE1) program, ITI-333 program, and ITI-1500 Non-Hallucinogenic Psychedelic program. ITI-1284 is a deuterated form of lumateperone, a new chemical entity.</v>
    <v>860</v>
    <v>Nasdaq Stock Market</v>
    <v>XNAS</v>
    <v>XNAS</v>
    <v>135 Route 202/206, Suite 6, BEDMINSTER, NJ, 07921 US</v>
    <v>131.97999999999999</v>
    <v>Pharmaceuticals</v>
    <v>Stock</v>
    <v>45748.986767245311</v>
    <v>709</v>
    <v>131.63</v>
    <v>14047003392</v>
    <v>INTRA-CELLULAR THERAPIES, INC.</v>
    <v>INTRA-CELLULAR THERAPIES, INC.</v>
    <v>131.9</v>
    <v>0</v>
    <v>131.91999999999999</v>
    <v>131.87</v>
    <v>106521600</v>
    <v>ITCI</v>
    <v>INTRA-CELLULAR THERAPIES, INC. (XNAS:ITCI)</v>
    <v>16062974</v>
    <v>2556634</v>
    <v>2012</v>
  </rv>
  <rv s="2">
    <v>710</v>
  </rv>
  <rv s="0">
    <v>https://www.bing.com/financeapi/forcetrigger?t=bqoqww&amp;q=XNAS%3aADPT&amp;form=skydnc</v>
    <v>Learn more on Bing</v>
  </rv>
  <rv s="1">
    <v>0</v>
    <v>ADAPTIVE BIOTECHNOLOGIES CORPORATION (XNAS:ADPT)</v>
    <v>2</v>
    <v>3</v>
    <v>Finance</v>
    <v>5</v>
    <v>en</v>
    <v>bqoqww</v>
    <v>268435456</v>
    <v>1</v>
    <v>Powered by Refinitiv</v>
    <v>20.76</v>
    <v>7.16</v>
    <v>2.1861000000000002</v>
    <v>7.0000000000000007E-2</v>
    <v>4.9499999999999995E-3</v>
    <v>0</v>
    <v>0</v>
    <v>USD</v>
    <v>Adaptive Biotechnologies Corporation is a commercial-stage biotechnology company. The Company is focused on harnessing the inherent biology of the adaptive immune system to transform the diagnosis and treatment of disease. Its immune medicine platform reveals and translates the massive genetics of the adaptive immune system with scale, precision and speed. It applies its platform to partner with biopharmaceutical companies, inform drug development, and develop clinical diagnostics across its two business segments: Minimal Residual Disease (MRD) and Immune Medicine. The MRD business focuses on the use of its sensitive, next-generation sequencing (NGS) assay to measure MRD in patients with hematologic malignancies. Its MRD business is comprised of its clonoSEQ clinical diagnostic test, offered to clinicians. The IM business focuses on the discovery and development of transformative immune-based therapies in the treatment of patients with cancer and autoimmune diseases.</v>
    <v>624</v>
    <v>Nasdaq Stock Market</v>
    <v>XNAS</v>
    <v>XNAS</v>
    <v>1165 Eastlake Ave E, SEATTLE, WA, 98109 US</v>
    <v>14.36</v>
    <v>Biotechnology &amp; Medical Research</v>
    <v>Stock</v>
    <v>46139.925228182816</v>
    <v>712</v>
    <v>14.03</v>
    <v>2188078536</v>
    <v>ADAPTIVE BIOTECHNOLOGIES CORPORATION</v>
    <v>ADAPTIVE BIOTECHNOLOGIES CORPORATION</v>
    <v>14.03</v>
    <v>0</v>
    <v>14.14</v>
    <v>14.21</v>
    <v>14.21</v>
    <v>153981600</v>
    <v>ADPT</v>
    <v>ADAPTIVE BIOTECHNOLOGIES CORPORATION (XNAS:ADPT)</v>
    <v>1063436</v>
    <v>1852505</v>
    <v>2009</v>
  </rv>
  <rv s="2">
    <v>713</v>
  </rv>
  <rv s="0">
    <v>https://www.bing.com/financeapi/forcetrigger?t=alo7kr&amp;q=XAMS%3aFLOW&amp;form=skydnc</v>
    <v>Learn more on Bing</v>
  </rv>
  <rv s="3">
    <v>6</v>
    <v>Flow Traders Ltd. (XAMS:FLOW)</v>
    <v>2</v>
    <v>7</v>
    <v>Finance</v>
    <v>8</v>
    <v>en</v>
    <v>alo7kr</v>
    <v>268435456</v>
    <v>1</v>
    <v>Powered by Refinitiv</v>
    <v>30.06</v>
    <v>22.1</v>
    <v>6.1100000000000002E-2</v>
    <v>0.06</v>
    <v>2.1260000000000003E-3</v>
    <v>EUR</v>
    <v>Flow Traders Ltd. is a Netherlands-based financial technology company. The Company operates in the global financial markets, using its technology platform to provide liquidity by quoting bid and asking prices for various financial products. Its core trading focus is on exchange-traded products (ETPs) and it enables investors to buy and sell ETPs by quoting bid and ask prices under virtually all market circumstances. The Company provides this liquidity via two main routes: on screen, which is conducted on stock exchanges where the Company is a registered market maker in ETPs and off exchange, where it trades bilaterally with institutional counterparties, often through request for quote (RfQ) platforms, such as those operated by Tradeweb, MarketAxess and Bloomberg. It has diversified its market making activities across multiple asset classes, such as fixed income, cryptocurrency, Foreign Exchange (FX), and commodity.</v>
    <v>635</v>
    <v>Euronext Amsterdam</v>
    <v>XAMS</v>
    <v>XAMS</v>
    <v>Canons Court 22 Victoria Street, HM 12 BM</v>
    <v>28.28</v>
    <v>Investment Banking &amp; Investment Services</v>
    <v>Stock</v>
    <v>46139.666666666664</v>
    <v>715</v>
    <v>26.96</v>
    <v>1186549000</v>
    <v>Flow Traders Ltd.</v>
    <v>Flow Traders Ltd.</v>
    <v>27.9</v>
    <v>9.2027000000000001</v>
    <v>28.22</v>
    <v>28.28</v>
    <v>45671640</v>
    <v>FLOW</v>
    <v>Flow Traders Ltd. (XAMS:FLOW)</v>
    <v>178757</v>
    <v>136230</v>
    <v>2023</v>
  </rv>
  <rv s="2">
    <v>716</v>
  </rv>
  <rv s="0">
    <v>https://www.bing.com/financeapi/forcetrigger?t=c4xjc7&amp;q=XNAS%3aCEG&amp;form=skydnc</v>
    <v>Learn more on Bing</v>
  </rv>
  <rv s="1">
    <v>0</v>
    <v>CONSTELLATION ENERGY CORPORATION. (XNAS:CEG)</v>
    <v>2</v>
    <v>3</v>
    <v>Finance</v>
    <v>5</v>
    <v>en</v>
    <v>c4xjc7</v>
    <v>268435456</v>
    <v>1</v>
    <v>Powered by Refinitiv</v>
    <v>412.7</v>
    <v>216.75</v>
    <v>1.1649</v>
    <v>1.64</v>
    <v>5.2310000000000004E-3</v>
    <v>0.85</v>
    <v>2.6969999999999997E-3</v>
    <v>USD</v>
    <v>Constellation Energy Corporation is a producer of emissions-free energy and an energy supplier to businesses, homes and public sector customers nationwide. The Company’s nuclear, hydro, wind, and solar generation facilities have the generating capacity to power the equivalent of 27 million homes, providing about 10% of the nation’s clean energy. Its segments include Mid-Atlantic, Midwest, New York, ERCOT, and Other Power Regions. Through its integrated business operations, it sells electricity, natural gas, and other energy-related products and sustainable solutions to various types of customers, including distribution utilities, municipalities, cooperatives, commercial, industrial, public sector, and residential customers in markets across multiple geographic regions. It operates approximately 55 gigawatts of capacity from nuclear, natural gas, geothermal, hydro, wind and solar facilities.</v>
    <v>15291</v>
    <v>Nasdaq Stock Market</v>
    <v>XNAS</v>
    <v>XNAS</v>
    <v>1310 Point Street, BALTIMORE, MD, 21231 US</v>
    <v>318.5</v>
    <v>Electrical Utilities &amp; IPPs</v>
    <v>Stock</v>
    <v>46139.934907789066</v>
    <v>718</v>
    <v>304.12</v>
    <v>114184420599</v>
    <v>CONSTELLATION ENERGY CORPORATION.</v>
    <v>CONSTELLATION ENERGY CORPORATION.</v>
    <v>318</v>
    <v>42.6205</v>
    <v>313.52999999999997</v>
    <v>315.17</v>
    <v>316.02</v>
    <v>362294700</v>
    <v>CEG</v>
    <v>CONSTELLATION ENERGY CORPORATION. (XNAS:CEG)</v>
    <v>2371322</v>
    <v>3018760</v>
    <v>2021</v>
  </rv>
  <rv s="2">
    <v>719</v>
  </rv>
  <rv s="0">
    <v>https://www.bing.com/financeapi/forcetrigger?t=a1x5k2&amp;q=XNAS%3aLTBR&amp;form=skydnc</v>
    <v>Learn more on Bing</v>
  </rv>
  <rv s="1">
    <v>0</v>
    <v>LIGHTBRIDGE CORPORATION (XNAS:LTBR)</v>
    <v>2</v>
    <v>3</v>
    <v>Finance</v>
    <v>5</v>
    <v>en</v>
    <v>a1x5k2</v>
    <v>268435456</v>
    <v>1</v>
    <v>Powered by Refinitiv</v>
    <v>31.335000000000001</v>
    <v>8.52</v>
    <v>2.1867000000000001</v>
    <v>0.52</v>
    <v>4.1237000000000003E-2</v>
    <v>-7.0000000000000007E-2</v>
    <v>-5.3309999999999998E-3</v>
    <v>USD</v>
    <v>Lightbridge Corporation is a nuclear fuel technology development company. The Company is developing Lightbridge Fuel, a proprietary next-generation nuclear fuel technology for existing light-water and pressurized heavy-water reactors, significantly enhancing reactor safety, economics, and proliferation resistance. The Company is also developing Lightbridge Fuel for new small modular reactors (SMRs) to deliver the same benefits, plus load-following with renewables, on a zero-carbon electric grid. The Company is developing next generation nuclear fuel for water-cooled reactors that could improve the economics and safety of existing and new nuclear power plants, large and small, and enhance proliferation resistance of spent nuclear fuel while supplying clean energy to the electric grid or to behind the meter customers for electric power, including data centers. Its segment includes nuclear fuel technology.</v>
    <v>13</v>
    <v>Nasdaq Stock Market</v>
    <v>XNAS</v>
    <v>XNAS</v>
    <v>11710 Plaza America Drive, Suite 2000, RESTON, VA, 20190 US</v>
    <v>13.29</v>
    <v>Professional &amp; Commercial Services</v>
    <v>Stock</v>
    <v>46139.927216365628</v>
    <v>721</v>
    <v>12.59</v>
    <v>454975245</v>
    <v>LIGHTBRIDGE CORPORATION</v>
    <v>LIGHTBRIDGE CORPORATION</v>
    <v>12.64</v>
    <v>0</v>
    <v>12.61</v>
    <v>13.13</v>
    <v>13.06</v>
    <v>34651580</v>
    <v>LTBR</v>
    <v>LIGHTBRIDGE CORPORATION (XNAS:LTBR)</v>
    <v>761941</v>
    <v>871314</v>
    <v>1999</v>
  </rv>
  <rv s="2">
    <v>722</v>
  </rv>
  <rv s="7">
    <v>16</v>
    <v>KLAVIYO, INC. (XNYS:KVYO)</v>
    <v>17</v>
    <v>15</v>
    <v>Finance</v>
    <v>4</v>
    <v>en</v>
    <v>caq2z2</v>
    <v>268435456</v>
    <v>1</v>
    <v>Powered by Refinitiv</v>
    <v>37.79</v>
    <v>15.53</v>
    <v>1.2869999999999999</v>
    <v>0.01</v>
    <v>5.1409999999999997E-4</v>
    <v>-0.05</v>
    <v>-2.5690000000000001E-3</v>
    <v>USD</v>
    <v>Klaviyo, Inc. provides a customer relationship management (CRM) platform for business-to-consumer (B2C) brands. The Company, through its built-in data platform and artificial intelligence (AI) insights, combines marketing automation, analytics, and customer service into one unified solution, making it easy for businesses to know their customers. The Company’s marketing automation solution allows customers to orchestrate campaigns across multiple marketing channels including email, short message service and mobile push. Its platform solutions include Klaviyo B2C CRM, Klaviyo Marketing, Klaviyo Service, Klaviyo Analytics, Klaviyo Data Platform, and Klaviyo AI. The Klaviyo B2C CRM is a platform built for consumer brands. Its platform serves businesses of all sizes, across industries and geographies. Its platform solution also includes Gatsby, a social automation product that helps brands convert engagement over social channels into owned customer relationships.</v>
    <v>2368</v>
    <v>New York Stock Exchange</v>
    <v>XNYS</v>
    <v>XNYS</v>
    <v>125 Summer Street, Floor 6, BOSTON, MA, 02110 US</v>
    <v>20.149999999999999</v>
    <v>Software &amp; IT Services</v>
    <v>Stock</v>
    <v>46139.912022881254</v>
    <v>19.155000000000001</v>
    <v>5930903986</v>
    <v>KLAVIYO, INC.</v>
    <v>KLAVIYO, INC.</v>
    <v>19.27</v>
    <v>19.45</v>
    <v>19.46</v>
    <v>19.41</v>
    <v>304774100</v>
    <v>KVYO</v>
    <v>KLAVIYO, INC. (XNYS:KVYO)</v>
    <v>2101778</v>
    <v>3998995</v>
    <v>2012</v>
  </rv>
  <rv s="2">
    <v>724</v>
  </rv>
  <rv s="0">
    <v>https://www.bing.com/financeapi/forcetrigger?t=a1nhlh&amp;q=XNAS%3aAMZN&amp;form=skydnc</v>
    <v>Learn more on Bing</v>
  </rv>
  <rv s="1">
    <v>0</v>
    <v>AMAZON.COM, INC. (XNAS:AMZN)</v>
    <v>2</v>
    <v>3</v>
    <v>Finance</v>
    <v>5</v>
    <v>en</v>
    <v>a1nhlh</v>
    <v>268435456</v>
    <v>1</v>
    <v>Powered by Refinitiv</v>
    <v>264.5</v>
    <v>178.85</v>
    <v>1.4643999999999999</v>
    <v>-2.92</v>
    <v>-1.1061000000000001E-2</v>
    <v>0.72</v>
    <v>2.7569999999999999E-3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1576000</v>
    <v>Nasdaq Stock Market</v>
    <v>XNAS</v>
    <v>XNAS</v>
    <v>410 Terry Avenue North, SEATTLE, WA, 98109 US</v>
    <v>264.14999999999998</v>
    <v>Diversified Retail</v>
    <v>Stock</v>
    <v>46139.935314501563</v>
    <v>726</v>
    <v>260.33999999999997</v>
    <v>2807648597300</v>
    <v>AMAZON.COM, INC.</v>
    <v>AMAZON.COM, INC.</v>
    <v>263.45999999999998</v>
    <v>36.400300000000001</v>
    <v>263.99</v>
    <v>261.07</v>
    <v>261.83999999999997</v>
    <v>10754390000</v>
    <v>AMZN</v>
    <v>AMAZON.COM, INC. (XNAS:AMZN)</v>
    <v>44855933</v>
    <v>46214826</v>
    <v>1996</v>
  </rv>
  <rv s="2">
    <v>727</v>
  </rv>
  <rv s="0">
    <v>https://www.bing.com/financeapi/forcetrigger?t=a1wma2&amp;q=XNAS%3aKOPN&amp;form=skydnc</v>
    <v>Learn more on Bing</v>
  </rv>
  <rv s="1">
    <v>0</v>
    <v>KOPIN CORPORATION (XNAS:KOPN)</v>
    <v>2</v>
    <v>3</v>
    <v>Finance</v>
    <v>5</v>
    <v>en</v>
    <v>a1wma2</v>
    <v>268435456</v>
    <v>1</v>
    <v>Powered by Refinitiv</v>
    <v>4.16</v>
    <v>1.18</v>
    <v>3.1343999999999999</v>
    <v>0.01</v>
    <v>2.7029999999999997E-3</v>
    <v>-0.08</v>
    <v>-2.1562999999999999E-2</v>
    <v>USD</v>
    <v>Kopin Corporation is a developer and provider of application-specific optical solutions consisting of high-resolution micro-displays and optics, subassemblies, and headsets. Its portfolio consists of four types of miniature active-matrix liquid crystal displays (AMLCDs), liquid crystal on silicon (LCOS) displays, organic light-emitting diode (OLED) displays, and emerging micro-light-emitting diode (MicroLED) displays, in addition to optics, electronics, and housing for subsystems, such as Application Specific Optical Solutions (ASOS). Its AMLCDs, branded as CyberDisplay products, utilize a proprietary process involving the transfer of integrated circuits from silicon wafers to glass. The Company’s products are used for defense applications (thermal weapon rifle sights, fixed and rotary wing pilot helmets, and training and simulation headsets); industrial and medical headsets, and three-dimensional (3D) optical inspection systems.</v>
    <v>145</v>
    <v>Nasdaq Stock Market</v>
    <v>XNAS</v>
    <v>XNAS</v>
    <v>125 North Dr, WESTBOROUGH, MA, 01581 US</v>
    <v>3.95</v>
    <v>Semiconductors &amp; Semiconductor Equipment</v>
    <v>Stock</v>
    <v>46139.933591180466</v>
    <v>729</v>
    <v>3.56</v>
    <v>680278214</v>
    <v>KOPIN CORPORATION</v>
    <v>KOPIN CORPORATION</v>
    <v>3.81</v>
    <v>476.19049999999999</v>
    <v>3.7</v>
    <v>3.71</v>
    <v>3.63</v>
    <v>183363400</v>
    <v>KOPN</v>
    <v>KOPIN CORPORATION (XNAS:KOPN)</v>
    <v>5671598</v>
    <v>4386099</v>
    <v>1984</v>
  </rv>
  <rv s="2">
    <v>730</v>
  </rv>
  <rv s="0">
    <v>https://www.bing.com/financeapi/forcetrigger?t=bx1rdm&amp;q=XNYS%3aSMR&amp;form=skydnc</v>
    <v>Learn more on Bing</v>
  </rv>
  <rv s="1">
    <v>0</v>
    <v>NUSCALE POWER CORPORATION (XNYS:SMR)</v>
    <v>2</v>
    <v>3</v>
    <v>Finance</v>
    <v>5</v>
    <v>en</v>
    <v>bx1rdm</v>
    <v>268435456</v>
    <v>1</v>
    <v>Powered by Refinitiv</v>
    <v>57.42</v>
    <v>8.85</v>
    <v>2.2347999999999999</v>
    <v>0.67</v>
    <v>5.602E-2</v>
    <v>-5.0200000000000002E-2</v>
    <v>-3.9680000000000002E-3</v>
    <v>USD</v>
    <v>NuScale Power Corporation is a provider of proprietary advanced small modular reactor (SMR) nuclear technology. The NuScale Power Module, the Company's SMR technology, is a small pressurized water reactor that can generate approximately 77 megawatts of electricity (MWe) or 250 megawatts thermal (gross) and can be scaled to meet customer needs through an array of flexible configurations of up to 924 MWe (12 modules) of output. In addition to the sale of NPMs, it offers a diversified suite of services throughout the development and operating life of the power plant. The Company's suite of services is planned to include licensing support, testing, training, fuel supply services and program management, among others. It serves a range of customers consisting of domestic and international governments, utilities, state-owned enterprises and technology and industrial companies in need of carbon-free, reliable energy.</v>
    <v>428</v>
    <v>New York Stock Exchange</v>
    <v>XNYS</v>
    <v>XNYS</v>
    <v>1100 Ne Circle Blvd., Suite 350, CORVALLIS, OR, 97330 US</v>
    <v>12.74</v>
    <v>Electrical Utilities &amp; IPPs</v>
    <v>Stock</v>
    <v>46139.935020392972</v>
    <v>732</v>
    <v>11.7</v>
    <v>4333472985</v>
    <v>NUSCALE POWER CORPORATION</v>
    <v>NUSCALE POWER CORPORATION</v>
    <v>11.76</v>
    <v>0</v>
    <v>11.96</v>
    <v>12.63</v>
    <v>12.5998</v>
    <v>343109500</v>
    <v>SMR</v>
    <v>NUSCALE POWER CORPORATION (XNYS:SMR)</v>
    <v>34036716</v>
    <v>33292796</v>
    <v>2022</v>
  </rv>
  <rv s="2">
    <v>733</v>
  </rv>
  <rv s="0">
    <v>https://www.bing.com/financeapi/forcetrigger?t=a1x8nm&amp;q=XNYS%3aLYV&amp;form=skydnc</v>
    <v>Learn more on Bing</v>
  </rv>
  <rv s="1">
    <v>0</v>
    <v>LIVE NATION ENTERTAINMENT, INC. (XNYS:LYV)</v>
    <v>2</v>
    <v>3</v>
    <v>Finance</v>
    <v>5</v>
    <v>en</v>
    <v>a1x8nm</v>
    <v>268435456</v>
    <v>1</v>
    <v>Powered by Refinitiv</v>
    <v>175.25</v>
    <v>125.34</v>
    <v>1.1168</v>
    <v>-0.02</v>
    <v>-1.2770000000000001E-4</v>
    <v>0</v>
    <v>0</v>
    <v>USD</v>
    <v>Live Nation Entertainment, Inc. is a live entertainment company. The Company is a producer of live music concerts. Its segments include Concerts, Ticketing and Sponsorship &amp; Advertising. The Concerts segment principally involves the global promotion of live music events in its owned or operated venues and in rented third-party venues, the operation and management of music venues, the production of music festivals across the world, the creation of associated content and the provision of management and other services to artists. The Ticketing segment is an agency business that sells tickets for events on behalf of its clients. The Sponsorship &amp; Advertising segment employs a sales force that creates and maintains relationships with sponsors through a combination of strategic, international, national, and local opportunities that allow businesses to reach customers through its concert, festival, venue and ticketing assets, including advertising on its Websites.</v>
    <v>17700</v>
    <v>New York Stock Exchange</v>
    <v>XNYS</v>
    <v>XNYS</v>
    <v>9348 Civic Center Dr, BEVERLY HILLS, CA, 90210 US</v>
    <v>158</v>
    <v>Media &amp; Publishing</v>
    <v>Stock</v>
    <v>46139.930375289063</v>
    <v>735</v>
    <v>154.54</v>
    <v>36393507484</v>
    <v>LIVE NATION ENTERTAINMENT, INC.</v>
    <v>LIVE NATION ENTERTAINMENT, INC.</v>
    <v>155.41999999999999</v>
    <v>0</v>
    <v>156.63999999999999</v>
    <v>156.62</v>
    <v>156.49</v>
    <v>232368200</v>
    <v>LYV</v>
    <v>LIVE NATION ENTERTAINMENT, INC. (XNYS:LYV)</v>
    <v>2177625</v>
    <v>3015529</v>
    <v>2005</v>
  </rv>
  <rv s="2">
    <v>736</v>
  </rv>
  <rv s="0">
    <v>https://www.bing.com/financeapi/forcetrigger?t=c1w7rw&amp;q=XNYS%3aPL&amp;form=skydnc</v>
    <v>Learn more on Bing</v>
  </rv>
  <rv s="1">
    <v>0</v>
    <v>PLANET LABS PBC (XNYS:PL)</v>
    <v>2</v>
    <v>3</v>
    <v>Finance</v>
    <v>5</v>
    <v>en</v>
    <v>c1w7rw</v>
    <v>268435456</v>
    <v>1</v>
    <v>Powered by Refinitiv</v>
    <v>41.71</v>
    <v>3.17</v>
    <v>1.8783000000000001</v>
    <v>5.0000000000000001E-3</v>
    <v>1.4109999999999999E-4</v>
    <v>0.08</v>
    <v>2.2570000000000003E-3</v>
    <v>USD</v>
    <v>Planet Labs PBC is a provider of global, daily satellite imagery and geospatial solutions. It designs, builds, and operates the earth observation fleet of imaging satellites. It provides mission-critical data, advanced insights, and software solutions comprising agriculture, forestry, intelligence, education and finance companies and government agencies, enabling users to derive value from satellite imagery. Its satellite data and analytics reveal actionable insights regarding phenomena, such as deforestation, agriculture, climate change, biodiversity, and supply chains worldwide. Its daily stream of proprietary data and machine learning analytics, delivered over its cloud-native platform, helps companies, governments and civil society use satellite imagery to discover insights as change happens. Its digital technology platform includes Agile Aerospace, Proprietary Big Data, and Platform and Analytics. Its products include Planet Monitoring, Planet Tasking, and others.</v>
    <v>945</v>
    <v>New York Stock Exchange</v>
    <v>XNYS</v>
    <v>XNYS</v>
    <v>645 Harrison Street, Floor 4, SAN FRANCISCO, CA, 94107 US</v>
    <v>36.229999999999997</v>
    <v>Aerospace &amp; Defense</v>
    <v>Stock</v>
    <v>46139.934547939061</v>
    <v>738</v>
    <v>33.630000000000003</v>
    <v>12269251305</v>
    <v>PLANET LABS PBC</v>
    <v>PLANET LABS PBC</v>
    <v>35.47</v>
    <v>0</v>
    <v>35.44</v>
    <v>35.445</v>
    <v>35.53</v>
    <v>346149000</v>
    <v>PL</v>
    <v>PLANET LABS PBC (XNYS:PL)</v>
    <v>7751823</v>
    <v>17497139</v>
    <v>2020</v>
  </rv>
  <rv s="2">
    <v>739</v>
  </rv>
  <rv s="0">
    <v>https://www.bing.com/financeapi/forcetrigger?t=aeactc&amp;q=XPAR%3aVK&amp;form=skydnc</v>
    <v>Learn more on Bing</v>
  </rv>
  <rv s="3">
    <v>6</v>
    <v>Vallourec SA (XPAR:VK)</v>
    <v>2</v>
    <v>7</v>
    <v>Finance</v>
    <v>8</v>
    <v>en</v>
    <v>aeactc</v>
    <v>268435456</v>
    <v>1</v>
    <v>Powered by Refinitiv</v>
    <v>25.67</v>
    <v>14.56</v>
    <v>0.40810000000000002</v>
    <v>0</v>
    <v>0</v>
    <v>EUR</v>
    <v>Vallourec SA is a France-based company specializes in production of non-welded steel tubes and specialized tube products for industrial applications. The Company operates through two segments: seamless tubes and specialty products. It designs and develops a comprehensive range of products including seamless tubes and connections for drilling operations, line pipes and well equipment. For the power generation market, it offers tubes that withstand severe temperature and pressure conditions. Its solutions enable power companies to meet the challenges of energy efficiency and reduce CO2 emissions in power plants. It also offers a wide range of tubes for petrochemical installations (refineries), for mechanical engineering applications (hydraulic cylinders and machine tools), for the automotive industry, for construction (stadiums, other complex buildings and structures) and for various other industrial sectors.</v>
    <v>12269</v>
    <v>Euronext Paris</v>
    <v>XPAR</v>
    <v>XPAR</v>
    <v>12 Rue de la Verrerie, MEUDON, ILE-DE-FRANCE, 92190 FR</v>
    <v>25.67</v>
    <v>Oil &amp; Gas Related Equipment and Services</v>
    <v>Stock</v>
    <v>46139.666666666664</v>
    <v>741</v>
    <v>25.11</v>
    <v>4049726000</v>
    <v>Vallourec SA</v>
    <v>Vallourec SA</v>
    <v>25.32</v>
    <v>16.674399999999999</v>
    <v>25.17</v>
    <v>25.17</v>
    <v>234359100</v>
    <v>VK</v>
    <v>Vallourec SA (XPAR:VK)</v>
    <v>668104</v>
    <v>683320</v>
    <v>1955</v>
  </rv>
  <rv s="2">
    <v>742</v>
  </rv>
  <rv s="0">
    <v>https://www.bing.com/financeapi/forcetrigger?t=c1b4z2&amp;q=XNAS%3aSATL&amp;form=skydnc</v>
    <v>Learn more on Bing</v>
  </rv>
  <rv s="1">
    <v>0</v>
    <v>SATELLOGIC INC. (XNAS:SATL)</v>
    <v>2</v>
    <v>3</v>
    <v>Finance</v>
    <v>5</v>
    <v>en</v>
    <v>c1b4z2</v>
    <v>268435456</v>
    <v>1</v>
    <v>Powered by Refinitiv</v>
    <v>8.35</v>
    <v>1.2549999999999999</v>
    <v>1.0277000000000001</v>
    <v>9.5000000000000001E-2</v>
    <v>1.5397000000000001E-2</v>
    <v>-0.03</v>
    <v>-4.7889999999999999E-3</v>
    <v>USD</v>
    <v>Satellogic Inc. is a vertically integrated geospatial analytics company. It is a provider of high-resolution satellite imagery to governments and commercial customers worldwide. Through its subsidiaries, the Company invests in the software, hardware, and optics of the aerospace industry, focusing on satellite and image analytics technologies. It is engaged in building a fully automated earth observation platform with the ability to remap the entire planet at both high-frequency and high-resolution, making satellite imagery accessible to drive global decision-making. It offers the purchase-to-orbit opportunity for submeter optical satellites. Its Space Systems offering includes NewSat Mark V models; high-launch cadence via SpaceX; direct tasking over any point of interest; optional end-to-end support, including ground segment and data management; global access empowering sovereign missions, and add-on supplemental coverage for multiple daily revisits via the satellogic constellation.</v>
    <v>154</v>
    <v>Nasdaq Stock Market</v>
    <v>XNAS</v>
    <v>XNAS</v>
    <v>210 Delburg Street, DAVIDSON, NC, 28036 US</v>
    <v>6.28</v>
    <v>Telecommunications Services</v>
    <v>Stock</v>
    <v>46139.934056678125</v>
    <v>744</v>
    <v>5.93</v>
    <v>897420527</v>
    <v>SATELLOGIC INC.</v>
    <v>SATELLOGIC INC.</v>
    <v>6.19</v>
    <v>0</v>
    <v>6.17</v>
    <v>6.2649999999999997</v>
    <v>6.2350000000000003</v>
    <v>143243500</v>
    <v>SATL</v>
    <v>SATELLOGIC INC. (XNAS:SATL)</v>
    <v>4476074</v>
    <v>15228394</v>
    <v>2025</v>
  </rv>
  <rv s="2">
    <v>745</v>
  </rv>
  <rv s="0">
    <v>https://www.bing.com/financeapi/forcetrigger?t=a2si9c&amp;q=XNAS%3aPOET&amp;form=skydnc</v>
    <v>Learn more on Bing</v>
  </rv>
  <rv s="1">
    <v>0</v>
    <v>POET Technologies Inc. (XNAS:POET)</v>
    <v>2</v>
    <v>3</v>
    <v>Finance</v>
    <v>5</v>
    <v>en</v>
    <v>a2si9c</v>
    <v>268435456</v>
    <v>1</v>
    <v>Powered by Refinitiv</v>
    <v>15.5</v>
    <v>3.78</v>
    <v>1.5167999999999999</v>
    <v>-7.15</v>
    <v>-0.47350999999999999</v>
    <v>-0.47989999999999999</v>
    <v>-6.0365000000000002E-2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10.42</v>
    <v>Semiconductors &amp; Semiconductor Equipment</v>
    <v>Stock</v>
    <v>46139.93499012656</v>
    <v>747</v>
    <v>7.5</v>
    <v>2305939120</v>
    <v>POET Technologies Inc.</v>
    <v>POET Technologies Inc.</v>
    <v>9.5649999999999995</v>
    <v>0</v>
    <v>15.1</v>
    <v>7.95</v>
    <v>7.4701000000000004</v>
    <v>152711200</v>
    <v>POET</v>
    <v>POET Technologies Inc. (XNAS:POET)</v>
    <v>195944054</v>
    <v>21090320</v>
    <v>2010</v>
  </rv>
  <rv s="2">
    <v>748</v>
  </rv>
  <rv s="0">
    <v>https://www.bing.com/financeapi/forcetrigger?t=c4qk3m&amp;q=XMIL%3aIVG&amp;form=skydnc</v>
    <v>Learn more on Bing</v>
  </rv>
  <rv s="3">
    <v>6</v>
    <v>Iveco Group NV (XMIL:IVG)</v>
    <v>2</v>
    <v>7</v>
    <v>Finance</v>
    <v>13</v>
    <v>en</v>
    <v>c4qk3m</v>
    <v>268435456</v>
    <v>1</v>
    <v>Powered by Refinitiv</v>
    <v>14.04</v>
    <v>9.7200000000000006</v>
    <v>2.0695000000000001</v>
    <v>1.4999999999999999E-2</v>
    <v>1.0730000000000002E-3</v>
    <v>EUR</v>
    <v>Iveco Group NV is an Italy-based company engaged in the Automotive Industry. The Company operates through different brands in several sectors, including Commercial &amp; Specialty Vehicles, Powertrain and Financial Services: Iveco, a commercial brand that designs, manufactures and sells heavy, medium, and light trucks; FPT Industrial active in powertrain technology in the agricultural, construction, marine, energy and commercial vehicle sectors; Iveco Bus and Heuliez, brands of buses and coaches; Iveco Defence Vehicles, operating in defense and civil protection equipment; Astra, active in heavy construction and quarrying vehicles; Magirus, a manufacturer of fire-fighting vehicles and equipment; Iveco Capital, providing the financial services. The Company operates globally.</v>
    <v>35453</v>
    <v>Borsa Italiana</v>
    <v>XMIL</v>
    <v>XMIL</v>
    <v>Via Puglia 35, TORINO, TORINO, 10156 IT</v>
    <v>14.015000000000001</v>
    <v>Machinery, Equipment &amp; Components</v>
    <v>Stock</v>
    <v>46139.666666666664</v>
    <v>750</v>
    <v>13.98</v>
    <v>5115123000</v>
    <v>Iveco Group NV</v>
    <v>Iveco Group NV</v>
    <v>13.984999999999999</v>
    <v>12.9771</v>
    <v>13.975</v>
    <v>13.99</v>
    <v>271215400</v>
    <v>IVG</v>
    <v>Iveco Group NV (XMIL:IVG)</v>
    <v>1267668</v>
    <v>2783000</v>
    <v>2021</v>
  </rv>
  <rv s="2">
    <v>751</v>
  </rv>
  <rv s="0">
    <v>https://www.bing.com/financeapi/forcetrigger?t=amfxhw&amp;q=BMEX%3aIDR&amp;form=skydnc</v>
    <v>Learn more on Bing</v>
  </rv>
  <rv s="1">
    <v>0</v>
    <v>Indra Sistemas SA (BMEX:IDR)</v>
    <v>2</v>
    <v>35</v>
    <v>Finance</v>
    <v>32</v>
    <v>en</v>
    <v>amfxhw</v>
    <v>268435456</v>
    <v>1</v>
    <v>Powered by Refinitiv</v>
    <v>66.150000000000006</v>
    <v>26.82</v>
    <v>0.85960000000000003</v>
    <v>2.4</v>
    <v>5.0335999999999999E-2</v>
    <v>-0.06</v>
    <v>-1.1980000000000001E-3</v>
    <v>EUR</v>
    <v>Indra Sistemas SA is a Spain-based company engaged in the field of information technology (IT). The Company is a business holding company that promotes technological progress, which includes Indra, one of the main global defense, air traffic and space companies. It is a digital transformation and information technologies in Spain and Latin America. The Company's portfolio ranges from consultancy, project development, and systems and applications integration to outsourcing of IT systems and business processes, structured into two primary segments: solutions and services (including outsourcing and application maintenance), and business processes where technology is a strategic and differentiating element.</v>
    <v>62396</v>
    <v>Bolsas y Mercados Espanoles</v>
    <v>BMEX</v>
    <v>BMEX</v>
    <v>Avenida de Bruselas, 35, ALCOBENDAS, MADRID, 28108 ES</v>
    <v>50.26</v>
    <v>Software &amp; IT Services</v>
    <v>Stock</v>
    <v>46139.666666666664</v>
    <v>753</v>
    <v>47.79</v>
    <v>10237120000</v>
    <v>Indra Sistemas SA</v>
    <v>Indra Sistemas SA</v>
    <v>48.41</v>
    <v>19.2181</v>
    <v>47.68</v>
    <v>50.08</v>
    <v>50.02</v>
    <v>176654400</v>
    <v>IDR</v>
    <v>Indra Sistemas SA (BMEX:IDR)</v>
    <v>1489225</v>
    <v>1215590</v>
    <v>1979</v>
  </rv>
  <rv s="2">
    <v>754</v>
  </rv>
  <rv s="17">
    <v>37</v>
    <v>RENK Group AG (XETR:R3NK)</v>
    <v>17</v>
    <v>7</v>
    <v>Finance</v>
    <v>8</v>
    <v>en</v>
    <v>cb26k2</v>
    <v>268435456</v>
    <v>1</v>
    <v>Powered by Refinitiv</v>
    <v>90.34</v>
    <v>45.97</v>
    <v>1.383</v>
    <v>1.03</v>
    <v>1.9109000000000001E-2</v>
    <v>EUR</v>
    <v>Renk Group AG is a Germany-based company. The Company is engaged in three operating segments which manufactures mission-critical products and components for security and defense: Vehicle Mobility Solutions (VMS), Marine &amp; Industry (M&amp;I) and Slide Bearings (SB). The VMS segment is engaged in vehicle transmissions in tracked military vehicles like battle tanks and infantry fighting vehicles, as well as engines, suspension systems, final drives, and electrical components for military vehicles. In the M&amp;I segment, the Company offers technology for gear units and coupling &amp; clutching solutions for naval forces, commercial shipping and industrial applications, such as propulsion solutions, combining standard power sources, including diesel engines, gas turbines, and hybrid-electric combinations. In the SB segment, the Company offers standardized slide bearing (e-bearings) for electric machinery and hydrodynamic lubricated standard slide bearings, for commercial civil marine applications.</v>
    <v>3920</v>
    <v>Xetra</v>
    <v>XETR</v>
    <v>XETR</v>
    <v>Goegginger Strasse 73, BAYERN, 86159 DE</v>
    <v>55.65</v>
    <v>Aerospace &amp; Defense</v>
    <v>Stock</v>
    <v>46139.89603009259</v>
    <v>54.09</v>
    <v>6496000000</v>
    <v>RENK Group AG</v>
    <v>RENK Group AG</v>
    <v>54.5</v>
    <v>53.536000000000001</v>
    <v>53.9</v>
    <v>54.93</v>
    <v>100000000</v>
    <v>R3NK</v>
    <v>RENK Group AG (XETR:R3NK)</v>
    <v>370647</v>
    <v>507790</v>
    <v>2020</v>
  </rv>
  <rv s="2">
    <v>756</v>
  </rv>
  <rv s="0">
    <v>https://www.bing.com/financeapi/forcetrigger?t=ae7f27&amp;q=XPAR%3aALD&amp;form=skydnc</v>
    <v>Learn more on Bing</v>
  </rv>
  <rv s="3">
    <v>6</v>
    <v>Ayvens SA (XPAR:AYV)</v>
    <v>2</v>
    <v>7</v>
    <v>Finance</v>
    <v>8</v>
    <v>en</v>
    <v>ae7f27</v>
    <v>268435456</v>
    <v>1</v>
    <v>Powered by Refinitiv</v>
    <v>12.64</v>
    <v>8.57</v>
    <v>0.95509999999999995</v>
    <v>-0.08</v>
    <v>-7.2989999999999999E-3</v>
    <v>EUR</v>
    <v>AYVENS SA is a France-based company primarily engaged in the passenger car leasing. The Company focuses on the provision of vehicle financing and management solutions. It also involves in the services such as financing, procurement, logistics, vehicle rental, contract hire and fleet management services. It concentrates on the decarbonizing and guaranteeing the movement of spectators while allowing the continuity of activity of social, economic, and cultural life in terms of transport. It delivers various services different categories like industrial and commercial sectors. It operates an agency chain across France.</v>
    <v>11989</v>
    <v>Euronext Paris</v>
    <v>XPAR</v>
    <v>XPAR</v>
    <v>Tour Granite, 17 cours Valmy, Cs 50318, PUTEAUX, ILE-DE-FRANCE, 92800 FR</v>
    <v>11.07</v>
    <v>Freight &amp; Logistics Services</v>
    <v>Stock</v>
    <v>46139.666666666664</v>
    <v>758</v>
    <v>10.87</v>
    <v>9218218000</v>
    <v>Ayvens SA</v>
    <v>Ayvens SA</v>
    <v>10.94</v>
    <v>8.9527999999999999</v>
    <v>10.96</v>
    <v>10.88</v>
    <v>783862100</v>
    <v>AYV</v>
    <v>Ayvens SA (XPAR:AYV)</v>
    <v>625079</v>
    <v>792770</v>
    <v>1998</v>
  </rv>
  <rv s="2">
    <v>759</v>
  </rv>
  <rv s="0">
    <v>https://www.bing.com/financeapi/forcetrigger?t=a1z6qh&amp;q=XNAS%3aOKTA&amp;form=skydnc</v>
    <v>Learn more on Bing</v>
  </rv>
  <rv s="1">
    <v>0</v>
    <v>OKTA, INC. (XNAS:OKTA)</v>
    <v>2</v>
    <v>3</v>
    <v>Finance</v>
    <v>5</v>
    <v>en</v>
    <v>a1z6qh</v>
    <v>268435456</v>
    <v>1</v>
    <v>Powered by Refinitiv</v>
    <v>127.56699999999999</v>
    <v>62.66</v>
    <v>0.62229999999999996</v>
    <v>0.16</v>
    <v>2.1060000000000002E-3</v>
    <v>0.33</v>
    <v>4.3340000000000002E-3</v>
    <v>USD</v>
    <v>Okta, Inc. is an independent identity partner. The Company's Okta Platform and Auth0 Platform enable its customers to securely connect the right people to the right technologies and services at the right time. It offers independent and neutral cloud-based identity solutions that allow customers to integrate with nearly any application, service or cloud that they choose through its platforms. Organizations use the Company's platforms to securely access a wide range of cloud, mobile, web and Software-as-a-Service applications, on-premises servers, application programming interfaces, IT infrastructure providers, and services from a multitude of devices. Developers leverage its Okta Platform and Auth0 Platform to securely and efficiently embed identity for both human users and, increasingly, AI agents into the software they build. Auth0 for AI Agents enables developers to leverage the Auth0 Platform to secure and scale agentic applications from pilot to production.</v>
    <v>6366</v>
    <v>Nasdaq Stock Market</v>
    <v>XNAS</v>
    <v>XNAS</v>
    <v>100 First Street, SAN FRANCISCO, CA, 94105 US</v>
    <v>76.56</v>
    <v>Software &amp; IT Services</v>
    <v>Stock</v>
    <v>46139.932421226564</v>
    <v>761</v>
    <v>74.69</v>
    <v>13468244706</v>
    <v>OKTA, INC.</v>
    <v>OKTA, INC.</v>
    <v>75.87</v>
    <v>58</v>
    <v>75.98</v>
    <v>76.14</v>
    <v>76.47</v>
    <v>176887900</v>
    <v>OKTA</v>
    <v>OKTA, INC. (XNAS:OKTA)</v>
    <v>2808871</v>
    <v>4282401</v>
    <v>2010</v>
  </rv>
  <rv s="2">
    <v>762</v>
  </rv>
  <rv s="0">
    <v>https://www.bing.com/financeapi/forcetrigger?t=afs19c&amp;q=XETR%3aGBF&amp;form=skydnc</v>
    <v>Learn more on Bing</v>
  </rv>
  <rv s="3">
    <v>6</v>
    <v>Bilfinger Se (XETR:GBF)</v>
    <v>2</v>
    <v>7</v>
    <v>Finance</v>
    <v>8</v>
    <v>en</v>
    <v>afs19c</v>
    <v>268435456</v>
    <v>1</v>
    <v>Powered by Refinitiv</v>
    <v>129.30000000000001</v>
    <v>70.099999999999994</v>
    <v>0.57930000000000004</v>
    <v>-0.1</v>
    <v>-1.011E-3</v>
    <v>EUR</v>
    <v>Bilfinger SE is a Germany-based international industrial services provider. The Company provides customized engineering and services to customers in the process industry. Its Industrial business segment includes industrial maintenance; insulation, scaffolding and painting; oil and gas, and engineering solutions. The Industrial business segment includes activities, such as design, development and erection of industrial facilities; maintenance and repair of industrial plants; project management; assembly and installation of plant components; design, development and implementation of automation solutions, insulation, surface and corrosion protection, industrial scaffolding. Its Power business segment includes activities, such as repair, maintenance, efficiency enhancements and service life extensions, as well as the demolition of existing power plants, and design, manufacture and assembly of components for power plant systems with a focus on boilers and high-pressure piping systems.</v>
    <v>30749</v>
    <v>Xetra</v>
    <v>XETR</v>
    <v>XETR</v>
    <v>Oskar-Meixner-Strasse 1, MANNHEIM, BADEN-WUERTTEMBERG, 68163 DE</v>
    <v>99.35</v>
    <v>Construction &amp; Engineering</v>
    <v>Stock</v>
    <v>46139.896006944444</v>
    <v>764</v>
    <v>98.2</v>
    <v>4377382000</v>
    <v>Bilfinger Se</v>
    <v>Bilfinger Se</v>
    <v>99.25</v>
    <v>20.8919</v>
    <v>98.9</v>
    <v>98.8</v>
    <v>37606370</v>
    <v>GBF</v>
    <v>Bilfinger Se (XETR:GBF)</v>
    <v>77372</v>
    <v>81470</v>
    <v>2010</v>
  </rv>
  <rv s="2">
    <v>765</v>
  </rv>
  <rv s="0">
    <v>https://www.bing.com/financeapi/forcetrigger?t=amfuyc&amp;q=BMEX%3aELE&amp;form=skydnc</v>
    <v>Learn more on Bing</v>
  </rv>
  <rv s="3">
    <v>6</v>
    <v>Endesa SA (BMEX:ELE)</v>
    <v>2</v>
    <v>7</v>
    <v>Finance</v>
    <v>8</v>
    <v>en</v>
    <v>amfuyc</v>
    <v>268435456</v>
    <v>1</v>
    <v>Powered by Refinitiv</v>
    <v>38.729999999999997</v>
    <v>23.76</v>
    <v>0.61660000000000004</v>
    <v>-0.36</v>
    <v>-9.3629999999999998E-3</v>
    <v>EUR</v>
    <v>Endesa SA is a Spain-based holding company engaged in the business of electricity and gas generation, distribution, and sale, as well as related services. Its segments include Generation, along with Supply; Distribution, and Structure, including the balances and transactions of holding companies and financing companies. It is engaged in electricity business in its industrial and commercial areas. It is also engaged in the exploitation of primary energy resources; the provision of industrial services, particularly in the areas of telecommunications, water and gas, and investing in other companies. It generates, distributes and sells electricity mainly in Spain and Portugal. It also supplies electricity and gas to other European markets, in particular Germany, France, Belgium and the Netherlands, from its platform in Spain and Portugal. It is engaged in supplying value added services and products to customers. It distributes electricity to the consumption points.</v>
    <v>8946</v>
    <v>Bolsas y Mercados Espanoles</v>
    <v>BMEX</v>
    <v>BMEX</v>
    <v>CALLE RIBERA DEL LOIRA NUMERO 60, MADRID, 28042 ES</v>
    <v>38.450000000000003</v>
    <v>Electrical Utilities &amp; IPPs</v>
    <v>Stock</v>
    <v>46139.666666666664</v>
    <v>767</v>
    <v>38.08</v>
    <v>31720210000</v>
    <v>Endesa SA</v>
    <v>Endesa SA</v>
    <v>38.26</v>
    <v>18.328700000000001</v>
    <v>38.450000000000003</v>
    <v>38.090000000000003</v>
    <v>1041745000</v>
    <v>ELE</v>
    <v>Endesa SA (BMEX:ELE)</v>
    <v>459014</v>
    <v>711820</v>
    <v>1944</v>
  </rv>
  <rv s="2">
    <v>768</v>
  </rv>
  <rv s="0">
    <v>https://www.bing.com/financeapi/forcetrigger?t=a1xroc&amp;q=XNYS%3aMMM&amp;form=skydnc</v>
    <v>Learn more on Bing</v>
  </rv>
  <rv s="1">
    <v>0</v>
    <v>3M COMPANY (XNYS:MMM)</v>
    <v>2</v>
    <v>3</v>
    <v>Finance</v>
    <v>5</v>
    <v>en</v>
    <v>a1xroc</v>
    <v>268435456</v>
    <v>1</v>
    <v>Powered by Refinitiv</v>
    <v>177.41</v>
    <v>134.85</v>
    <v>1.0210999999999999</v>
    <v>-0.23</v>
    <v>-1.575E-3</v>
    <v>-0.505</v>
    <v>-3.4640000000000001E-3</v>
    <v>USD</v>
    <v>3M Company is a diversified technology company. The Company is a manufacturer and marketer of a variety of products and services. The Company’s segments include Safety and Industrial; Transportation and Electronics, and Consumer. Its Safety and Industrial segment includes industrial abrasives and finishing for metalworking applications; autobody repair solutions; industrial specialty products, such as personal hygiene products, masking, and packaging materials, and others. Its Transportation and Electronics segment includes advanced ceramic solutions; attachment/bonding, films, sound and temperature management for transportation vehicles; premium large format graphic films for advertising and fleet signage. Its Consumer segment includes cleaning products for the home; consumer air quality products, and picture hanging accessories. Its brands include 3M Cubitron II abrasives, Scotch-Brite, Filtrete, Command, Scotchgard, Meguiar’s, Nexcare, Post-it and others.</v>
    <v>60500</v>
    <v>New York Stock Exchange</v>
    <v>XNYS</v>
    <v>XNYS</v>
    <v>3M Center, Bldg. 220-9E-02, SAINT PAUL, MN, 55144-1000 US</v>
    <v>147.19999999999999</v>
    <v>Consumer Goods Conglomerates</v>
    <v>Stock</v>
    <v>46139.927061527342</v>
    <v>770</v>
    <v>144.66</v>
    <v>76023649648</v>
    <v>3M COMPANY</v>
    <v>3M COMPANY</v>
    <v>145.68</v>
    <v>28.163799999999998</v>
    <v>145.99</v>
    <v>145.76</v>
    <v>145.26499999999999</v>
    <v>521567300</v>
    <v>MMM</v>
    <v>3M COMPANY (XNYS:MMM)</v>
    <v>2990970</v>
    <v>3581573</v>
    <v>1929</v>
  </rv>
  <rv s="2">
    <v>771</v>
  </rv>
  <rv s="0">
    <v>https://www.bing.com/financeapi/forcetrigger?t=a1nllh&amp;q=XNYS%3aAPH&amp;form=skydnc</v>
    <v>Learn more on Bing</v>
  </rv>
  <rv s="1">
    <v>0</v>
    <v>AMPHENOL CORPORATION (XNYS:APH)</v>
    <v>2</v>
    <v>3</v>
    <v>Finance</v>
    <v>5</v>
    <v>en</v>
    <v>a1nllh</v>
    <v>268435456</v>
    <v>1</v>
    <v>Powered by Refinitiv</v>
    <v>167.04</v>
    <v>74.31</v>
    <v>1.3163</v>
    <v>-1.03</v>
    <v>-6.8799999999999998E-3</v>
    <v>-0.15</v>
    <v>-1.0090000000000001E-3</v>
    <v>USD</v>
    <v>Amphenol Corporation is a designer, manufacturer, and marketer of electrical, electronic and fiber optic connectors and interconnect systems, antennas, sensors and sensor-based products and coaxial and high-speed specialty cables. The Company operates through three segments. The Harsh Environment Solutions segment designs, manufactures and markets a range of ruggedized interconnect products and other products for use in the industrial, defense, commercial aerospace, automotive, mobile networks, medical and other markets. Communications Solutions segment designs, manufactures and markets a range of connector and interconnect systems for use in the information technology and data communications, mobile devices, industrial, mobile networks, broadband communications, automotive, commercial aerospace and defense end markets. Its Interconnect and Sensor Systems segment designs, manufactures and markets a range of sensors, sensor-based systems, connectors and value-add interconnect systems.</v>
    <v>170000</v>
    <v>New York Stock Exchange</v>
    <v>XNYS</v>
    <v>XNYS</v>
    <v>358 HALL AVE, WALLINGFORD, CT, 06492 US</v>
    <v>150</v>
    <v>Electronic Equipment &amp; Parts</v>
    <v>Stock</v>
    <v>46139.933212430471</v>
    <v>773</v>
    <v>144.44999999999999</v>
    <v>182791801080</v>
    <v>AMPHENOL CORPORATION</v>
    <v>AMPHENOL CORPORATION</v>
    <v>149.25</v>
    <v>44.478999999999999</v>
    <v>149.71</v>
    <v>148.68</v>
    <v>148.49</v>
    <v>1229431000</v>
    <v>APH</v>
    <v>AMPHENOL CORPORATION (XNYS:APH)</v>
    <v>6346403</v>
    <v>7822064</v>
    <v>1986</v>
  </rv>
  <rv s="2">
    <v>774</v>
  </rv>
  <rv s="0">
    <v>https://www.bing.com/financeapi/forcetrigger?t=bplfm7&amp;q=XNAS%3aMVST&amp;form=skydnc</v>
    <v>Learn more on Bing</v>
  </rv>
  <rv s="1">
    <v>0</v>
    <v>MICROVAST HOLDINGS, INC. (XNAS:MVST)</v>
    <v>2</v>
    <v>3</v>
    <v>Finance</v>
    <v>4</v>
    <v>en</v>
    <v>bplfm7</v>
    <v>268435456</v>
    <v>1</v>
    <v>Powered by Refinitiv</v>
    <v>7.12</v>
    <v>1.37</v>
    <v>3.6055999999999999</v>
    <v>0.05</v>
    <v>2.6455000000000003E-2</v>
    <v>9.4999999999999998E-3</v>
    <v>4.8970000000000003E-3</v>
    <v>USD</v>
    <v>Microvast Holdings, Inc. provides battery technologies for electric vehicles and energy storage solutions. It is focused on electrification with battery technologies in three core sectors: electric commercial vehicles, energy storage systems (ESS) and battery components. It designs, develops and manufactures high-performance battery solutions for light, medium, and heavy-duty trucks, buses, trains, mining trucks, marine and port vehicles, automated guided vehicles, and specialty vehicles. It offers a range of cell chemistries, including lithium titanate oxide, lithium iron phosphate, nickel manganese cobalt version 1 and nickel manganese cobalt version 2. Its ESS solution captures excess energy from renewable sources and dispatches energy to the grid during peak demand periods. It develops and owns intellectual property and know-how relating to the design, development and manufacture of the four critical components of lithium-ion batteries: cathode, anode, electrolyte and separator.</v>
    <v>1908</v>
    <v>Nasdaq Stock Market</v>
    <v>XNAS</v>
    <v>XNAS</v>
    <v>12603 Southwest Freeway, Suite 300, STAFFORD, TX, 77477 US</v>
    <v>1.97</v>
    <v>Machinery, Equipment &amp; Components</v>
    <v>Stock</v>
    <v>46139.920784490627</v>
    <v>776</v>
    <v>1.88</v>
    <v>644144020</v>
    <v>MICROVAST HOLDINGS, INC.</v>
    <v>MICROVAST HOLDINGS, INC.</v>
    <v>1.9</v>
    <v>0</v>
    <v>1.89</v>
    <v>1.94</v>
    <v>1.9495</v>
    <v>332033000</v>
    <v>MVST</v>
    <v>MICROVAST HOLDINGS, INC. (XNAS:MVST)</v>
    <v>2821097</v>
    <v>3370603</v>
    <v>2018</v>
  </rv>
  <rv s="2">
    <v>777</v>
  </rv>
  <rv s="14">
    <v>29</v>
    <v>TEMPUS AI, INC (XNAS:TEM)</v>
    <v>17</v>
    <v>3</v>
    <v>Finance</v>
    <v>5</v>
    <v>en</v>
    <v>cd9jsm</v>
    <v>268435456</v>
    <v>1</v>
    <v>Powered by Refinitiv</v>
    <v>104.32</v>
    <v>41.73</v>
    <v>3.1779999999999999</v>
    <v>0.56000000000000005</v>
    <v>1.0744E-2</v>
    <v>0.16</v>
    <v>3.0370000000000002E-3</v>
    <v>USD</v>
    <v>Tempus AI, Inc. is a technology company advancing precision medicine through the practical application of artificial intelligence in healthcare. It offers AI-enabled precision medicine solutions to physicians to deliver personalized patient care and, in parallel, facilitates discovery, development and delivery of optimal therapeutics. It provides three product lines: Genomics, Data and artificial intelligence applications (AI). The Genomics product line leverages its laboratories to provide next generation sequencing (NGS) diagnostics, polymerase chain reaction, profiling, molecular genotyping and other anatomic and molecular pathology testing. The data generated in its lab or ingested into its platform is structured and de-identified, prior to commercialization. Its AI Applications is focused on developing and providing diagnostics that are algorithmic in nature, implementing new software as a medical device, and building and deploying clinical decision support tools.</v>
    <v>3800</v>
    <v>Nasdaq Stock Market</v>
    <v>XNAS</v>
    <v>XNAS</v>
    <v>600 West Chicago Avenue, Suite 510, CHICAGO, IL, 60654 US</v>
    <v>53.598599999999998</v>
    <v>Biotechnology &amp; Medical Research</v>
    <v>Stock</v>
    <v>46139.934650937503</v>
    <v>51.53</v>
    <v>9451034328</v>
    <v>TEMPUS AI, INC</v>
    <v>TEMPUS AI, INC</v>
    <v>51.7</v>
    <v>0</v>
    <v>52.12</v>
    <v>52.68</v>
    <v>52.84</v>
    <v>179404600</v>
    <v>TEM</v>
    <v>TEMPUS AI, INC (XNAS:TEM)</v>
    <v>2721187</v>
    <v>5350735</v>
    <v>2025</v>
  </rv>
  <rv s="2">
    <v>779</v>
  </rv>
  <rv s="14">
    <v>29</v>
    <v>BIRKENSTOCK HOLDING PLC (XNYS:BIRK)</v>
    <v>17</v>
    <v>3</v>
    <v>Finance</v>
    <v>4</v>
    <v>en</v>
    <v>cayvbh</v>
    <v>268435456</v>
    <v>1</v>
    <v>Powered by Refinitiv</v>
    <v>59.5</v>
    <v>33.06</v>
    <v>0.93799999999999994</v>
    <v>0.01</v>
    <v>2.5379999999999999E-4</v>
    <v>0</v>
    <v>0</v>
    <v>USD</v>
    <v>Birkenstock Holding plc operates through Birkenstock Group B.V. &amp; Co. KG and its subsidiaries. Birkenstock is a global brand, which has developed a unisex portfolio of footbed-based products that serve consumers of all geographies, genders, ages, and income levels. Its proprietary footbed, which reflects the anatomy of the human foot, represents the foundation of its brand and products. It operates a vertically integrated manufacturing base and produces all its footbeds in Germany. BIRKENSTOCK offers a wide range of products that go beyond footwear, including sleep systems and natural cosmetics, catering to both entry-level and luxury markets. The Company operates its channels, utilizing the business-to-business (B2B) channel to facilitate brand accessibility while fully engaging consumers in its direct-to-consumer (DTC) channel, which offers its complete product range and access to its silhouettes.</v>
    <v>6800</v>
    <v>New York Stock Exchange</v>
    <v>XNYS</v>
    <v>XNYS</v>
    <v>1 Berkeley Square, LONDON, W1J 6EA GB</v>
    <v>39.97</v>
    <v>Textiles &amp; Apparel</v>
    <v>Stock</v>
    <v>46139.897134628904</v>
    <v>39.064999999999998</v>
    <v>7247739400</v>
    <v>BIRKENSTOCK HOLDING PLC</v>
    <v>BIRKENSTOCK HOLDING PLC</v>
    <v>39.32</v>
    <v>16.4605</v>
    <v>39.4</v>
    <v>39.409999999999997</v>
    <v>39.409999999999997</v>
    <v>183906100</v>
    <v>BIRK</v>
    <v>BIRKENSTOCK HOLDING PLC (XNYS:BIRK)</v>
    <v>1344776</v>
    <v>2090424</v>
    <v>2023</v>
  </rv>
  <rv s="2">
    <v>781</v>
  </rv>
  <rv s="0">
    <v>https://www.bing.com/financeapi/forcetrigger?t=amfymw&amp;q=BMEX%3aMAP&amp;form=skydnc</v>
    <v>Learn more on Bing</v>
  </rv>
  <rv s="5">
    <v>11</v>
    <v>Mapfre SA (BMEX:MAP)</v>
    <v>2</v>
    <v>12</v>
    <v>Finance</v>
    <v>8</v>
    <v>en</v>
    <v>amfymw</v>
    <v>268435456</v>
    <v>1</v>
    <v>Powered by Refinitiv</v>
    <v>4.3319999999999999</v>
    <v>3.1019999999999999</v>
    <v>0.53779999999999994</v>
    <v>4.0000000000000001E-3</v>
    <v>9.8140000000000011E-4</v>
    <v>EUR</v>
    <v>Mapfre SA is a Spain-based company engaged in the insurance sector. The Company's activities are divided into four business units: Insurance, Assistance, Reinsurance and Global Risks. The Insurance line offers insurance policies, including life, accident, health, property and casualty and automotive insurance, among others. The Assistance line focuses on developing assistance services for insurance products, including road and travel assistance. The Reinsurance line is responsible for reinsurance activities. The Global Risks line offers integrated insurance services, such as risk prevention and protection, audit and control, for business customers. In addition, the Company is active in the management of pension funds, retirement plans and investment funds, as well as the provision of healthcare services in Spain. The Company operates in Europe, Africa, Asia and the Americas. It is a parent of the Mapfre Group.</v>
    <v>29864</v>
    <v>Bolsas y Mercados Espanoles</v>
    <v>BMEX</v>
    <v>BMEX</v>
    <v>CARRETERA DE POZUELO 52, 28222 ES</v>
    <v>4.09</v>
    <v>Insurance</v>
    <v>Stock</v>
    <v>46139.666666666664</v>
    <v>783</v>
    <v>4.04</v>
    <v>12804780000</v>
    <v>Mapfre SA</v>
    <v>Mapfre SA</v>
    <v>4.0839999999999996</v>
    <v>11.0341</v>
    <v>4.0759999999999996</v>
    <v>4.08</v>
    <v>3079553000</v>
    <v>MAP</v>
    <v>Mapfre SA (BMEX:MAP)</v>
    <v>3285674</v>
    <v>2849950</v>
  </rv>
  <rv s="2">
    <v>784</v>
  </rv>
  <rv s="0">
    <v>https://www.bing.com/financeapi/forcetrigger?t=azbtyc&amp;q=XNAS%3aZS&amp;form=skydnc</v>
    <v>Learn more on Bing</v>
  </rv>
  <rv s="1">
    <v>0</v>
    <v>ZSCALER, INC. (XNAS:ZS)</v>
    <v>2</v>
    <v>3</v>
    <v>Finance</v>
    <v>5</v>
    <v>en</v>
    <v>azbtyc</v>
    <v>268435456</v>
    <v>1</v>
    <v>Powered by Refinitiv</v>
    <v>336.99</v>
    <v>114.625</v>
    <v>1.0004999999999999</v>
    <v>-1.39</v>
    <v>-1.0258E-2</v>
    <v>0.13</v>
    <v>9.6940000000000004E-4</v>
    <v>USD</v>
    <v>Zscaler, Inc. is a cloud security company. The Company has developed a platform incorporating core security functionalities needed to enable fast and secure access to cloud resources based on identity, context and an organization’s policies. Its Zscaler Zero Trust Exchange platform protects thousands of customers from cyberattacks and data loss by securely connecting users, devices, and applications in any location. Its solution is a purpose-built, multi-tenant, distributed cloud platform that incorporates the security functionality needed to enable users, applications, and devices to safely and efficiently utilize authorized applications and services based on an organization’s business policies. It delivers its solutions using a software-as-a-service (SaaS) business model and sells subscriptions to customers to access its cloud platform, together with related support services. It offers a security platform that combines its platform with automated security operations.</v>
    <v>7923</v>
    <v>Nasdaq Stock Market</v>
    <v>XNAS</v>
    <v>XNAS</v>
    <v>120 Holger Way, SAN JOSE, CA, 95134 US</v>
    <v>138</v>
    <v>Software &amp; IT Services</v>
    <v>Stock</v>
    <v>46139.934057221872</v>
    <v>786</v>
    <v>133.685</v>
    <v>21563640777</v>
    <v>ZSCALER, INC.</v>
    <v>ZSCALER, INC.</v>
    <v>135.35</v>
    <v>0</v>
    <v>135.5</v>
    <v>134.11000000000001</v>
    <v>134.24</v>
    <v>160790700</v>
    <v>ZS</v>
    <v>ZSCALER, INC. (XNAS:ZS)</v>
    <v>2042464</v>
    <v>3034716</v>
    <v>2007</v>
  </rv>
  <rv s="2">
    <v>787</v>
  </rv>
  <rv s="0">
    <v>https://www.bing.com/financeapi/forcetrigger?t=alwl52&amp;q=XLIS%3aEGL&amp;form=skydnc</v>
    <v>Learn more on Bing</v>
  </rv>
  <rv s="3">
    <v>6</v>
    <v>Mota Engil SGPS SA (XLIS:EGL)</v>
    <v>2</v>
    <v>7</v>
    <v>Finance</v>
    <v>8</v>
    <v>en</v>
    <v>alwl52</v>
    <v>268435456</v>
    <v>1</v>
    <v>Powered by Refinitiv</v>
    <v>6.21</v>
    <v>3.38</v>
    <v>0.68630000000000002</v>
    <v>-6.0000000000000001E-3</v>
    <v>-1.2859999999999998E-3</v>
    <v>EUR</v>
    <v>Mota Engil SGPS SA is a Portugal-based company primarily engaged in the construction industry. The Company divides its business into three main segments: Engineering and Construction; Environment and Services, and Transport Concessions. In the Engineering and Construction division, it carries out various engineering works, including bridges, railways, ports, airports, dams, highways, roads, canals and tunnels, among others. The Environment and Services division is involved in the management of solid urban and industrial waste; rehabilitation of pipelines and maintenance of buildings, and landscape architecture services, among others. The Transport Concessions division, operated by the Company’s subsidiary Ascendi Group SGPS, is active in the management of motorways and expressways. In addition, the Company focuses on activities in the tourism sector.</v>
    <v>51019</v>
    <v>Euronext Lisbon</v>
    <v>XLIS</v>
    <v>XLIS</v>
    <v>Rua do Rego Lameiro, N 38, PORTO, PORTO, 4300-454 PT</v>
    <v>4.694</v>
    <v>Construction &amp; Engineering</v>
    <v>Stock</v>
    <v>46139.666666666664</v>
    <v>789</v>
    <v>4.51</v>
    <v>1532039000</v>
    <v>Mota Engil SGPS SA</v>
    <v>Mota Engil SGPS SA</v>
    <v>4.6719999999999997</v>
    <v>10.6554</v>
    <v>4.6660000000000004</v>
    <v>4.66</v>
    <v>306775900</v>
    <v>EGL</v>
    <v>Mota Engil SGPS SA (XLIS:EGL)</v>
    <v>2328905</v>
    <v>1945130</v>
    <v>1946</v>
  </rv>
  <rv s="2">
    <v>790</v>
  </rv>
  <rv s="0">
    <v>https://www.bing.com/financeapi/forcetrigger?t=a1sxp2&amp;q=XNYS%3aFIX&amp;form=skydnc</v>
    <v>Learn more on Bing</v>
  </rv>
  <rv s="1">
    <v>0</v>
    <v>COMFORT SYSTEMS USA, INC. (XNYS:FIX)</v>
    <v>2</v>
    <v>3</v>
    <v>Finance</v>
    <v>5</v>
    <v>en</v>
    <v>a1sxp2</v>
    <v>268435456</v>
    <v>1</v>
    <v>Powered by Refinitiv</v>
    <v>1829.66</v>
    <v>380</v>
    <v>1.6466000000000001</v>
    <v>68.814999999999998</v>
    <v>3.9867E-2</v>
    <v>-0.04</v>
    <v>-2.2300000000000003E-5</v>
    <v>USD</v>
    <v>Comfort Systems USA, Inc. is a provider of commercial, industrial and institutional heating, ventilation, air conditioning (HVAC), mechanical and electrical contracting services. Its segments include Mechanical and Electrical. The Mechanical segment includes HVAC, plumbing, piping, and controls, as well as off-site construction, monitoring and fire protection. It also installs connecting and distribution elements, such as piping and ducting. The Electrical segment includes installation and servicing of electrical systems. It builds, installs, maintains, repairs and replaces mechanical, electrical and plumbing systems throughout its over 50 operating units with 190 locations in 142 cities throughout the United States. It is engaged in offering engineering, design-assist and turnkey, direct hire construction services of modular systems serving the advanced technology, power and industrial sectors. It also provides mechanical construction services to the commercial and industrial sectors.</v>
    <v>22700</v>
    <v>New York Stock Exchange</v>
    <v>XNYS</v>
    <v>XNYS</v>
    <v>9753 Katy Freeway, Suite 700, HOUSTON, TX, 77024 US</v>
    <v>1804.9998000000001</v>
    <v>Construction &amp; Engineering</v>
    <v>Stock</v>
    <v>46139.932270370315</v>
    <v>792</v>
    <v>1685</v>
    <v>63186055742</v>
    <v>COMFORT SYSTEMS USA, INC.</v>
    <v>COMFORT SYSTEMS USA, INC.</v>
    <v>1744.6</v>
    <v>51.807299999999998</v>
    <v>1726.12</v>
    <v>1794.9349999999999</v>
    <v>1794</v>
    <v>35202420</v>
    <v>FIX</v>
    <v>COMFORT SYSTEMS USA, INC. (XNYS:FIX)</v>
    <v>492119</v>
    <v>423644</v>
    <v>1996</v>
  </rv>
  <rv s="2">
    <v>793</v>
  </rv>
  <rv s="0">
    <v>https://www.bing.com/financeapi/forcetrigger?t=c4efww&amp;q=XNYS%3aBBAI&amp;form=skydnc</v>
    <v>Learn more on Bing</v>
  </rv>
  <rv s="1">
    <v>0</v>
    <v>BigBear.ai Holdings, Inc. (XNYS:BBAI)</v>
    <v>2</v>
    <v>3</v>
    <v>Finance</v>
    <v>5</v>
    <v>en</v>
    <v>c4efww</v>
    <v>268435456</v>
    <v>1</v>
    <v>Powered by Refinitiv</v>
    <v>9.39</v>
    <v>2.96</v>
    <v>3.0192999999999999</v>
    <v>0.04</v>
    <v>1.0810999999999999E-2</v>
    <v>0.01</v>
    <v>2.6810000000000002E-3</v>
    <v>USD</v>
    <v>BigBear.ai Holdings, Inc. is a provider of artificial intelligence (AI)-powered decision intelligence solutions for national security, supply chain management and digital identity. The Company is a technology-led solutions organization, providing both software and services to its customers. It combines subject-matter expertise with technology to connect the enterprise, provide insights on process performance and recommendations for managing risk. It offers computer vision, anomaly/event detection, and descriptive and predictive analytics to support operations and break down silos between vendors and systems. The Company’s customers span the public and private sector, including the United States defense and intelligence agencies, border protection, transportation security, manufacturing, distribution and logistics, as well as travel, entertainment and tourism. It also offers software assets that are tailored for digital identity and biometrics, leveraging advanced vision AI technology.</v>
    <v>579</v>
    <v>New York Stock Exchange</v>
    <v>XNYS</v>
    <v>XNYS</v>
    <v>7950 Jones Branch Drive, MCLEAN, VA, 22102 US</v>
    <v>3.8050000000000002</v>
    <v>Software &amp; IT Services</v>
    <v>Stock</v>
    <v>46139.934477349219</v>
    <v>795</v>
    <v>3.64</v>
    <v>1780451684</v>
    <v>BigBear.ai Holdings, Inc.</v>
    <v>BigBear.ai Holdings, Inc.</v>
    <v>3.68</v>
    <v>0</v>
    <v>3.7</v>
    <v>3.74</v>
    <v>3.74</v>
    <v>476056600</v>
    <v>BBAI</v>
    <v>BigBear.ai Holdings, Inc. (XNYS:BBAI)</v>
    <v>21727771</v>
    <v>28483284</v>
    <v>2020</v>
  </rv>
  <rv s="2">
    <v>796</v>
  </rv>
  <rv s="0">
    <v>https://www.bing.com/financeapi/forcetrigger?t=a24m3m&amp;q=XNAS%3aTTMI&amp;form=skydnc</v>
    <v>Learn more on Bing</v>
  </rv>
  <rv s="1">
    <v>0</v>
    <v>TTM TECHNOLOGIES, INC. (XNAS:TTMI)</v>
    <v>2</v>
    <v>3</v>
    <v>Finance</v>
    <v>5</v>
    <v>en</v>
    <v>a24m3m</v>
    <v>268435456</v>
    <v>1</v>
    <v>Powered by Refinitiv</v>
    <v>149.08000000000001</v>
    <v>19.585000000000001</v>
    <v>2.0323000000000002</v>
    <v>-4.84</v>
    <v>-3.2481000000000003E-2</v>
    <v>-0.17</v>
    <v>-1.1790000000000001E-3</v>
    <v>USD</v>
    <v>TTM Technologies, Inc. is a global manufacturer of technology solutions including mission systems, radio frequency (RF) components and RF microwave/microelectronic assemblies, and technologically advanced printed circuit boards (PCB). The A&amp;D segment consists of PCBs, value-added assemblies, microelectronics, RF/microwave components and assemblies, and integrated mission systems. Its products support surveillance, intelligence, communications, and other critical missions for customers in the aerospace and defense industry. Commercial segment consists of PCBs using customer-supplied engineering and design plans supporting customers in the automotive, medical, industrial, and instrumentation, networking, and data center computing end markets. RF&amp;S Components segment consists of TTM designed RF components for commercial customers in the telecommunications, industrial, and instrumentation markets, as well as commercial off-the-shelf components for certain aerospace and defense customers.</v>
    <v>18200</v>
    <v>Nasdaq Stock Market</v>
    <v>XNAS</v>
    <v>XNAS</v>
    <v>200 Sandpointe Ave Ste 400, SANTA ANA, CA, 92707-5747 US</v>
    <v>148.11000000000001</v>
    <v>Semiconductors &amp; Semiconductor Equipment</v>
    <v>Stock</v>
    <v>46139.925272939065</v>
    <v>798</v>
    <v>138.41999999999999</v>
    <v>14971074143</v>
    <v>TTM TECHNOLOGIES, INC.</v>
    <v>TTM TECHNOLOGIES, INC.</v>
    <v>146.84</v>
    <v>91.320300000000003</v>
    <v>149.01</v>
    <v>144.16999999999999</v>
    <v>144</v>
    <v>103843200</v>
    <v>TTMI</v>
    <v>TTM TECHNOLOGIES, INC. (XNAS:TTMI)</v>
    <v>2581852</v>
    <v>1839284</v>
    <v>2005</v>
  </rv>
  <rv s="2">
    <v>799</v>
  </rv>
  <rv s="0">
    <v>https://www.bing.com/financeapi/forcetrigger?t=alohgh&amp;q=XAMS%3aPHARM&amp;form=skydnc</v>
    <v>Learn more on Bing</v>
  </rv>
  <rv s="3">
    <v>6</v>
    <v>Pharming Group NV (XAMS:PHARM)</v>
    <v>2</v>
    <v>7</v>
    <v>Finance</v>
    <v>8</v>
    <v>en</v>
    <v>alohgh</v>
    <v>268435456</v>
    <v>1</v>
    <v>Powered by Refinitiv</v>
    <v>1.82</v>
    <v>0.74</v>
    <v>-0.18090000000000001</v>
    <v>3.0000000000000001E-3</v>
    <v>2.111E-3</v>
    <v>EUR</v>
    <v>Pharming Group NV is a biopharmaceutical company based in the Netherlands. The Company is engaged in the development, production and commercialization of human therapeutic proteins to be used in the therapies. The Company's product portfolio is aimed at treatments for genetic disorders, blood-related disorders, infectious and inflammatory diseases, tissue and bone damage and surgical/traumatic bleeding. Its core product, RUCONEST (conestat alfa) is a recombinant human C1 esterase inhibitor approved for the treatment of acute Hereditary Angioedema (HAE) attacks in patients in Europe, the Unites States, Israel and South Korea. The product is available on a named-patient basis in other territories where it has not yet obtained marketing authorization.</v>
    <v>407</v>
    <v>Euronext Amsterdam</v>
    <v>XAMS</v>
    <v>XAMS</v>
    <v>Darwinweg 24, LEIDEN, ZUID-HOLLAND, 2333 CR NL</v>
    <v>1.4359999999999999</v>
    <v>Pharmaceuticals</v>
    <v>Stock</v>
    <v>46139.666666666664</v>
    <v>801</v>
    <v>1.4065000000000001</v>
    <v>1072728000</v>
    <v>Pharming Group NV</v>
    <v>Pharming Group NV</v>
    <v>1.417</v>
    <v>222.03129999999999</v>
    <v>1.421</v>
    <v>1.4239999999999999</v>
    <v>706252300</v>
    <v>PHARM</v>
    <v>Pharming Group NV (XAMS:PHARM)</v>
    <v>4594099</v>
    <v>9942210</v>
    <v>1988</v>
  </rv>
  <rv s="2">
    <v>802</v>
  </rv>
  <rv s="0">
    <v>https://www.bing.com/financeapi/forcetrigger?t=bgwdz2&amp;q=XNYS%3aARLO&amp;form=skydnc</v>
    <v>Learn more on Bing</v>
  </rv>
  <rv s="1">
    <v>0</v>
    <v>ARLO TECHNOLOGIES, INC. (XNYS:ARLO)</v>
    <v>2</v>
    <v>3</v>
    <v>Finance</v>
    <v>4</v>
    <v>en</v>
    <v>bgwdz2</v>
    <v>268435456</v>
    <v>1</v>
    <v>Powered by Refinitiv</v>
    <v>19.940000000000001</v>
    <v>9.4</v>
    <v>1.6415</v>
    <v>-0.39</v>
    <v>-2.6712E-2</v>
    <v>-0.16</v>
    <v>-1.1259999999999999E-2</v>
    <v>USD</v>
    <v>Arlo Technologies, Inc. is a smart home security platform company. The Company offers advanced home, business, and personal security services that combine a globally scaled cloud platform, advanced monitoring and analytics capabilities, and app-controlled devices to create a personalized security ecosystem. Its expertise in cloud services, artificial intelligence (AI) and computer vision analytics, wireless connectivity and intuitive user experience design deliver seamless, smart home security for its users. Its cloud-based platform provides users with visibility, insight and a powerful means to help protect and connect in real-time with the people and things that matter, from any location with a Wi-Fi or a cellular connection. Its products include Arlo Essential Cameras and Doorbells; Arlo Home Security System; Arlo Pro 5S; Arlo Go 2; Arlo Ultra 2; Arlo Floodlight Camera, and others. Its services include Arlo Secure, Arlo Total Security, Arlo Safe, and other services.</v>
    <v>376</v>
    <v>New York Stock Exchange</v>
    <v>XNYS</v>
    <v>XNYS</v>
    <v>5770 Fleet Street, CARLSBAD, CA, 92008 US</v>
    <v>14.835000000000001</v>
    <v>Specialty Retailers</v>
    <v>Stock</v>
    <v>46139.914747950781</v>
    <v>804</v>
    <v>14.14</v>
    <v>1518415234</v>
    <v>ARLO TECHNOLOGIES, INC.</v>
    <v>ARLO TECHNOLOGIES, INC.</v>
    <v>14.62</v>
    <v>106.28270000000001</v>
    <v>14.6</v>
    <v>14.21</v>
    <v>14.05</v>
    <v>106855400</v>
    <v>ARLO</v>
    <v>ARLO TECHNOLOGIES, INC. (XNYS:ARLO)</v>
    <v>1056168</v>
    <v>1077620</v>
    <v>2018</v>
  </rv>
  <rv s="2">
    <v>805</v>
  </rv>
  <rv s="0">
    <v>https://www.bing.com/financeapi/forcetrigger?t=a226jc&amp;q=XNYS%3aROK&amp;form=skydnc</v>
    <v>Learn more on Bing</v>
  </rv>
  <rv s="1">
    <v>0</v>
    <v>ROCKWELL AUTOMATION, INC. (XNYS:ROK)</v>
    <v>2</v>
    <v>3</v>
    <v>Finance</v>
    <v>4</v>
    <v>en</v>
    <v>a226jc</v>
    <v>268435456</v>
    <v>1</v>
    <v>Powered by Refinitiv</v>
    <v>438.72</v>
    <v>240.13</v>
    <v>1.5497000000000001</v>
    <v>5.74</v>
    <v>1.4308000000000001E-2</v>
    <v>-5.92</v>
    <v>-1.4548E-2</v>
    <v>USD</v>
    <v>Rockwell Automation, Inc. is engaged in industrial automation and digital transformation. The Company operates in three segments: Intelligent Devices, Software &amp; Control, and Lifecycle Services. The Intelligent Devices segment portfolio includes power control, motion control, safety, sensing, and industrial components, and micro control and distributed input/output. The Software &amp; Control operating segment contains a comprehensive portfolio of production automation and production operations platforms, including hardware and software. This integrated portfolio is merging information technology (IT) and operational technology (OT), bringing the benefits of the Connected Enterprise to the production system. The Lifecycle Services segment includes consulting services, including cybersecurity and digital transformation strategy and design and professional services, including global automation and information program and project management and delivery capabilities, and connected services.</v>
    <v>26000</v>
    <v>New York Stock Exchange</v>
    <v>XNYS</v>
    <v>XNYS</v>
    <v>1201 South 2Nd Street, MILWAUKEE, WI, 53204 US</v>
    <v>409.4</v>
    <v>Machinery, Equipment &amp; Components</v>
    <v>Stock</v>
    <v>46139.918590115623</v>
    <v>807</v>
    <v>402.33</v>
    <v>45720676668</v>
    <v>ROCKWELL AUTOMATION, INC.</v>
    <v>ROCKWELL AUTOMATION, INC.</v>
    <v>404.29</v>
    <v>46.547199999999997</v>
    <v>401.18</v>
    <v>406.92</v>
    <v>401</v>
    <v>112357900</v>
    <v>ROK</v>
    <v>ROCKWELL AUTOMATION, INC. (XNYS:ROK)</v>
    <v>708277</v>
    <v>739106</v>
    <v>1996</v>
  </rv>
  <rv s="2">
    <v>808</v>
  </rv>
  <rv s="0">
    <v>https://www.bing.com/financeapi/forcetrigger?t=a24kar&amp;q=XNAS%3aTSLA&amp;form=skydnc</v>
    <v>Learn more on Bing</v>
  </rv>
  <rv s="1">
    <v>0</v>
    <v>TESLA, INC. (XNAS:TSLA)</v>
    <v>2</v>
    <v>3</v>
    <v>Finance</v>
    <v>5</v>
    <v>en</v>
    <v>a24kar</v>
    <v>268435456</v>
    <v>1</v>
    <v>Powered by Refinitiv</v>
    <v>498.83</v>
    <v>270.77999999999997</v>
    <v>1.8003</v>
    <v>2.2549999999999999</v>
    <v>5.9930000000000009E-3</v>
    <v>-0.69</v>
    <v>-1.8220000000000001E-3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134785</v>
    <v>Nasdaq Stock Market</v>
    <v>XNAS</v>
    <v>XNAS</v>
    <v>1 Tesla Road, AUSTIN, TX, 78725 US</v>
    <v>380.78</v>
    <v>Automobiles &amp; Auto Parts</v>
    <v>Stock</v>
    <v>46139.934893032034</v>
    <v>810</v>
    <v>364.02</v>
    <v>1421748098820</v>
    <v>TESLA, INC.</v>
    <v>TESLA, INC.</v>
    <v>372.09</v>
    <v>343.94819999999999</v>
    <v>376.3</v>
    <v>378.55500000000001</v>
    <v>377.98</v>
    <v>3755724000</v>
    <v>TSLA</v>
    <v>TESLA, INC. (XNAS:TSLA)</v>
    <v>66615155</v>
    <v>69266561</v>
    <v>2024</v>
  </rv>
  <rv s="2">
    <v>811</v>
  </rv>
  <rv s="14">
    <v>29</v>
    <v>Nano Nuclear Energy Inc. (XNAS:NNE)</v>
    <v>17</v>
    <v>3</v>
    <v>Finance</v>
    <v>5</v>
    <v>en</v>
    <v>cd5wxm</v>
    <v>268435456</v>
    <v>1</v>
    <v>Powered by Refinitiv</v>
    <v>60.87</v>
    <v>18.930099999999999</v>
    <v>3.8109999999999999</v>
    <v>1.2649999999999999</v>
    <v>5.1643000000000001E-2</v>
    <v>7.0000000000000007E-2</v>
    <v>2.7169999999999998E-3</v>
    <v>USD</v>
    <v>Nano Nuclear Energy Inc. is an advanced technology-driven nuclear energy company. Its business lines include cutting edge portable and other microreactor technologies, nuclear fuel fabrication, nuclear fuel transportation, nuclear applications for space and nuclear industry consulting services. Its reactor products in development include ZEUS, a solid core battery reactor, and ODIN, a low-pressure coolant reactor, each representing advanced developments in clean energy solutions that are portable, on-demand capable, advanced nuclear microreactors. It also develops patented stationary KRONOS Micro Modular Reactor (MMR) Energy System and space focused Pylon Transportable Reactor Platform. Its subsidiaries include Advanced Fuel Transportation Inc. (AFT), HALEU Energy Fuel Inc., and NANO Nuclear Space Inc. (NNS). NNS focuses on applications, such as the LOKI MMR system and other power systems. AFT provides commercial quantities of HALEU fuel to small modular reactors, military, and others.</v>
    <v>36</v>
    <v>Nasdaq Stock Market</v>
    <v>XNAS</v>
    <v>XNAS</v>
    <v>10 Times Square, 30th Floor, NEW YORK, NY, 10018 US</v>
    <v>25.99</v>
    <v>Electrical Utilities &amp; IPPs</v>
    <v>Stock</v>
    <v>46139.928017245315</v>
    <v>23.896999999999998</v>
    <v>1341662974</v>
    <v>Nano Nuclear Energy Inc.</v>
    <v>Nano Nuclear Energy Inc.</v>
    <v>24.04</v>
    <v>0</v>
    <v>24.495000000000001</v>
    <v>25.76</v>
    <v>25.83</v>
    <v>52083190</v>
    <v>NNE</v>
    <v>Nano Nuclear Energy Inc. (XNAS:NNE)</v>
    <v>1634758</v>
    <v>2047039</v>
    <v>2022</v>
  </rv>
  <rv s="2">
    <v>813</v>
  </rv>
  <rv s="0">
    <v>https://www.bing.com/financeapi/forcetrigger?t=c3lonm&amp;q=XNAS%3aFLNC&amp;form=skydnc</v>
    <v>Learn more on Bing</v>
  </rv>
  <rv s="1">
    <v>0</v>
    <v>Fluence Energy Inc (XNAS:FLNC)</v>
    <v>2</v>
    <v>3</v>
    <v>Finance</v>
    <v>4</v>
    <v>en</v>
    <v>c3lonm</v>
    <v>268435456</v>
    <v>1</v>
    <v>Powered by Refinitiv</v>
    <v>33.51</v>
    <v>3.82</v>
    <v>2.7197</v>
    <v>-0.02</v>
    <v>-1.495E-3</v>
    <v>-5.2699999999999997E-2</v>
    <v>-3.9450000000000006E-3</v>
    <v>USD</v>
    <v>Fluence Energy, Inc. is a global provider of energy storage products and services, and optimization software for renewables and storage. With a presence in 47 markets globally, the Company provides an ecosystem of offerings to drive the clean energy transition, including modular, scalable energy storage products, comprehensive service offerings, and artificial intelligence (AI)-enabled optimization software for managing and optimizing renewables and storage from any provider. Its offerings include energy storage products and solutions, delivery services, recurring O&amp;M services, and digital applications and solutions for energy storage and other power assets. Its energy storage solutions include Gridstack Pro, Gridstack, Sunstack, Edgestack, and Ultrastack. In addition, each of its energy storage solutions comes with its proprietary energy management system, Fluence OS. The Company’s cloud-based software products include Fluence Mosaic and Fluence Nispera.</v>
    <v>1670</v>
    <v>Nasdaq Stock Market</v>
    <v>XNAS</v>
    <v>XNAS</v>
    <v>4601 Fairfax Drive, Suite 600, ARLINGTON, VA, 22203 US</v>
    <v>13.92</v>
    <v>Machinery, Equipment &amp; Components</v>
    <v>Stock</v>
    <v>46139.924368402346</v>
    <v>815</v>
    <v>12.565</v>
    <v>2457375608</v>
    <v>Fluence Energy Inc</v>
    <v>Fluence Energy Inc</v>
    <v>13.43</v>
    <v>0</v>
    <v>13.38</v>
    <v>13.36</v>
    <v>13.3073</v>
    <v>183935300</v>
    <v>FLNC</v>
    <v>Fluence Energy Inc (XNAS:FLNC)</v>
    <v>5200389</v>
    <v>4103131</v>
    <v>2021</v>
  </rv>
  <rv s="2">
    <v>816</v>
  </rv>
  <rv s="0">
    <v>https://www.bing.com/financeapi/forcetrigger?t=afsmbh&amp;q=XETR%3aKGX&amp;form=skydnc</v>
    <v>Learn more on Bing</v>
  </rv>
  <rv s="3">
    <v>6</v>
    <v>Kion Group AG (XETR:KGX)</v>
    <v>2</v>
    <v>7</v>
    <v>Finance</v>
    <v>8</v>
    <v>en</v>
    <v>afsmbh</v>
    <v>268435456</v>
    <v>1</v>
    <v>Powered by Refinitiv</v>
    <v>70.45</v>
    <v>35.479999999999997</v>
    <v>2.0728</v>
    <v>-0.13</v>
    <v>-2.9970000000000001E-3</v>
    <v>EUR</v>
    <v>Kion Group AG is a Germany-based supplier of industrial trucks, related services and supply chain solutions. The activities of the Company are divided into three segments: Industrial Trucks and Services, Supply Chain Solutions and Corporate Services. The Industrial Trucks and Services segment comprises forklift trucks, warehouse technology, counterbalance trucks, towing vehicles, as well as automated trucks and autonomous trucks. It operates through three international brands: Linde, STILL and Baoli, as well as through three regional brands: Fenwick (France), OM STILL (Italy) and OM Voltas (India). The Supply Chain Solutions segment offers integrated technology and software solutions, picking equipment, automated storage and retrieval systems, sorters, and conveyors, marketed under the Dematic brand. The Company is active in more than 100 countries across the world.</v>
    <v>42175</v>
    <v>Xetra</v>
    <v>XETR</v>
    <v>XETR</v>
    <v>Thea-Rasche-Strasse 8, HESSEN, 60549 DE</v>
    <v>44.3</v>
    <v>Machinery, Equipment &amp; Components</v>
    <v>Stock</v>
    <v>46139.896018518521</v>
    <v>818</v>
    <v>43.11</v>
    <v>8475433000</v>
    <v>Kion Group AG</v>
    <v>Kion Group AG</v>
    <v>43.77</v>
    <v>24.743300000000001</v>
    <v>43.38</v>
    <v>43.25</v>
    <v>131198700</v>
    <v>KGX</v>
    <v>Kion Group AG (XETR:KGX)</v>
    <v>419565</v>
    <v>435640</v>
    <v>2018</v>
  </rv>
  <rv s="2">
    <v>819</v>
  </rv>
  <rv s="0">
    <v>https://www.bing.com/financeapi/forcetrigger?t=a22gz2&amp;q=XNAS%3aSANM&amp;form=skydnc</v>
    <v>Learn more on Bing</v>
  </rv>
  <rv s="1">
    <v>0</v>
    <v>SANMINA CORPORATION (XNAS:SANM)</v>
    <v>2</v>
    <v>3</v>
    <v>Finance</v>
    <v>5</v>
    <v>en</v>
    <v>a22gz2</v>
    <v>268435456</v>
    <v>1</v>
    <v>Powered by Refinitiv</v>
    <v>197.63</v>
    <v>74.900000000000006</v>
    <v>1.347</v>
    <v>-4.08</v>
    <v>-2.1232000000000001E-2</v>
    <v>24.7</v>
    <v>0.131327</v>
    <v>USD</v>
    <v>Sanmina Corporation is a global provider of integrated manufacturing solutions, components, products and repair, logistics and after-market services. It provides end-to-end manufacturing solutions, delivering support to original equipment manufacturers in the industrial and energy, medical, defense and aerospace, automotive and transportation, communications networks and cloud and artificial intelligence infrastructure industries. Its operations are managed in two businesses: Integrated Manufacturing Solutions (IMS) and Components, Products and Services (CPS). IMS segment consists of printed circuit board assembly and test, high-level assembly and test and direct-order-fulfillment. CPS includes advanced printed circuit boards, backplanes and backplane assemblies, cable assemblies, fabricated metal parts, precision machined parts and plastic injected molded parts. Its products include optical, radio frequency and microelectronic design and manufacturing services, among others.</v>
    <v>39000</v>
    <v>Nasdaq Stock Market</v>
    <v>XNAS</v>
    <v>XNAS</v>
    <v>2700 N 1st St, SAN JOSE, CA, 95134 US</v>
    <v>197.63</v>
    <v>Electronic Equipment &amp; Parts</v>
    <v>Stock</v>
    <v>46139.934579513283</v>
    <v>821</v>
    <v>183.08500000000001</v>
    <v>10270087711</v>
    <v>SANMINA CORPORATION</v>
    <v>SANMINA CORPORATION</v>
    <v>197.63</v>
    <v>45.973700000000001</v>
    <v>192.16</v>
    <v>188.08</v>
    <v>212.78</v>
    <v>54604890</v>
    <v>SANM</v>
    <v>SANMINA CORPORATION (XNAS:SANM)</v>
    <v>1905449</v>
    <v>658829</v>
    <v>1989</v>
  </rv>
  <rv s="2">
    <v>822</v>
  </rv>
  <rv s="0">
    <v>https://www.bing.com/financeapi/forcetrigger?t=bwpvvh&amp;q=XNYS%3aJOBY&amp;form=skydnc</v>
    <v>Learn more on Bing</v>
  </rv>
  <rv s="1">
    <v>0</v>
    <v>JOBY AVIATION, INC. (XNYS:JOBY)</v>
    <v>2</v>
    <v>3</v>
    <v>Finance</v>
    <v>5</v>
    <v>en</v>
    <v>bwpvvh</v>
    <v>268435456</v>
    <v>1</v>
    <v>Powered by Refinitiv</v>
    <v>20.95</v>
    <v>6.14</v>
    <v>2.5695999999999999</v>
    <v>0.54500000000000004</v>
    <v>6.4118000000000008E-2</v>
    <v>0.24030000000000001</v>
    <v>2.6581999999999998E-2</v>
    <v>USD</v>
    <v>Joby Aviation, Inc. is a transportation company developing an all-electric, vertical take-off and landing air taxi. The Company is engaged in designing and testing a piloted all-electric, vertical take-off and landing (eVTOL) aircraft. The Joby eVTOL is designed to transport a pilot and up to four passengers or an expected payload of up to 1,000 pounds at speeds of up to 200 miles per hour (mph). The aircraft is optimized for urban routes, with a target range of up to 100 miles on a single charge. The Company plans to manufacture, own and operate its aircraft itself, building a vertically integrated transportation company that delivers transportation services to customers, including government agencies such as the United States Air Force (USAF) through sales or contracted operations, and to individual end-users through a convenient app-based aerial ridesharing service. It also offers a network of terminals and loyal flyers in markets like New York and in Southern Europe.</v>
    <v>2559</v>
    <v>New York Stock Exchange</v>
    <v>XNYS</v>
    <v>XNYS</v>
    <v>333 Encinal Street, SANTA CRUZ, CA, 95060 US</v>
    <v>9.1298999999999992</v>
    <v>Aerospace &amp; Defense</v>
    <v>Stock</v>
    <v>46139.935004640625</v>
    <v>824</v>
    <v>8.57</v>
    <v>8892766318</v>
    <v>JOBY AVIATION, INC.</v>
    <v>JOBY AVIATION, INC.</v>
    <v>8.69</v>
    <v>0</v>
    <v>8.5</v>
    <v>9.0449999999999999</v>
    <v>9.2803000000000004</v>
    <v>983169300</v>
    <v>JOBY</v>
    <v>JOBY AVIATION, INC. (XNYS:JOBY)</v>
    <v>44948797</v>
    <v>21897713</v>
    <v>2021</v>
  </rv>
  <rv s="2">
    <v>825</v>
  </rv>
  <rv s="0">
    <v>https://www.bing.com/financeapi/forcetrigger?t=ae9omw&amp;q=XPAR%3aNEX&amp;form=skydnc</v>
    <v>Learn more on Bing</v>
  </rv>
  <rv s="3">
    <v>6</v>
    <v>Nexans SA (XPAR:NEX)</v>
    <v>2</v>
    <v>7</v>
    <v>Finance</v>
    <v>8</v>
    <v>en</v>
    <v>ae9omw</v>
    <v>268435456</v>
    <v>1</v>
    <v>Powered by Refinitiv</v>
    <v>145.30000000000001</v>
    <v>89.8</v>
    <v>0.89500000000000002</v>
    <v>-0.7</v>
    <v>-5.091E-3</v>
    <v>EUR</v>
    <v>Nexans SA is a France-based company engaged in the cable industry. It provides copper and fiber-optic cables and cabling systems to the energy infrastructure, telecom and data, building and Local Area Network (LAN) markets. The Company goes beyond cables to offer its customers a comprehensive service that leverages digital technology to maximize the performance and efficiency of their critical assets. It designs solutions and services throughout the value chain in three main areas of activity, such as Building &amp; Territories (including public services and e-mobility), High Voltage &amp; Projects (covering offshore wind farms , submarine interconnections, terrestrial high voltage), and Industry &amp; Solutions (including renewable energies, transport, oil and gas, automation, and others).</v>
    <v>12669</v>
    <v>Euronext Paris</v>
    <v>XPAR</v>
    <v>XPAR</v>
    <v>4 allee de L Arche, COURBEVOIE, ILE-DE-FRANCE, 92400 FR</v>
    <v>140.19999999999999</v>
    <v>Machinery, Equipment &amp; Components</v>
    <v>Stock</v>
    <v>46139.666666666664</v>
    <v>827</v>
    <v>135.6</v>
    <v>5419978000</v>
    <v>Nexans SA</v>
    <v>Nexans SA</v>
    <v>137.69999999999999</v>
    <v>16.993099999999998</v>
    <v>137.5</v>
    <v>136.80000000000001</v>
    <v>43744780</v>
    <v>NEX</v>
    <v>Nexans SA (XPAR:NEX)</v>
    <v>118173</v>
    <v>158340</v>
    <v>1994</v>
  </rv>
  <rv s="2">
    <v>828</v>
  </rv>
  <rv s="0">
    <v>https://www.bing.com/financeapi/forcetrigger?t=bn6lmw&amp;q=XNYS%3aBE&amp;form=skydnc</v>
    <v>Learn more on Bing</v>
  </rv>
  <rv s="6">
    <v>14</v>
    <v>BLOOM ENERGY CORPORATION (XNYS:BE)</v>
    <v>2</v>
    <v>15</v>
    <v>Finance</v>
    <v>5</v>
    <v>en</v>
    <v>bn6lmw</v>
    <v>268435456</v>
    <v>1</v>
    <v>Powered by Refinitiv</v>
    <v>242.2029</v>
    <v>16.05</v>
    <v>3.5310999999999999</v>
    <v>3.79</v>
    <v>1.6395E-2</v>
    <v>6.11</v>
    <v>2.6034999999999999E-2</v>
    <v>USD</v>
    <v>Bloom Energy Corporation is engaged in stationary fuel cell power generation by market share. The Company provides distributed energy technology solutions to customers. The Company manufactures advanced and versatile fuel cell energy platforms, supporting the commercial availability of two products: the Bloom Energy Server for generating electricity and the Bloom Electrolyzer for producing hydrogen. With approximately 1.4 gigawatts (GW) of Energy Server systems deployed in more than 1,000 locations and nine countries. Its solid oxide fuel cell technology platform is the foundation for its Energy Server system and Bloom Electrolyzer. The Bloom Energy Server system is designed to deliver reliable, resilient, clean and affordable energy for utilities and organizations alike. Its Energy Server system is designed to deliver reliable electricity. The Bloom Electrolyzer is designed to provide hydrogen solutions based on the same solid oxide platform as its Energy Server systems.</v>
    <v>2214</v>
    <v>New York Stock Exchange</v>
    <v>XNYS</v>
    <v>XNYS</v>
    <v>4353 N 1st St, SAN JOSE, CA, 95134-1259 US</v>
    <v>239.05</v>
    <v>Machinery, Equipment &amp; Components</v>
    <v>Stock</v>
    <v>46139.934405161715</v>
    <v>830</v>
    <v>225.51</v>
    <v>66775796472</v>
    <v>BLOOM ENERGY CORPORATION</v>
    <v>BLOOM ENERGY CORPORATION</v>
    <v>233.62</v>
    <v>231.17</v>
    <v>234.96</v>
    <v>240.79</v>
    <v>284200700</v>
    <v>BE</v>
    <v>BLOOM ENERGY CORPORATION (XNYS:BE)</v>
    <v>7070208</v>
    <v>10478357</v>
    <v>2001</v>
  </rv>
  <rv s="2">
    <v>831</v>
  </rv>
  <rv s="0">
    <v>https://www.bing.com/financeapi/forcetrigger?t=aea3oc&amp;q=XPAR%3aSPIE&amp;form=skydnc</v>
    <v>Learn more on Bing</v>
  </rv>
  <rv s="3">
    <v>6</v>
    <v>Spie SA (XPAR:SPIE)</v>
    <v>2</v>
    <v>7</v>
    <v>Finance</v>
    <v>8</v>
    <v>en</v>
    <v>aea3oc</v>
    <v>268435456</v>
    <v>1</v>
    <v>Powered by Refinitiv</v>
    <v>54.55</v>
    <v>40.659999999999997</v>
    <v>0.90600000000000003</v>
    <v>0.12</v>
    <v>2.4660000000000003E-3</v>
    <v>EUR</v>
    <v>Spie SA is a France-based company, which provides multi-technical services in the areas of energy and communications. The Company helps its customers design, build, operate and maintain energy-efficient and environmentally-friendly facilities. It focuses its development on three activities: Mechanical and Electrical Services, Information &amp; Communications Technology Services and Technical Facility Management. The Company offers services in various sectors, such as food and beverage, pharmaceutical, industrial, energy and public. It operates through Aaftink, Tevean, Alewijnse Retail, Leven Energy Services, an independent utilities contractor supporting Distribution Network Operators (DNO'S); Alewijnse Technisch Beheer; GPE Technical Services BV; TriosGroup; AGIS Fire, Security Group, SAG Vermoegensverwaltung GmbH (SAG), Maintenance Mesure Controle (MMC), MER ICT, Systemat, S-Cube and Jm Electricite, among others.</v>
    <v>54673</v>
    <v>Euronext Paris</v>
    <v>XPAR</v>
    <v>XPAR</v>
    <v>Campus Saint-Christophe, 10, avenue de l'Entreprise, Cedex, CERGY-PONTOISE, ILE-DE-FRANCE, 95863 FR</v>
    <v>49.86</v>
    <v>Construction &amp; Engineering</v>
    <v>Stock</v>
    <v>46139.666666666664</v>
    <v>833</v>
    <v>48.78</v>
    <v>8256910000</v>
    <v>Spie SA</v>
    <v>Spie SA</v>
    <v>49.02</v>
    <v>46.752499999999998</v>
    <v>48.66</v>
    <v>48.78</v>
    <v>169358000</v>
    <v>SPIE</v>
    <v>Spie SA (XPAR:SPIE)</v>
    <v>294921</v>
    <v>295900</v>
    <v>2011</v>
  </rv>
  <rv s="2">
    <v>834</v>
  </rv>
  <rv s="0">
    <v>https://www.bing.com/financeapi/forcetrigger?t=ae94vh&amp;q=XPAR%3aLR&amp;form=skydnc</v>
    <v>Learn more on Bing</v>
  </rv>
  <rv s="3">
    <v>6</v>
    <v>Legrand SA (XPAR:LR)</v>
    <v>2</v>
    <v>7</v>
    <v>Finance</v>
    <v>8</v>
    <v>en</v>
    <v>ae94vh</v>
    <v>268435456</v>
    <v>1</v>
    <v>Powered by Refinitiv</v>
    <v>157.35</v>
    <v>94.36</v>
    <v>1.2916000000000001</v>
    <v>-2.0499999999999998</v>
    <v>-1.3443E-2</v>
    <v>EUR</v>
    <v>Legrand SA, formerly Legrand SNC, is a France-based company. The Company predominantly specializes in electrical and digital building infrastructure. Its range of products are suitable for the commercial, industrial, and residential segments of the low voltage market. The Company has commercial and industrial operations in over 90 countries. It benefits from solid, long-term growth levers. Its products launched by the Company are used for energy efficiency: Radiant Light-emitting diode (LED) Advanced dimmer, and Connected 3-phase meter with Netatmo, and others; connected products in the Eliot program: NOVO GO portable telecare device and T4 Wireless fire alarm system, among others; and data centers: Cablofil Wiremesh cable tray CF 150/900 BS, and UPS Keor SPE RT, among others.</v>
    <v>37768</v>
    <v>Euronext Paris</v>
    <v>XPAR</v>
    <v>XPAR</v>
    <v>128, av. du Marechal de Lattre de Tassigny, LIMOGES, NOUVELLE-AQUITAINE, 87000 FR</v>
    <v>153.65</v>
    <v>Machinery, Equipment &amp; Components</v>
    <v>Stock</v>
    <v>46139.666666666664</v>
    <v>836</v>
    <v>149.4</v>
    <v>33318320000</v>
    <v>Legrand SA</v>
    <v>Legrand SA</v>
    <v>152.69999999999999</v>
    <v>32.105899999999998</v>
    <v>152.5</v>
    <v>150.44999999999999</v>
    <v>262245700</v>
    <v>LR</v>
    <v>Legrand SA (XPAR:LR)</v>
    <v>353314</v>
    <v>524920</v>
    <v>1998</v>
  </rv>
  <rv s="2">
    <v>837</v>
  </rv>
  <rv s="0">
    <v>https://www.bing.com/financeapi/forcetrigger?t=amg38m&amp;q=BMEX%3aSLR&amp;form=skydnc</v>
    <v>Learn more on Bing</v>
  </rv>
  <rv s="3">
    <v>6</v>
    <v>Solaria Energia y Medio Ambiente SA (BMEX:SLR)</v>
    <v>2</v>
    <v>7</v>
    <v>Finance</v>
    <v>8</v>
    <v>en</v>
    <v>amg38m</v>
    <v>268435456</v>
    <v>1</v>
    <v>Powered by Refinitiv</v>
    <v>25.85</v>
    <v>6.2480000000000002</v>
    <v>1.0708</v>
    <v>0.63</v>
    <v>2.5527000000000001E-2</v>
    <v>EUR</v>
    <v>Solaria Energia y Medio Ambiente SA (Solaria) is a Spain-based company engaged, together with its subsidiaries, in the renewable energy sector. The Company’s activities comprise the designing and installation of solar, thermal, photovoltaic and wind energy plants. The Company’s business is structured in three areas: Photovoltaic and Thermal Panels division, which is engaged in the development, production and sale of the solar panels. Turnkey Projects division includes the processing of licenses and permits, planning and design of photovoltaic systems, supervision and coordination of the construction of facilities, drafting and technical management of projects, as well as the set-up and maintenance of the installations. In the Generation division the Company develops, manages and operates its own photovoltaic plants.</v>
    <v>212</v>
    <v>Bolsas y Mercados Espanoles</v>
    <v>BMEX</v>
    <v>BMEX</v>
    <v>PRINCESA 2 4, 28008 ES</v>
    <v>25.49</v>
    <v>Electrical Utilities &amp; IPPs</v>
    <v>Stock</v>
    <v>46139.666666666664</v>
    <v>839</v>
    <v>25.06</v>
    <v>2224750000</v>
    <v>Solaria Energia y Medio Ambiente SA</v>
    <v>Solaria Energia y Medio Ambiente SA</v>
    <v>25.06</v>
    <v>22.444500000000001</v>
    <v>24.68</v>
    <v>25.31</v>
    <v>124950900</v>
    <v>SLR</v>
    <v>Solaria Energia y Medio Ambiente SA (BMEX:SLR)</v>
    <v>553175</v>
    <v>779900</v>
    <v>2002</v>
  </rv>
  <rv s="2">
    <v>840</v>
  </rv>
  <rv s="14">
    <v>29</v>
    <v>SAFE PRO GROUP INC. (XNAS:SPAI)</v>
    <v>17</v>
    <v>3</v>
    <v>Finance</v>
    <v>4</v>
    <v>en</v>
    <v>cehm8m</v>
    <v>268435456</v>
    <v>1</v>
    <v>Powered by Refinitiv</v>
    <v>9.1599000000000004</v>
    <v>2.39</v>
    <v>3.6779999999999999</v>
    <v>-0.08</v>
    <v>-1.8349000000000001E-2</v>
    <v>0.10979999999999999</v>
    <v>2.5654E-2</v>
    <v>USD</v>
    <v>Safe Pro Group Inc. is a holding company. The Company is focused on security and protection solutions, specifically, advanced artificial intelligence / machine learning (AI/ML) software technology for the creation of robust datasets sourced from the analysis of aerial imagery, bullet and blast resistant personal protection equipment and providing mission-critical aerial managed services. Through its Safe Pro AI unit, it has developed an ecosystem of advanced AI-powered object detection and data analysis and reporting tools for hyper-scalable, cloud-based processing of drone imagery. Through its Safe-Pro USA, LLC unit, it is engaged in manufacturing premium bullet and blast resistant protection equipment utilized by domestic and international customers in the military, law enforcement, and others. Through its Airborne Response Corp. unit, it provides a range of contracted aerial platform-based technology services, predominantly using small uncrewed aircraft systems, such as drones.</v>
    <v>15</v>
    <v>Nasdaq Stock Market</v>
    <v>XNAS</v>
    <v>XNAS</v>
    <v>18305 Biscayne Blvd., Suite 222, AVENTURA, FL, 33160 US</v>
    <v>4.5</v>
    <v>Software &amp; IT Services</v>
    <v>Stock</v>
    <v>46139.917480381249</v>
    <v>4.2625999999999999</v>
    <v>89407445</v>
    <v>SAFE PRO GROUP INC.</v>
    <v>SAFE PRO GROUP INC.</v>
    <v>4.32</v>
    <v>0</v>
    <v>4.3600000000000003</v>
    <v>4.28</v>
    <v>4.3898000000000001</v>
    <v>20889590</v>
    <v>SPAI</v>
    <v>SAFE PRO GROUP INC. (XNAS:SPAI)</v>
    <v>135196</v>
    <v>196860</v>
    <v>2021</v>
  </rv>
  <rv s="2">
    <v>842</v>
  </rv>
  <rv s="0">
    <v>https://www.bing.com/financeapi/forcetrigger?t=a1vjbh&amp;q=XNAS%3aINCY&amp;form=skydnc</v>
    <v>Learn more on Bing</v>
  </rv>
  <rv s="1">
    <v>0</v>
    <v>INCYTE CORPORATION (XNAS:INCY)</v>
    <v>2</v>
    <v>3</v>
    <v>Finance</v>
    <v>4</v>
    <v>en</v>
    <v>a1vjbh</v>
    <v>268435456</v>
    <v>1</v>
    <v>Powered by Refinitiv</v>
    <v>112.29</v>
    <v>57.77</v>
    <v>0.79969999999999997</v>
    <v>1.0649999999999999</v>
    <v>1.1252E-2</v>
    <v>0.68500000000000005</v>
    <v>7.1570000000000002E-3</v>
    <v>USD</v>
    <v>Incyte Corporation is a biopharmaceutical company, which is focused on the discovery, development, and commercialization of therapeutics. The Company operates in two therapeutic areas. One therapeutic area is Hematology/Oncology, which is comprised of Myeloproliferative Neoplasms and Graft-Versus-Host Disease, as well as solid tumors and hematologic malignancies. Its other therapeutic area is Inflammation and Autoimmunity, which includes its Dermatology commercial franchise. Its hematology and oncology franchise are comprised of six products, which are JAKAFI (ruxolitinib), MONJUVI (tafasitamab-cxix)/MINJUVI (tafasitamab), PEMAZYRE (pemigatinib), ICLUSIG (ponatinib), NIKTIMVO (axatilimab-csfr), and ZYNYZ (retifanlimab-dlwr), as well as numerous clinical development programs. The Company's pipeline also includes two first-in-class small molecule antagonist of Mas-related G protein-coupled receptor (MRGPRX2) and INCB000547, an oral MRGPRX4 antagonist.</v>
    <v>2844</v>
    <v>Nasdaq Stock Market</v>
    <v>XNAS</v>
    <v>XNAS</v>
    <v>1801 Augustine Cut-Off, WILMINGTON, DE, 19803 US</v>
    <v>97.66</v>
    <v>Pharmaceuticals</v>
    <v>Stock</v>
    <v>46139.922866122659</v>
    <v>844</v>
    <v>94.5</v>
    <v>19048672867</v>
    <v>INCYTE CORPORATION</v>
    <v>INCYTE CORPORATION</v>
    <v>94.5</v>
    <v>14.9445</v>
    <v>94.65</v>
    <v>95.715000000000003</v>
    <v>96.4</v>
    <v>199014500</v>
    <v>INCY</v>
    <v>INCYTE CORPORATION (XNAS:INCY)</v>
    <v>2148487</v>
    <v>1422659</v>
    <v>1991</v>
  </rv>
  <rv s="2">
    <v>845</v>
  </rv>
  <rv s="0">
    <v>https://www.bing.com/financeapi/forcetrigger?t=bssf27&amp;q=XNAS%3aSITM&amp;form=skydnc</v>
    <v>Learn more on Bing</v>
  </rv>
  <rv s="1">
    <v>0</v>
    <v>SITIME CORPORATION (XNAS:SITM)</v>
    <v>2</v>
    <v>3</v>
    <v>Finance</v>
    <v>4</v>
    <v>en</v>
    <v>bssf27</v>
    <v>268435456</v>
    <v>1</v>
    <v>Powered by Refinitiv</v>
    <v>591.13</v>
    <v>138.74</v>
    <v>2.9220999999999999</v>
    <v>-22.28</v>
    <v>-3.9070000000000001E-2</v>
    <v>-4.88</v>
    <v>-8.9049999999999997E-3</v>
    <v>USD</v>
    <v>SiTime Corporation is a provider of Precision Timing solutions to the global electronics industry. The Company's products have been designed into over 400 applications across our target markets, including artificial intelligence (AI) systems, datacenter, communications, enterprise, automotive, industrial, aerospace, defense, mobile, Internet of Things (IoT), and consumer. Its solutions include various types of oscillators, as well as clock integrated circuits (ICs), resonators, and synchronization software. The Company's Precision Timing solutions comprise of Oscillators and Clock ICs, MEMS resonators, and Advanced system-level integration, and Software suite. Its low-power nano-ampere and high-resolution DualMEMS sensing technologies stabilize its Precision Timing solutions despite rapid temperature changes. It is specialized in the silicon MEMS timing industry with the MEMS First, EpiSeal, TempFlat and ApexMEMS processes and technologies.</v>
    <v>441</v>
    <v>Nasdaq Stock Market</v>
    <v>XNAS</v>
    <v>XNAS</v>
    <v>5451 Patrick Henry Dr, SANTA CLARA, CA, 95054-1167 US</v>
    <v>574.03</v>
    <v>Semiconductors &amp; Semiconductor Equipment</v>
    <v>Stock</v>
    <v>46139.904115323436</v>
    <v>847</v>
    <v>536.27269999999999</v>
    <v>14464934903</v>
    <v>SITIME CORPORATION</v>
    <v>SITIME CORPORATION</v>
    <v>567.61</v>
    <v>0</v>
    <v>570.26</v>
    <v>547.98</v>
    <v>543.1</v>
    <v>26396830</v>
    <v>SITM</v>
    <v>SITIME CORPORATION (XNAS:SITM)</v>
    <v>387737</v>
    <v>520842</v>
    <v>2003</v>
  </rv>
  <rv s="2">
    <v>848</v>
  </rv>
  <rv s="0">
    <v>https://www.bing.com/financeapi/forcetrigger?t=b17tur&amp;q=XNYS%3aEVRG&amp;form=skydnc</v>
    <v>Learn more on Bing</v>
  </rv>
  <rv s="1">
    <v>0</v>
    <v>Evergy, Inc. (XNAS:EVRG)</v>
    <v>2</v>
    <v>3</v>
    <v>Finance</v>
    <v>4</v>
    <v>en</v>
    <v>b17tur</v>
    <v>268435456</v>
    <v>1</v>
    <v>Powered by Refinitiv</v>
    <v>85.27</v>
    <v>63.29</v>
    <v>0.53500000000000003</v>
    <v>0.36</v>
    <v>4.4320000000000002E-3</v>
    <v>-0.53380000000000005</v>
    <v>-6.5420000000000001E-3</v>
    <v>USD</v>
    <v>Evergy, Inc. is a utility holding company. The Company operates primarily through its wholly owned subsidiaries,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owns 13.5% of Transource Energy, LLC (Transource) with the remaining 86.5% owned by AEP Transmission Holding Company, LLC. Transource is focused on the development of competitive electric transmission projects.</v>
    <v>4691</v>
    <v>Nasdaq Stock Market</v>
    <v>XNAS</v>
    <v>XNAS</v>
    <v>1200 Main St, KANSAS CITY, MO, 64105-2122 US</v>
    <v>82.13</v>
    <v>Electrical Utilities &amp; IPPs</v>
    <v>Stock</v>
    <v>46139.869997742971</v>
    <v>850</v>
    <v>81.165000000000006</v>
    <v>18788879719</v>
    <v>Evergy, Inc.</v>
    <v>Evergy, Inc.</v>
    <v>81.319999999999993</v>
    <v>22.280799999999999</v>
    <v>81.23</v>
    <v>81.59</v>
    <v>81.056200000000004</v>
    <v>230284100</v>
    <v>EVRG</v>
    <v>Evergy, Inc. (XNAS:EVRG)</v>
    <v>1311322</v>
    <v>1654127</v>
    <v>2017</v>
  </rv>
  <rv s="2">
    <v>851</v>
  </rv>
  <rv s="0">
    <v>https://www.bing.com/financeapi/forcetrigger?t=btgem7&amp;q=XNAS%3aARQT&amp;form=skydnc</v>
    <v>Learn more on Bing</v>
  </rv>
  <rv s="1">
    <v>0</v>
    <v>ARCUTIS BIOTHERAPEUTICS, INC. (XNAS:ARQT)</v>
    <v>2</v>
    <v>3</v>
    <v>Finance</v>
    <v>4</v>
    <v>en</v>
    <v>btgem7</v>
    <v>268435456</v>
    <v>1</v>
    <v>Powered by Refinitiv</v>
    <v>31.77</v>
    <v>12.42</v>
    <v>1.6044</v>
    <v>0.16</v>
    <v>6.8789999999999997E-3</v>
    <v>0.05</v>
    <v>2.1349999999999997E-3</v>
    <v>USD</v>
    <v>Arcutis Biotherapeutics, Inc. is a commercial-stage medical dermatology company. The Company is focused on developing and commercializing treatments for dermatological diseases with high-unmet medical needs. Its portfolio is comprised of topical and systemic treatments with potential to treat immune-mediated dermatological diseases and conditions. Its lead product, ZORYVE, is for the treatment of plaque psoriasis, including psoriasis in the intertriginous areas, in individuals 12 years of age or older. The ZORYVE is also indicated for topical treatment of mild to moderate atopic dermatitis. ZORYVE cream is a once-daily topical formulation of roflumilast, a potent and selective phosphodiesterase-4 (PDE4) inhibitor. The Company’s pipeline includes ARQ-255, ARQ-252, and ARQ-234. Its ARQ-255 is being developed for the treatment of alopecia areata. ARQ-252 is an alternative topical cream formulation of ivarmacitinib that the Company is developing for chronic hand eczema and vitiligo.</v>
    <v>354</v>
    <v>Nasdaq Stock Market</v>
    <v>XNAS</v>
    <v>XNAS</v>
    <v>3027 Townsgate Road, Suite 300, WESTLAKE VILLAGE, CA, 91361 US</v>
    <v>24.15</v>
    <v>Pharmaceuticals</v>
    <v>Stock</v>
    <v>46139.918491921097</v>
    <v>853</v>
    <v>23.15</v>
    <v>2929214344</v>
    <v>ARCUTIS BIOTHERAPEUTICS, INC.</v>
    <v>ARCUTIS BIOTHERAPEUTICS, INC.</v>
    <v>23.32</v>
    <v>0</v>
    <v>23.26</v>
    <v>23.42</v>
    <v>23.47</v>
    <v>125073200</v>
    <v>ARQT</v>
    <v>ARCUTIS BIOTHERAPEUTICS, INC. (XNAS:ARQT)</v>
    <v>823146</v>
    <v>1204908</v>
    <v>2016</v>
  </rv>
  <rv s="2">
    <v>854</v>
  </rv>
  <rv s="0">
    <v>https://www.bing.com/financeapi/forcetrigger?t=a1vgur&amp;q=XNAS%3aWULF&amp;form=skydnc</v>
    <v>Learn more on Bing</v>
  </rv>
  <rv s="1">
    <v>0</v>
    <v>TERAWULF INC. (XNAS:WULF)</v>
    <v>2</v>
    <v>3</v>
    <v>Finance</v>
    <v>5</v>
    <v>en</v>
    <v>a1vgur</v>
    <v>268435456</v>
    <v>1</v>
    <v>Powered by Refinitiv</v>
    <v>21.6</v>
    <v>2.67</v>
    <v>3.7837999999999998</v>
    <v>1.42</v>
    <v>7.0965E-2</v>
    <v>6.9500000000000006E-2</v>
    <v>3.2429999999999998E-3</v>
    <v>USD</v>
    <v>TeraWulf Inc. develops, owns, and operates sustainable, industrial-scale data center infrastructure in the United States, purpose-built for high-performance computing (HPC) hosting and bitcoin mining. The Company has two operating segments: Digital Asset Mining and HPC Leasing. Digital Asset Mining consists of providing hash computation services to a mining pool operator. HPC Leasing consists of providing high-density colocation services to third parties for HPC operations. The Company’s primary operations are located at the Lake Mariner Campus, strategically located on the shores of Lake Ontario. The Company provides hash computation services to a mining pool operator, facilitating transaction validation of transactions on the global bitcoin network using its fleet of application-specific integrated circuit miners. It also has digital and power infrastructure portfolio located in brownfield infrastructure sites in Hawesville, Kentucky and Charles County, Maryland.</v>
    <v>141</v>
    <v>Nasdaq Stock Market</v>
    <v>XNAS</v>
    <v>XNAS</v>
    <v>9 Federal Street, EASTON, MD, 21601 US</v>
    <v>21.46</v>
    <v>Financial Technology (Fintech) &amp; Infrastructure</v>
    <v>Stock</v>
    <v>46139.934208749997</v>
    <v>856</v>
    <v>20</v>
    <v>10498385560</v>
    <v>TERAWULF INC.</v>
    <v>TERAWULF INC.</v>
    <v>20.329999999999998</v>
    <v>0</v>
    <v>20.010000000000002</v>
    <v>21.43</v>
    <v>21.499500000000001</v>
    <v>489892000</v>
    <v>WULF</v>
    <v>TERAWULF INC. (XNAS:WULF)</v>
    <v>32941834</v>
    <v>33052417</v>
    <v>2021</v>
  </rv>
  <rv s="2">
    <v>857</v>
  </rv>
  <rv s="0">
    <v>https://www.bing.com/financeapi/forcetrigger?t=a1squ2&amp;q=XNYS%3aFE&amp;form=skydnc</v>
    <v>Learn more on Bing</v>
  </rv>
  <rv s="1">
    <v>0</v>
    <v>FIRSTENERGY CORP. (XNYS:FE)</v>
    <v>2</v>
    <v>3</v>
    <v>Finance</v>
    <v>4</v>
    <v>en</v>
    <v>a1squ2</v>
    <v>268435456</v>
    <v>1</v>
    <v>Powered by Refinitiv</v>
    <v>52.34</v>
    <v>39.274999999999999</v>
    <v>0.50770000000000004</v>
    <v>0.03</v>
    <v>6.0720000000000001E-4</v>
    <v>0</v>
    <v>0</v>
    <v>USD</v>
    <v>FirstEnergy Corp. and its subsidiaries are involved in the transmission, distribution, and generation of electricity through its segments: Distribution, Integrated and Stand-Alone Transmission. The Distribution Segment, which consists of the Ohio Companies and FirstEnergy Pennsylvania Electric Company (FE PA), distributes electricity in Ohio and Pennsylvania. The Integrated segment includes the distribution and transmission operations under Jersey Central Power &amp; Light Company (JCP&amp;L), Monongahela Power Company (MP) and The Potomac Edison Company (PE), as well as MP's regulated generation operations. The segment distributes electricity in New Jersey, West Virginia and Maryland, provides transmission infrastructure, and operates over 3,610 megawatts of regulated generation capacity. The Stand-Alone Transmission segment consists of its ownership in FET and KATCo, which includes transmission infrastructure owned and operated by the Transmission Companies and used to transmit electricity.</v>
    <v>11186</v>
    <v>New York Stock Exchange</v>
    <v>XNYS</v>
    <v>XNYS</v>
    <v>341 White Pond Drive, AKRON, OH, 44320 US</v>
    <v>49.905000000000001</v>
    <v>Electrical Utilities &amp; IPPs</v>
    <v>Stock</v>
    <v>46139.863937962502</v>
    <v>859</v>
    <v>49.4</v>
    <v>28596026784</v>
    <v>FIRSTENERGY CORP.</v>
    <v>FIRSTENERGY CORP.</v>
    <v>49.55</v>
    <v>28.001200000000001</v>
    <v>49.41</v>
    <v>49.44</v>
    <v>49.44</v>
    <v>578398600</v>
    <v>FE</v>
    <v>FIRSTENERGY CORP. (XNYS:FE)</v>
    <v>4352184</v>
    <v>4214217</v>
    <v>1996</v>
  </rv>
  <rv s="2">
    <v>860</v>
  </rv>
  <rv s="0">
    <v>https://www.bing.com/financeapi/forcetrigger?t=bskusm&amp;q=XNAS%3aETNB&amp;form=skydnc</v>
    <v>Learn more on Bing</v>
  </rv>
  <rv s="27">
    <v>57</v>
    <v>89BIO, INC. (XNAS:ETNB)</v>
    <v>2</v>
    <v>58</v>
    <v>Finance</v>
    <v>59</v>
    <v>en</v>
    <v>bskusm</v>
    <v>268435456</v>
    <v>1</v>
    <v>1</v>
    <v>Powered by Refinitiv</v>
    <v>15.06</v>
    <v>4.16</v>
    <v>1.2363</v>
    <v>0</v>
    <v>0</v>
    <v>USD</v>
    <v>89bio, Inc. is a clinical-stage biopharmaceutical company. The Company is focused on the development and commercialization of therapies for the treatment of liver and cardio-metabolic diseases. The Company’s lead product candidate, pegozafermin, a specifically engineered glycoPEGylated analog of fibroblast growth factor 21 (FGF21), is being developed for the treatment of metabolic dysfunction-associated steatohepatitis (MASH). Pegozafermin is engineered to protect against proteolysis and reduce renal clearance and optimize its potency, enabling the potential use of a lower dosage/dose. Pegozafermin has been optimally constructed with two mutations via substitutions with natural amino acids at site-specific positions (173 and 176) toward the C-terminus end of the hormone.</v>
    <v>93</v>
    <v>Nasdaq Stock Market</v>
    <v>XNAS</v>
    <v>XNAS</v>
    <v>655 MONTGOMERY STREET, SUITE 1500, San Francisco, CA, 94111 US</v>
    <v>14.87</v>
    <v>Biotechnology &amp; Medical Research</v>
    <v>Stock</v>
    <v>45959.956842568747</v>
    <v>862</v>
    <v>14.82</v>
    <v>2203628000</v>
    <v>89BIO, INC.</v>
    <v>89BIO, INC.</v>
    <v>14.83</v>
    <v>0</v>
    <v>14.84</v>
    <v>14.84</v>
    <v>148492400</v>
    <v>ETNB</v>
    <v>89BIO, INC. (XNAS:ETNB)</v>
    <v>55645393</v>
    <v>6098026</v>
    <v>2019</v>
  </rv>
  <rv s="2">
    <v>863</v>
  </rv>
  <rv s="0">
    <v>https://www.bing.com/financeapi/forcetrigger?t=c24ww7&amp;q=XNAS%3aSLDP&amp;form=skydnc</v>
    <v>Learn more on Bing</v>
  </rv>
  <rv s="1">
    <v>0</v>
    <v>SOLID POWER, INC. (XNAS:SLDP)</v>
    <v>2</v>
    <v>3</v>
    <v>Finance</v>
    <v>5</v>
    <v>en</v>
    <v>c24ww7</v>
    <v>268435456</v>
    <v>1</v>
    <v>Powered by Refinitiv</v>
    <v>8.86</v>
    <v>1.06</v>
    <v>1.9856</v>
    <v>-0.1</v>
    <v>-2.7248000000000001E-2</v>
    <v>0.02</v>
    <v>5.6020000000000002E-3</v>
    <v>USD</v>
    <v>Solid Power, Inc. is engaged in developing solid-state battery technology for the electric vehicle (EV) and other markets. The Company is focused on producing and distributing sulfide-based solid electrolyte material for powering both EVs and other applications. Its core technology is its electrolyte material. Its core technology is a sulfide-based solid electrolyte material, which replaces the liquid or gel electrolyte used in traditional lithium-ion battery cells. The Company's planned business model is to sell its electrolytes and to license its cell designs and manufacturing processes. It is engaged in producing solid-state cells ranging from 0.2 Ah to 60 Ah on pre-pilot and pilot cell manufacturing lines. The Company manufactures all of its cell designs themselves, including its cathodes and anodes, using materials sourced from external suppliers. The cells it produces are used to improve the performance of its electrolytes and support its partners' cell development programs.</v>
    <v>230</v>
    <v>Nasdaq Stock Market</v>
    <v>XNAS</v>
    <v>XNAS</v>
    <v>486 S. Pierce Ave., Suite E, LOUISVILLE, CO, 80027 US</v>
    <v>3.72</v>
    <v>Automobiles &amp; Auto Parts</v>
    <v>Stock</v>
    <v>46139.934897916406</v>
    <v>865</v>
    <v>3.5</v>
    <v>801534258</v>
    <v>SOLID POWER, INC.</v>
    <v>SOLID POWER, INC.</v>
    <v>3.56</v>
    <v>0</v>
    <v>3.67</v>
    <v>3.57</v>
    <v>3.59</v>
    <v>224519400</v>
    <v>SLDP</v>
    <v>SOLID POWER, INC. (XNAS:SLDP)</v>
    <v>6077586</v>
    <v>6464232</v>
    <v>2021</v>
  </rv>
  <rv s="2">
    <v>866</v>
  </rv>
  <rv s="0">
    <v>https://www.bing.com/financeapi/forcetrigger?t=bwkvjc&amp;q=XNAS%3aQSI&amp;form=skydnc</v>
    <v>Learn more on Bing</v>
  </rv>
  <rv s="1">
    <v>0</v>
    <v>QUANTUM-SI INCORPORATED (XNAS:QSI)</v>
    <v>2</v>
    <v>3</v>
    <v>Finance</v>
    <v>5</v>
    <v>en</v>
    <v>bwkvjc</v>
    <v>268435456</v>
    <v>1</v>
    <v>Powered by Refinitiv</v>
    <v>3.1</v>
    <v>0.69120000000000004</v>
    <v>3.1044999999999998</v>
    <v>-5.4999999999999997E-3</v>
    <v>-6.0719999999999993E-3</v>
    <v>6.4999999999999997E-3</v>
    <v>7.2199999999999999E-3</v>
    <v>USD</v>
    <v>Quantum-SI Incorporated is a life sciences company. The Company has designed and developed a hardware, consumable and software solution to provide a solution for protein detection and analysis. It has developed a proprietary universal single-molecule detection platform enables Next-Generation Protein Sequencing (NGPS), the ability to sequence proteins. Its launched product consists of Platinum, the Platinum Analysis Software and consumables. Its flagship protein sequencing instrument, Platinum, is designed to make the power of single-molecule detection and NGPS accessible. Platinum is designed to provide a streamlined workflow compared to legacy MS workflows. Platinum uses its proprietary semiconductor chip that leverages time-domain sequencing with an initial focus on NGPS for an unbiased view of the proteome.</v>
    <v>145</v>
    <v>Nasdaq Stock Market</v>
    <v>XNAS</v>
    <v>XNAS</v>
    <v>29 Business Park Drive, BRANFORD, CT, 06405 US</v>
    <v>0.94</v>
    <v>Biotechnology &amp; Medical Research</v>
    <v>Stock</v>
    <v>46139.933197152342</v>
    <v>868</v>
    <v>0.87139999999999995</v>
    <v>194796830</v>
    <v>QUANTUM-SI INCORPORATED</v>
    <v>QUANTUM-SI INCORPORATED</v>
    <v>0.91</v>
    <v>0</v>
    <v>0.90580000000000005</v>
    <v>0.90029999999999999</v>
    <v>0.90680000000000005</v>
    <v>216368800</v>
    <v>QSI</v>
    <v>QUANTUM-SI INCORPORATED (XNAS:QSI)</v>
    <v>3105613</v>
    <v>4832672</v>
    <v>2020</v>
  </rv>
  <rv s="2">
    <v>869</v>
  </rv>
  <rv s="0">
    <v>https://www.bing.com/financeapi/forcetrigger?t=a1xygh&amp;q=XNAS%3aMRVL&amp;form=skydnc</v>
    <v>Learn more on Bing</v>
  </rv>
  <rv s="1">
    <v>0</v>
    <v>MARVELL TECHNOLOGY, INC. (XNAS:MRVL)</v>
    <v>2</v>
    <v>3</v>
    <v>Finance</v>
    <v>5</v>
    <v>en</v>
    <v>a1xygh</v>
    <v>268435456</v>
    <v>1</v>
    <v>Powered by Refinitiv</v>
    <v>170.84</v>
    <v>53.774999999999999</v>
    <v>2.2317999999999998</v>
    <v>-6.1</v>
    <v>-3.7124999999999998E-2</v>
    <v>-0.61</v>
    <v>-3.8560000000000001E-3</v>
    <v>USD</v>
    <v>Marvell Technology, Inc. together with its consolidated subsidiaries, is a supplier of data infrastructure semiconductor solutions, spanning the data center core to network edge. It is engaged in the design, development and sale of integrated circuits. Its product offerings include custom application-specific integrated circuits (ASICs), interconnects, ethernet solutions, fiber channel adapters, processors and storage controllers. In addition, it is also developing Ultra Accelerator LinkTM (UALinkTM) switches and ethernet for scale-up networking (ESUN) switches for the emerging scale-out artificial intelligence market. Its solutions integrate multiple analogs, mixed-signal and digital intellectual property components incorporating hardware, firmware and software technologies and its system knowledge to provide its customers with integrated solutions for their end products. It designs and manufactures photonic integrated circuits for ultra-high-bandwidth and low-power applications.</v>
    <v>7480</v>
    <v>Nasdaq Stock Market</v>
    <v>XNAS</v>
    <v>XNAS</v>
    <v>1000 N. West Street, Suite 1200, WILMINGTON, DE, 19801 US</v>
    <v>163.44999999999999</v>
    <v>Semiconductors &amp; Semiconductor Equipment</v>
    <v>Stock</v>
    <v>46139.93479427031</v>
    <v>871</v>
    <v>151.09</v>
    <v>138348047643</v>
    <v>MARVELL TECHNOLOGY, INC.</v>
    <v>MARVELL TECHNOLOGY, INC.</v>
    <v>162.13</v>
    <v>51.532499999999999</v>
    <v>164.31</v>
    <v>158.21</v>
    <v>157.6</v>
    <v>874458300</v>
    <v>MRVL</v>
    <v>MARVELL TECHNOLOGY, INC. (XNAS:MRVL)</v>
    <v>30241554</v>
    <v>28653304</v>
    <v>2020</v>
  </rv>
  <rv s="2">
    <v>872</v>
  </rv>
  <rv s="28">
    <v>60</v>
    <v>CompuGroup Medical SE &amp; Co KgaA (XETR:COP0)</v>
    <v>17</v>
    <v>10</v>
    <v>Finance</v>
    <v>8</v>
    <v>en</v>
    <v>cfk76h</v>
    <v>268435456</v>
    <v>1</v>
    <v>1</v>
    <v>Powered by Refinitiv</v>
    <v>24</v>
    <v>21</v>
    <v>1.0129999999999999</v>
    <v>0</v>
    <v>0</v>
    <v>EUR</v>
    <v>CompuGroup Medical SE &amp; Co. KGaA is a Germany-based company engaged in the enterprise software development. The Company focuses on providing software solutions to healthcare institutions. The activities are divided into six segments: Ambulatory Software Services (AIS), providing practice management software and medical records; Pharmacy Information Systems (PCS), including integrated clinical, administrative and financial software applications for pharmacies; Hospital Information Systems (HIS), such as laboratory and special care information systems; Communication &amp; Data (C&amp;D), offering software interfaces for pharmaceutical and medical equipment manufacturers; provides Picture Archiving and Communication Systems (PACS); Workflow &amp; Decision Support (WDS), delivering software for management support aimed at healthcare payers, such as health insurers and managed care companies, and Internet Service Provider (ISP), providing Internet for healthcare providers.</v>
    <v>8712</v>
    <v>Xetra</v>
    <v>XETR</v>
    <v>XETR</v>
    <v>Maria Trost 21, KOBLENZ, RHEINLAND-PFALZ, 56070 DE</v>
    <v>22</v>
    <v>Software &amp; IT Services</v>
    <v>Stock</v>
    <v>45775.903715277775</v>
    <v>21.8</v>
    <v>1188609000</v>
    <v>CompuGroup Medical SE &amp; Co KgaA</v>
    <v>CompuGroup Medical SE &amp; Co KgaA</v>
    <v>21.8</v>
    <v>22.2</v>
    <v>22</v>
    <v>53734580</v>
    <v>COP0</v>
    <v>CompuGroup Medical SE &amp; Co KgaA (XETR:COP0)</v>
    <v>7165</v>
    <v>96430</v>
    <v>2020</v>
  </rv>
  <rv s="2">
    <v>874</v>
  </rv>
  <rv s="0">
    <v>https://www.bing.com/financeapi/forcetrigger?t=a1p4kr&amp;q=XNYS%3aCACI&amp;form=skydnc</v>
    <v>Learn more on Bing</v>
  </rv>
  <rv s="1">
    <v>0</v>
    <v>CACI INTERNATIONAL INC. (XNYS:CACI)</v>
    <v>2</v>
    <v>3</v>
    <v>Finance</v>
    <v>4</v>
    <v>en</v>
    <v>a1p4kr</v>
    <v>268435456</v>
    <v>1</v>
    <v>Powered by Refinitiv</v>
    <v>683.5</v>
    <v>409.62</v>
    <v>0.54310000000000003</v>
    <v>-14.64</v>
    <v>-2.8341999999999999E-2</v>
    <v>3.1</v>
    <v>6.1770000000000002E-3</v>
    <v>USD</v>
    <v>CACI International Inc is a national security company. The Company is a provider of expertise and differentiated technology to customers in support of national security in the intelligence, defense, and federal civilian sectors. Its Domestic Operations segment provides expertise and technology primarily to the United States federal agencies. Its International Operations segment provides expertise and technology primarily to international government and commercial customers. Its expertise delivers talent with technical and functional knowledge to support agency operations. It includes individuals with talents such as software development, data and business analysis, operations support, naval architecture, engineering, life cycle support, intelligence and special operations support, and network exploitation analysis. It provides technology that addresses its customers' challenging needs, which includes agile software development using open modern architecture, DevSecOps and others.</v>
    <v>26000</v>
    <v>New York Stock Exchange</v>
    <v>XNYS</v>
    <v>XNYS</v>
    <v>Two Reston Overlook, 12021 Sunset Hills Road, RESTON, VA, 20190 US</v>
    <v>526</v>
    <v>Software &amp; IT Services</v>
    <v>Stock</v>
    <v>46139.913676296092</v>
    <v>876</v>
    <v>501.67500000000001</v>
    <v>11087623470</v>
    <v>CACI INTERNATIONAL INC.</v>
    <v>CACI INTERNATIONAL INC.</v>
    <v>518.67999999999995</v>
    <v>21.306100000000001</v>
    <v>516.54</v>
    <v>501.9</v>
    <v>505</v>
    <v>22091300</v>
    <v>CACI</v>
    <v>CACI INTERNATIONAL INC. (XNYS:CACI)</v>
    <v>276949</v>
    <v>282870</v>
    <v>1985</v>
  </rv>
  <rv s="2">
    <v>877</v>
  </rv>
  <rv s="0">
    <v>https://www.bing.com/financeapi/forcetrigger?t=ae8qqh&amp;q=XPAR%3aFR&amp;form=skydnc</v>
    <v>Learn more on Bing</v>
  </rv>
  <rv s="3">
    <v>6</v>
    <v>Valeo SE (XPAR:FR)</v>
    <v>2</v>
    <v>7</v>
    <v>Finance</v>
    <v>8</v>
    <v>en</v>
    <v>ae8qqh</v>
    <v>268435456</v>
    <v>1</v>
    <v>Powered by Refinitiv</v>
    <v>13.92</v>
    <v>8.3000000000000007</v>
    <v>1.5488999999999999</v>
    <v>2.5000000000000001E-2</v>
    <v>2.3350000000000003E-3</v>
    <v>EUR</v>
    <v>Valeo SE is a France-based global automotive supplier. The Company is a technology company, which is focused on the design, production, and sale of components, integrated systems, modules, and services for the automotive sector. Its segments include Comfort &amp; Driving Assistance Systems, Powertrain Systems, Thermal Systems, and Visibility Systems. The Comfort &amp; Driving Assistance Systems segment includes three product groups including driving assistance, interior controls and connected cars. It offers smart sensors and features that improve vehicle safety and an automated driving system. The Powertrain Systems segment includes four product groups including electrical systems, transmission systems, combustion engine systems and electronics. The Thermal Systems segment has five product groups including Thermal Climate Control, Thermal Powertrain, Thermal Compressors, Thermal Front End and Thermal Bus Systems. The Visibility Systems segment includes lighting systems and wiper systems.</v>
    <v>100216</v>
    <v>Euronext Paris</v>
    <v>XPAR</v>
    <v>XPAR</v>
    <v>100, rue de Courcelles, PARIS, ILE-DE-FRANCE, 75017 FR</v>
    <v>10.815</v>
    <v>Automobiles &amp; Auto Parts</v>
    <v>Stock</v>
    <v>46139.666666666664</v>
    <v>879</v>
    <v>10.56</v>
    <v>2985361000</v>
    <v>Valeo SE</v>
    <v>Valeo SE</v>
    <v>10.705</v>
    <v>13.042199999999999</v>
    <v>10.705</v>
    <v>10.73</v>
    <v>245607600</v>
    <v>FR</v>
    <v>Valeo SE (XPAR:FR)</v>
    <v>840992</v>
    <v>926800</v>
    <v>1955</v>
  </rv>
  <rv s="2">
    <v>880</v>
  </rv>
  <rv s="0">
    <v>https://www.bing.com/financeapi/forcetrigger?t=ae435r&amp;q=XHEL%3aNOKIA&amp;form=skydnc</v>
    <v>Learn more on Bing</v>
  </rv>
  <rv s="3">
    <v>6</v>
    <v>Nokia Oyj (XHEL:NOKIA)</v>
    <v>2</v>
    <v>7</v>
    <v>Finance</v>
    <v>45</v>
    <v>en</v>
    <v>ae435r</v>
    <v>268435456</v>
    <v>1</v>
    <v>Powered by Refinitiv</v>
    <v>35.340000000000003</v>
    <v>2.0844999999999998</v>
    <v>1.4666999999999999</v>
    <v>0.33</v>
    <v>3.6888000000000004E-2</v>
    <v>EUR</v>
    <v>Nokia Oyj is a Finland-based company engaged in the network and Internet protocol (IP) infrastructure, software, and related services market. The Company's businesses include Nokia Networks and Nokia Technologies. The Company's segments include Ultra Broadband Networks, IP Networks and Applications, and Nokia Technologies. The Ultra Broadband Networks segment comprises Mobile Networks and Fixed Networks operating segments. The IP Networks and Applications segment comprises IP/Optical Networks and Applications &amp; Analytics operating segments. The Applications &amp; Analytics operating segment offers software solutions spanning customer experience management, network operations and management, communications and collaboration, policy and charging, as well as Cloud, Internet of things (IoT), security, and analytics platforms that enable digital services providers and enterprises to accelerate and optimize their customer experience. The Company has Comptel Oyj among its subsidiaries.</v>
    <v>77586</v>
    <v>NASDAQ Helsinki</v>
    <v>XHEL</v>
    <v>XHEL</v>
    <v>Karakaari 7, Espoo, VLASENICE, 02610 FI</v>
    <v>9.56</v>
    <v>Communications &amp; Networking</v>
    <v>Stock</v>
    <v>46139.666666666664</v>
    <v>882</v>
    <v>8.9480000000000004</v>
    <v>32110600000</v>
    <v>Nokia Oyj</v>
    <v>Nokia Oyj</v>
    <v>9.07</v>
    <v>58.09</v>
    <v>8.9459999999999997</v>
    <v>9.2759999999999998</v>
    <v>5742240000</v>
    <v>NOKIA</v>
    <v>Nokia Oyj (XHEL:NOKIA)</v>
    <v>25697731</v>
    <v>21367830</v>
    <v>1997</v>
  </rv>
  <rv s="2">
    <v>883</v>
  </rv>
  <rv s="0">
    <v>https://www.bing.com/financeapi/forcetrigger?t=a1o277&amp;q=XNAS%3aAXGN&amp;form=skydnc</v>
    <v>Learn more on Bing</v>
  </rv>
  <rv s="1">
    <v>0</v>
    <v>AxoGen, Inc. (XNAS:AXGN)</v>
    <v>2</v>
    <v>3</v>
    <v>Finance</v>
    <v>4</v>
    <v>en</v>
    <v>a1o277</v>
    <v>268435456</v>
    <v>1</v>
    <v>Powered by Refinitiv</v>
    <v>39.99</v>
    <v>9.2149999999999999</v>
    <v>1.0815999999999999</v>
    <v>0.14000000000000001</v>
    <v>3.5670000000000003E-3</v>
    <v>-0.78</v>
    <v>-1.9802E-2</v>
    <v>USD</v>
    <v>Axogen, Inc. is focused on the science, development, and commercialization of technologies for peripheral nerve regeneration and repair. It offers repair solutions for surgeons and healthcare providers. Its portfolio of products includes Avance Nerve Graft, Axoguard Nerve Connector, Axoguard Nerve Protector, Axoguard HA+ Nerve Protector, Axoguard Nerve Cap, and Avive+ Soft Tissue Matrix. Avance Nerve Graft is a biologically active off-the-shelf processed human nerve allograft for bridging severed peripheral nerves. The Axoguard Nerve Connector is a porcine (pig) submucosa extracellular matrix (ECM) coaptation aid for tensionless repair of severed peripheral nerves. Axoguard Nerve Protector is a porcine submucosa ECM product used to wrap and protect damaged peripheral nerves and reinforce the nerve reconstruction while preventing soft tissue attachments. Axoguard HA+ Nerve Protector consists of a processed porcine submucosa ECM base layer with a hyaluronate-alginate gel.</v>
    <v>622</v>
    <v>Nasdaq Stock Market</v>
    <v>XNAS</v>
    <v>XNAS</v>
    <v>13631 Progress Blvd., Suite 400, ALACHUA, FL, 32615 US</v>
    <v>39.979999999999997</v>
    <v>Healthcare Equipment &amp; Supplies</v>
    <v>Stock</v>
    <v>46139.884541816406</v>
    <v>885</v>
    <v>38.65</v>
    <v>2044249615</v>
    <v>AxoGen, Inc.</v>
    <v>AxoGen, Inc.</v>
    <v>39.53</v>
    <v>0</v>
    <v>39.25</v>
    <v>39.39</v>
    <v>38.61</v>
    <v>51897680</v>
    <v>AXGN</v>
    <v>AxoGen, Inc. (XNAS:AXGN)</v>
    <v>1546142</v>
    <v>1101767</v>
    <v>1977</v>
  </rv>
  <rv s="2">
    <v>886</v>
  </rv>
  <rv s="0">
    <v>https://www.bing.com/financeapi/forcetrigger?t=ajepxm&amp;q=XMIL%3aDIS&amp;form=skydnc</v>
    <v>Learn more on Bing</v>
  </rv>
  <rv s="3">
    <v>6</v>
    <v>d'Amico International Shipping SA (XMIL:DIS)</v>
    <v>2</v>
    <v>7</v>
    <v>Finance</v>
    <v>13</v>
    <v>en</v>
    <v>ajepxm</v>
    <v>268435456</v>
    <v>1</v>
    <v>Powered by Refinitiv</v>
    <v>8.4</v>
    <v>3</v>
    <v>0.51780000000000004</v>
    <v>-0.13500000000000001</v>
    <v>-1.7555000000000001E-2</v>
    <v>EUR</v>
    <v>d'Amico International Shipping SA is a Luxemburg-based international marine transportation company. d'Amico International Shipping SA is a part of the d’Amico Group. The Company invests in enterprises operating in the shipping industry and its principal activity is to act as the holding company for d’Amico Tankers Limited and its subsidiaries, and Glenda International Shipping Ltd. The product tankers principally transport refined petroleum products, typically gasoline, jet fuel, kerosene, fuel oil, naphtha and other soft chemicals and edible oils. Within the product tanker industry, d’Amico International Shipping SA operates in the Medium Range segment, which comprises vessels ranging from 25,000 deadweight tonnage (dwt) to 55,000 dwt.</v>
    <v>658</v>
    <v>Borsa Italiana</v>
    <v>XMIL</v>
    <v>XMIL</v>
    <v>25 C Boulevard Royal, 11Th Floor, LUXEMBOURG, 2449 LU</v>
    <v>7.7050000000000001</v>
    <v>Oil &amp; Gas Related Equipment and Services</v>
    <v>Stock</v>
    <v>46139.666666666664</v>
    <v>888</v>
    <v>7.5</v>
    <v>727641200</v>
    <v>d'Amico International Shipping SA</v>
    <v>d'Amico International Shipping SA</v>
    <v>7.6849999999999996</v>
    <v>12.1716</v>
    <v>7.69</v>
    <v>7.5549999999999997</v>
    <v>124106600</v>
    <v>DIS</v>
    <v>d'Amico International Shipping SA (XMIL:DIS)</v>
    <v>166435</v>
    <v>273920</v>
    <v>2007</v>
  </rv>
  <rv s="2">
    <v>889</v>
  </rv>
  <rv s="0">
    <v>https://www.bing.com/financeapi/forcetrigger?t=a25ya2&amp;q=XNYS%3aWMT&amp;form=skydnc</v>
    <v>Learn more on Bing</v>
  </rv>
  <rv s="1">
    <v>0</v>
    <v>WALMART INC. (XNAS:WMT)</v>
    <v>2</v>
    <v>3</v>
    <v>Finance</v>
    <v>5</v>
    <v>en</v>
    <v>a25ya2</v>
    <v>268435456</v>
    <v>1</v>
    <v>Powered by Refinitiv</v>
    <v>134.69</v>
    <v>91.89</v>
    <v>0.64459999999999995</v>
    <v>-2.33</v>
    <v>-1.7934000000000002E-2</v>
    <v>0.12</v>
    <v>9.4049999999999993E-4</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through its subsidiaries, as well as eCommerce and omni-channel initiatives. The Sam's Club U.S. segment includes the warehouse membership clubs in the U.S., as well as samsclub.com and omni-channel initiatives.</v>
    <v>2100000</v>
    <v>Nasdaq Stock Market</v>
    <v>XNAS</v>
    <v>XNAS</v>
    <v>1 Customer Drive, BENTONVILLE, AR, 72716 US</v>
    <v>129.81</v>
    <v>Food &amp; Drug Retailing</v>
    <v>Stock</v>
    <v>46139.934407534376</v>
    <v>891</v>
    <v>127.395</v>
    <v>1017018741690</v>
    <v>WALMART INC.</v>
    <v>WALMART INC.</v>
    <v>129.61500000000001</v>
    <v>47.596699999999998</v>
    <v>129.91999999999999</v>
    <v>127.59</v>
    <v>127.71</v>
    <v>7970991000</v>
    <v>WMT</v>
    <v>WALMART INC. (XNAS:WMT)</v>
    <v>17023285</v>
    <v>18733142</v>
    <v>1969</v>
  </rv>
  <rv s="2">
    <v>892</v>
  </rv>
  <rv s="0">
    <v>https://www.bing.com/financeapi/forcetrigger?t=a1ruc7&amp;q=XNYS%3aEL&amp;form=skydnc</v>
    <v>Learn more on Bing</v>
  </rv>
  <rv s="6">
    <v>14</v>
    <v>THE ESTEE LAUDER COMPANIES INC. (XNYS:EL)</v>
    <v>2</v>
    <v>15</v>
    <v>Finance</v>
    <v>4</v>
    <v>en</v>
    <v>a1ruc7</v>
    <v>268435456</v>
    <v>1</v>
    <v>Powered by Refinitiv</v>
    <v>121.63500000000001</v>
    <v>56.66</v>
    <v>1.2297</v>
    <v>-0.5</v>
    <v>-6.4249999999999993E-3</v>
    <v>-0.51</v>
    <v>-6.5959999999999994E-3</v>
    <v>USD</v>
    <v>The Estee Lauder Companies Inc. is a manufacturer, marketer and seller of skin care, makeup, fragrance and hair care products. Its products are sold in over 150 countries and territories under a number of brand names, including Estee Lauder, Aramis, Clinique, Lab Series, Origins, M.A.C, Bobbi Brown Cosmetics, La Mer, Aveda, Jo Malone London, Bumble and bumble, Darphin Paris, TOM FORD, Smashbox, AERIN Beauty, Le Labo, Editions de Parfums Frederic Malle, GLAMGLOW, Kilian Paris, Too Faced, Dr.Jart+, and the DECIEM family of brands, including The Ordinary and NIOD, and BALMAIN Beauty. It is a licensee for fragrances, cosmetics and/or related products for AERIN, BALMAIN, and Dr. Andrew Weil. Its skin care products include moisturizers, serums, cleansers, toners, exfoliators, facial masks, body care, sun care products and others. Its makeup products include foundations, powders, concealers and setting sprays, lipsticks, lip liners and lip glosses, and mascaras, eyeshadows and eyeliners.</v>
    <v>57000</v>
    <v>New York Stock Exchange</v>
    <v>XNYS</v>
    <v>XNYS</v>
    <v>767 Fifth Avenue, NEW YORK, NY, 10153 US</v>
    <v>78.88</v>
    <v>Personal &amp; Household Products &amp; Services</v>
    <v>Stock</v>
    <v>46139.918577568751</v>
    <v>894</v>
    <v>76.459999999999994</v>
    <v>27968739371</v>
    <v>THE ESTEE LAUDER COMPANIES INC.</v>
    <v>THE ESTEE LAUDER COMPANIES INC.</v>
    <v>78.16</v>
    <v>77.819999999999993</v>
    <v>77.319999999999993</v>
    <v>76.81</v>
    <v>361727100</v>
    <v>EL</v>
    <v>THE ESTEE LAUDER COMPANIES INC. (XNYS:EL)</v>
    <v>3105525</v>
    <v>5341718</v>
    <v>1976</v>
  </rv>
  <rv s="2">
    <v>895</v>
  </rv>
  <rv s="0">
    <v>https://www.bing.com/financeapi/forcetrigger?t=a1u81h&amp;q=XNYS%3aGSAT&amp;form=skydnc</v>
    <v>Learn more on Bing</v>
  </rv>
  <rv s="1">
    <v>0</v>
    <v>GLOBALSTAR, INC. (XNAS:GSAT)</v>
    <v>2</v>
    <v>3</v>
    <v>Finance</v>
    <v>5</v>
    <v>en</v>
    <v>a1u81h</v>
    <v>268435456</v>
    <v>1</v>
    <v>Powered by Refinitiv</v>
    <v>82.1</v>
    <v>17.239999999999998</v>
    <v>1.5595000000000001</v>
    <v>0.09</v>
    <v>1.1000000000000001E-3</v>
    <v>-0.71250000000000002</v>
    <v>-8.6999999999999994E-3</v>
    <v>USD</v>
    <v>Globalstar, Inc. is an international telecom infrastructure provider. It provides mobile satellite services, including voice and data communications and wholesale capacity services through its global satellite network. Its low earth orbit (LEO) satellite constellation ensures secure data transmission for connecting and protecting assets, transmitting critical operational data, and saving lives for consumers, businesses, and government agencies across the globe. Its terrestrial spectrum, Band 53, and its 5G variant, n53, offer carriers, cable companies, and system integrators a versatile, fully licensed channel for private networks to improve customer wireless connectivity, while its XCOM RAN product offers capacity gains in dense wireless deployments. In addition to SPOT GPS messengers, it offers Internet of things (IoT) hardware and software products for tracking and monitoring assets, processing smart data at the edge, and managing analytics with cloud-based telematics solutions.</v>
    <v>477</v>
    <v>Nasdaq Stock Market</v>
    <v>XNAS</v>
    <v>XNAS</v>
    <v>1351 Holiday Square Blvd., COVINGTON, LA, 70433-6144 US</v>
    <v>82</v>
    <v>Telecommunications Services</v>
    <v>Stock</v>
    <v>46139.933524050779</v>
    <v>897</v>
    <v>81</v>
    <v>10515902670</v>
    <v>GLOBALSTAR, INC.</v>
    <v>GLOBALSTAR, INC.</v>
    <v>81.900000000000006</v>
    <v>0</v>
    <v>81.81</v>
    <v>81.900000000000006</v>
    <v>81.1875</v>
    <v>128399300</v>
    <v>GSAT</v>
    <v>GLOBALSTAR, INC. (XNAS:GSAT)</v>
    <v>1178998</v>
    <v>2094585</v>
    <v>2003</v>
  </rv>
  <rv s="2">
    <v>898</v>
  </rv>
  <rv s="0">
    <v>https://www.bing.com/financeapi/forcetrigger?t=a1nda2&amp;q=XNAS%3aAMAT&amp;form=skydnc</v>
    <v>Learn more on Bing</v>
  </rv>
  <rv s="1">
    <v>0</v>
    <v>APPLIED MATERIALS, INC. (XNAS:AMAT)</v>
    <v>2</v>
    <v>3</v>
    <v>Finance</v>
    <v>5</v>
    <v>en</v>
    <v>a1nda2</v>
    <v>268435456</v>
    <v>1</v>
    <v>Powered by Refinitiv</v>
    <v>420.49990000000003</v>
    <v>144.71</v>
    <v>1.7109000000000001</v>
    <v>-12.18</v>
    <v>-2.9205999999999999E-2</v>
    <v>0.55000000000000004</v>
    <v>1.358E-3</v>
    <v>USD</v>
    <v>Applied Materials, Inc. is a materials engineering solution company. The Company provides equipment, services and software to the semiconductor, display, and related industries. It operates through two segments: Semiconductor Systems and Applied Global Services (AGS). The Semiconductor Systems segment includes semiconductor capital equipment to enable materials engineering steps including etch, rapid thermal processing, deposition, chemical mechanical planarization, metrology and inspection, wafer packaging, and ion implantation. The AGS segment provides integrated solutions to optimize equipment and fab performance and productivity, including services, spares and factory automation software for semiconductor and other products. Its products include personal computing devices, mobile phones, artificial intelligence (AI) and data center servers, automobiles, connected devices, industrial applications and consumer electronics.</v>
    <v>35500</v>
    <v>Nasdaq Stock Market</v>
    <v>XNAS</v>
    <v>XNAS</v>
    <v>3050 Bowers Avenue, P.O. Box 58039, SANTA CLARA, CA, 95054-3299 US</v>
    <v>417</v>
    <v>Semiconductors &amp; Semiconductor Equipment</v>
    <v>Stock</v>
    <v>46139.93274384219</v>
    <v>900</v>
    <v>398</v>
    <v>321300904114</v>
    <v>APPLIED MATERIALS, INC.</v>
    <v>APPLIED MATERIALS, INC.</v>
    <v>416</v>
    <v>42.7301</v>
    <v>417.04</v>
    <v>404.86</v>
    <v>405.41</v>
    <v>793609900</v>
    <v>AMAT</v>
    <v>APPLIED MATERIALS, INC. (XNAS:AMAT)</v>
    <v>5661267</v>
    <v>6181180</v>
    <v>1987</v>
  </rv>
  <rv s="2">
    <v>901</v>
  </rv>
  <rv s="0">
    <v>https://www.bing.com/financeapi/forcetrigger?t=c1dbvh&amp;q=XNYS%3aPATH&amp;form=skydnc</v>
    <v>Learn more on Bing</v>
  </rv>
  <rv s="1">
    <v>0</v>
    <v>UIPATH, INC. (XNYS:PATH)</v>
    <v>2</v>
    <v>3</v>
    <v>Finance</v>
    <v>5</v>
    <v>en</v>
    <v>c1dbvh</v>
    <v>268435456</v>
    <v>1</v>
    <v>Powered by Refinitiv</v>
    <v>19.84</v>
    <v>9.2799999999999994</v>
    <v>0.92610000000000003</v>
    <v>0.08</v>
    <v>7.7149999999999996E-3</v>
    <v>0</v>
    <v>0</v>
    <v>USD</v>
    <v>UiPath, Inc. is focused on agentic automation and orchestration, empowering enterprises to harness the full potential of AI agents to autonomously execute and optimize complex business processes. It is focused on building and managing automations, starting with computer vision technology and user interface automation in its initial robotic process automation offering. Its AI-powered UiPath Platform offers a robust set of capabilities that allows its customers to discover opportunities for automation, automate using a digital workforce that seamlessly collaborates with humans, and operate a mission-critical automation program at scale. It enables employees to quickly build automations for both existing and new processes and to automate a range of actions including logging into applications, moving folders, filling in forms, reading emails and others. Its platform allows users to design and combine UI automations, API integrations and AI-based document understanding in a single workflow.</v>
    <v>3981</v>
    <v>New York Stock Exchange</v>
    <v>XNYS</v>
    <v>XNYS</v>
    <v>One Vanderbilt Avenue, 60th Floor, NEW YORK, NY, 10017 US</v>
    <v>10.59</v>
    <v>Software &amp; IT Services</v>
    <v>Stock</v>
    <v>46139.934767500003</v>
    <v>903</v>
    <v>10.24</v>
    <v>5474983855</v>
    <v>UIPATH, INC.</v>
    <v>UIPATH, INC.</v>
    <v>10.38</v>
    <v>19.942299999999999</v>
    <v>10.37</v>
    <v>10.45</v>
    <v>10.46</v>
    <v>523921900</v>
    <v>PATH</v>
    <v>UIPATH, INC. (XNYS:PATH)</v>
    <v>25451006</v>
    <v>22410556</v>
    <v>2015</v>
  </rv>
  <rv s="2">
    <v>904</v>
  </rv>
  <rv s="0">
    <v>https://www.bing.com/financeapi/forcetrigger?t=a1ubar&amp;q=XNAS%3aGTHX&amp;form=skydnc</v>
    <v>Learn more on Bing</v>
  </rv>
  <rv s="27">
    <v>57</v>
    <v>G1 THERAPEUTICS, INC. (XNAS:GTHX)</v>
    <v>2</v>
    <v>58</v>
    <v>Finance</v>
    <v>59</v>
    <v>en</v>
    <v>a1ubar</v>
    <v>268435456</v>
    <v>1</v>
    <v>1</v>
    <v>Powered by Refinitiv</v>
    <v>7.19</v>
    <v>1.08</v>
    <v>1.6822999999999999</v>
    <v>0</v>
    <v>0</v>
    <v>USD</v>
    <v>G1 Therapeutics, Inc. is a commercial-stage biopharmaceutical company. The Company is focused on the development and commercialization of small molecule therapeutics for the treatment of patients with cancer. The Company's lead commercial product, COSELA (trilaciclib), is a therapy indicated to proactively help protect bone marrow (myeloprotection) from the damage of chemotherapy. Its product portfolio consists of Trilaciclib and Lerociclib, both of which are CDK4/6 inhibitors, and a Cyclin-dependent kinase 2 (CDK2) inhibitor. Trilaciclib is a novel therapy designed to transiently arrest cells that are dependent on CDK4/6 for proliferation, including hematopoietic stem and progenitor cells (HSPCs), in the G1 phase. Lerociclib is a differentiated clinical-stage oral CDK4/6 inhibitor being developed for use in combination with other targeted therapies in multiple oncology indications. COSELA is a short-acting intravenous CDK4/6 inhibitor. Its CDK2 is an internally discovered inhibitor.</v>
    <v>100</v>
    <v>Nasdaq Stock Market</v>
    <v>XNAS</v>
    <v>XNAS</v>
    <v>700 Park Offices Drive, Suite 200, RESEARCH TRIANGLE PARK, NC, 27709 US</v>
    <v>7.16</v>
    <v>Biotechnology &amp; Medical Research</v>
    <v>Stock</v>
    <v>45552.989248460159</v>
    <v>906</v>
    <v>7.14</v>
    <v>377221058</v>
    <v>G1 THERAPEUTICS, INC.</v>
    <v>G1 THERAPEUTICS, INC.</v>
    <v>7.15</v>
    <v>0</v>
    <v>7.15</v>
    <v>7.15</v>
    <v>52758190</v>
    <v>GTHX</v>
    <v>G1 THERAPEUTICS, INC. (XNAS:GTHX)</v>
    <v>1267068</v>
    <v>1732440</v>
    <v>2008</v>
  </rv>
  <rv s="2">
    <v>907</v>
  </rv>
  <rv s="0">
    <v>https://www.bing.com/financeapi/forcetrigger?t=c26vvh&amp;q=XNAS%3aVMEO&amp;form=skydnc</v>
    <v>Learn more on Bing</v>
  </rv>
  <rv s="27">
    <v>57</v>
    <v>VIMEO, INC. (XNAS:VMEO)</v>
    <v>2</v>
    <v>58</v>
    <v>Finance</v>
    <v>59</v>
    <v>en</v>
    <v>c26vvh</v>
    <v>268435456</v>
    <v>1</v>
    <v>1</v>
    <v>Powered by Refinitiv</v>
    <v>7.9</v>
    <v>3.64</v>
    <v>2.14</v>
    <v>0</v>
    <v>0</v>
    <v>USD</v>
    <v>Vimeo, Inc. operates a video experience platform, providing a full breadth of video tools through a software-as-a-service (SaaS) model. The Company’s core focus is transforming how people create and share videos by providing products and a platform that bridges technology with creative innovation. The Company provides a turnkey cloud-based solution that eliminates barriers to using video and solves essential video needs, including video hosting and management, intuitive video creation and editing, insightful analytics, artificial intelligence (AI) language translations, and enterprise tools. It sells subscription plans including add-ons to its self-serve subscriptions, Vimeo Enterprise, and over-the-top (OTT), and provides additional features beyond its self-serve plans, such as dedicated support, account management, service level agreements, and professional live event services. Its users include creative professionals, marketers, filmmakers, and digital agencies.</v>
    <v>1102</v>
    <v>Nasdaq Stock Market</v>
    <v>XNAS</v>
    <v>XNAS</v>
    <v>330 West 34Th Street, 5Th Floor, NEW YORK, NY, 10001 US</v>
    <v>7.86</v>
    <v>Software &amp; IT Services</v>
    <v>Stock</v>
    <v>45982.933710775003</v>
    <v>909</v>
    <v>7.84</v>
    <v>1313694000</v>
    <v>VIMEO, INC.</v>
    <v>VIMEO, INC.</v>
    <v>7.84</v>
    <v>986.18089999999995</v>
    <v>7.84</v>
    <v>7.85</v>
    <v>167349600</v>
    <v>VMEO</v>
    <v>VIMEO, INC. (XNAS:VMEO)</v>
    <v>9455112</v>
    <v>1998991</v>
    <v>2020</v>
  </rv>
  <rv s="2">
    <v>910</v>
  </rv>
  <rv s="0">
    <v>https://www.bing.com/financeapi/forcetrigger?t=bv8bvh&amp;q=XNAS%3aRXT&amp;form=skydnc</v>
    <v>Learn more on Bing</v>
  </rv>
  <rv s="1">
    <v>0</v>
    <v>Rackspace Technology, Inc. (XNAS:RXT)</v>
    <v>2</v>
    <v>3</v>
    <v>Finance</v>
    <v>5</v>
    <v>en</v>
    <v>bv8bvh</v>
    <v>268435456</v>
    <v>1</v>
    <v>Powered by Refinitiv</v>
    <v>2.74</v>
    <v>0.39300000000000002</v>
    <v>2.3212000000000002</v>
    <v>-4.4999999999999998E-2</v>
    <v>-2.8480999999999999E-2</v>
    <v>-1.52E-2</v>
    <v>-9.9019999999999993E-3</v>
    <v>USD</v>
    <v>Rackspace Technology, Inc. is an end-to-end hybrid, hybrid cloud, and artificial intelligence (AI) solutions company. The Company designs, builds, and operates its customers’ cloud environments across all technology platforms, irrespective of technology stack or deployment model. The Company operates through two segments. Its Public Cloud segment is a service-centric, capital-light model providing value-added cloud solutions through managed services, elastic engineering and professional services offerings for customer environments hosted on the Amazon Web Services (AWS), Microsoft Azure and Google Cloud public cloud platforms. Its Private Cloud segment is a technology-forward, capital-intensive model providing managed service offerings for customer environments hosted in one of its data centers as well as in those owned by customers or by third parties. Private Cloud product portfolio includes Programmatic Infrastructure, Cloud Operating Systems, Platform-as-a-Service, and others.</v>
    <v>5000</v>
    <v>Nasdaq Stock Market</v>
    <v>XNAS</v>
    <v>XNAS</v>
    <v>19122 Us Highway 281N, Suite 128, SAN ANTONIO, TX, 78258-7667 US</v>
    <v>1.58</v>
    <v>Software &amp; IT Services</v>
    <v>Stock</v>
    <v>46139.934422013284</v>
    <v>912</v>
    <v>1.48</v>
    <v>102065089</v>
    <v>Rackspace Technology, Inc.</v>
    <v>Rackspace Technology, Inc.</v>
    <v>1.56</v>
    <v>0</v>
    <v>1.58</v>
    <v>1.5349999999999999</v>
    <v>1.5198</v>
    <v>246914400</v>
    <v>RXT</v>
    <v>Rackspace Technology, Inc. (XNAS:RXT)</v>
    <v>2963929</v>
    <v>7555106</v>
    <v>2016</v>
  </rv>
  <rv s="2">
    <v>913</v>
  </rv>
  <rv s="0">
    <v>https://www.bing.com/financeapi/forcetrigger?t=ae9x7w&amp;q=XPAR%3aRUI&amp;form=skydnc</v>
    <v>Learn more on Bing</v>
  </rv>
  <rv s="3">
    <v>6</v>
    <v>Rubis SCA (XPAR:RUI)</v>
    <v>2</v>
    <v>7</v>
    <v>Finance</v>
    <v>8</v>
    <v>en</v>
    <v>ae9x7w</v>
    <v>268435456</v>
    <v>1</v>
    <v>Powered by Refinitiv</v>
    <v>36.799999999999997</v>
    <v>26.5</v>
    <v>0.9738</v>
    <v>-0.06</v>
    <v>-1.7619999999999999E-3</v>
    <v>EUR</v>
    <v>Rubis SCA is a France-based company. The Company is operating in the energy sector to provide supportable access to energy. It has diversified into the production of renewable electricity to adapt to changes in demand and climate issues. The Company is structured around operational divisions, such as Energy distribution (Rubis Energie) specialized in the products marketed: liquefied gases, fuels and biofuels in service stations, hotels, aviation, marine, public works, and others. Renewable electricity production (Rubis Renouvelables) focuses on bringing together the activities of Photosol which is into development, financing, operation and maintenance of the ground-based photovoltaic installations as well as shade structures.</v>
    <v>4375</v>
    <v>Euronext Paris</v>
    <v>XPAR</v>
    <v>XPAR</v>
    <v>46 Rue Boissiere, PARIS, ILE-DE-FRANCE, 75116 FR</v>
    <v>34.479999999999997</v>
    <v>Oil &amp; Gas</v>
    <v>Stock</v>
    <v>46139.666666666664</v>
    <v>915</v>
    <v>33.92</v>
    <v>3358186000</v>
    <v>Rubis SCA</v>
    <v>Rubis SCA</v>
    <v>34.06</v>
    <v>11.378</v>
    <v>34.06</v>
    <v>34</v>
    <v>103408600</v>
    <v>RUI</v>
    <v>Rubis SCA (XPAR:RUI)</v>
    <v>165945</v>
    <v>275070</v>
    <v>1954</v>
  </rv>
  <rv s="2">
    <v>916</v>
  </rv>
  <rv s="14">
    <v>29</v>
    <v>APOGEE THERAPEUTICS, INC. (XNAS:APGE)</v>
    <v>17</v>
    <v>3</v>
    <v>Finance</v>
    <v>4</v>
    <v>en</v>
    <v>cacc9c</v>
    <v>268435456</v>
    <v>1</v>
    <v>Powered by Refinitiv</v>
    <v>95.314999999999998</v>
    <v>34.340000000000003</v>
    <v>1.306</v>
    <v>0.86</v>
    <v>1.0045999999999999E-2</v>
    <v>0</v>
    <v>0</v>
    <v>USD</v>
    <v>Apogee Therapeutics, Inc. is a clinical-stage biotechnology company. The Company is advancing novel biologics with the potential for differentiated efficacy and dosing in the inflammatory and immunology (I&amp;I) markets, including for the treatment of atopic dermatitis (AD), asthma, eosinophilic esophagitis (EoE), chronic obstructive pulmonary disease (COPD), and other I&amp;I indications. APG777, the Company’s most advanced program, is being initially developed for the treatment of AD. With four validated targets in its portfolio, it is seeking to achieve efficacy and dosing through monotherapies and combinations of its novel antibodies. Its most advanced programs are APG777, APG990, APG333, and APG808. APG990 is an SQ extended half-life mAb that utilizes advanced antibody engineering to target OX40L. APG333 is a fully human mAb against thymic stromal lymphopoietin (TSLP). APG808 is an SQ extended half-life mAb targeting IL-4Ra. APG279 is for the dual inhibition of OX40L and IL-13.</v>
    <v>261000</v>
    <v>Nasdaq Stock Market</v>
    <v>XNAS</v>
    <v>XNAS</v>
    <v>221 Crescent St., Building 17, Suite 102b, WALTHAM, MA, 02453 US</v>
    <v>88.45</v>
    <v>Biotechnology &amp; Medical Research</v>
    <v>Stock</v>
    <v>46139.840332036722</v>
    <v>84.08</v>
    <v>6402147141</v>
    <v>APOGEE THERAPEUTICS, INC.</v>
    <v>APOGEE THERAPEUTICS, INC.</v>
    <v>85.41</v>
    <v>0</v>
    <v>85.61</v>
    <v>86.47</v>
    <v>86.47</v>
    <v>74038940</v>
    <v>APGE</v>
    <v>APOGEE THERAPEUTICS, INC. (XNAS:APGE)</v>
    <v>970536</v>
    <v>1108188</v>
    <v>2023</v>
  </rv>
  <rv s="2">
    <v>918</v>
  </rv>
  <rv s="0">
    <v>https://www.bing.com/financeapi/forcetrigger?t=bxfgyc&amp;q=XNAS%3aSANA&amp;form=skydnc</v>
    <v>Learn more on Bing</v>
  </rv>
  <rv s="1">
    <v>0</v>
    <v>Sana Biotechnology Inc (XNAS:SANA)</v>
    <v>2</v>
    <v>3</v>
    <v>Finance</v>
    <v>4</v>
    <v>en</v>
    <v>bxfgyc</v>
    <v>268435456</v>
    <v>1</v>
    <v>Powered by Refinitiv</v>
    <v>6.55</v>
    <v>1.6</v>
    <v>2.1955</v>
    <v>-0.03</v>
    <v>-9.1190000000000004E-3</v>
    <v>0</v>
    <v>0</v>
    <v>USD</v>
    <v>Sana Biotechnology, Inc. is a biotechnology company focusing on utilizing engineered cells as medicines. It is engaged in developing ex vivo and in vivo cell engineering platforms to revolutionize treatment across an array of therapeutic areas with unmet treatment needs, including type 1 diabetes (T1D), oncology, and B cell mediated autoimmune diseases. It develops a pipeline of clinical product candidates focused on creating transformative ex vivo therapies across a range of therapeutic areas. Its pipeline products include SC451 and UP421. SC451 is its HIP-edited product candidate for the treatment of type 1 diabetes. SC451 is a pluripotent stem cell (PSC)-derived hypoimmune pancreatic islet cell product candidate for the treatment of diabetes, with an initial focus on T1D. Its ex vivo cell engineering platform is focused on engineering hypoimmune cells that engraft, function, and persist in patients by evading immune rejection.</v>
    <v>142</v>
    <v>Nasdaq Stock Market</v>
    <v>XNAS</v>
    <v>XNAS</v>
    <v>188 East Blaine Street, Suite 400, SEATTLE, WA, 98102 US</v>
    <v>3.46</v>
    <v>Biotechnology &amp; Medical Research</v>
    <v>Stock</v>
    <v>46139.890273344528</v>
    <v>920</v>
    <v>3.19</v>
    <v>894019466</v>
    <v>Sana Biotechnology Inc</v>
    <v>Sana Biotechnology Inc</v>
    <v>3.28</v>
    <v>0</v>
    <v>3.29</v>
    <v>3.26</v>
    <v>3.26</v>
    <v>274239100</v>
    <v>SANA</v>
    <v>Sana Biotechnology Inc (XNAS:SANA)</v>
    <v>2871812</v>
    <v>3716326</v>
    <v>2018</v>
  </rv>
  <rv s="2">
    <v>921</v>
  </rv>
  <rv s="0">
    <v>https://www.bing.com/financeapi/forcetrigger?t=a1vk52&amp;q=XNAS%3aINFN&amp;form=skydnc</v>
    <v>Learn more on Bing</v>
  </rv>
  <rv s="27">
    <v>57</v>
    <v>INFINERA CORPORATION (XNAS:INFN)</v>
    <v>2</v>
    <v>58</v>
    <v>Finance</v>
    <v>59</v>
    <v>en</v>
    <v>a1vk52</v>
    <v>268435456</v>
    <v>1</v>
    <v>1</v>
    <v>Powered by Refinitiv</v>
    <v>6.92</v>
    <v>4.4050000000000002</v>
    <v>1.661</v>
    <v>0</v>
    <v>0</v>
    <v>USD</v>
    <v>Infinera Corporation is a global supplier of open optical networking solutions and advanced optical semiconductors that enable carriers, cloud operators, governments, and enterprises to scale network bandwidth, accelerate service innovation, and automate network operations. The Company’s solutions deliver economics and performance in long-haul, submarine, data center interconnect, and metro transport applications. Its hardware product portfolio consists of compact modular platforms, packet-optical platforms, optical line systems, and optical subsystems. Its software products include the Infinera Transcend Software Suite, which includes automation and network management software. These products address multiple market segments in the end-to-end transport infrastructure, including metro, long-haul and subsea. It also provides customer support services, including professional service offerings designed to help customers optimize their network assets and migrate legacy services.</v>
    <v>3389</v>
    <v>Nasdaq Stock Market</v>
    <v>XNAS</v>
    <v>XNAS</v>
    <v>6373 San Ignacio Avenue, SAN JOSE, CA, 95119 US</v>
    <v>6.66</v>
    <v>Communications &amp; Networking</v>
    <v>Stock</v>
    <v>45716.034235566403</v>
    <v>923</v>
    <v>6.64</v>
    <v>1572367272</v>
    <v>INFINERA CORPORATION</v>
    <v>INFINERA CORPORATION</v>
    <v>6.66</v>
    <v>0</v>
    <v>6.65</v>
    <v>6.64</v>
    <v>236802300</v>
    <v>INFN</v>
    <v>INFINERA CORPORATION (XNAS:INFN)</v>
    <v>8838922</v>
    <v>1257774</v>
    <v>2000</v>
  </rv>
  <rv s="2">
    <v>924</v>
  </rv>
  <rv s="14">
    <v>29</v>
    <v>GE VERNOVA INC. (XNYS:GEV)</v>
    <v>17</v>
    <v>3</v>
    <v>Finance</v>
    <v>5</v>
    <v>en</v>
    <v>ccmvww</v>
    <v>268435456</v>
    <v>1</v>
    <v>Powered by Refinitiv</v>
    <v>1181.95</v>
    <v>357.64</v>
    <v>1.3089999999999999</v>
    <v>-29.12</v>
    <v>-2.5339999999999998E-2</v>
    <v>-2.4300000000000002</v>
    <v>-2.1689999999999999E-3</v>
    <v>USD</v>
    <v>GE Vernova Inc. is a purpose-built global energy company that includes Power, Wind, and Electrification segments and is supported by its accelerator businesses. It designs, manufactures, delivers, and services technologies to create a sustainable electric power system, enabling electrification and decarbonization. Power segment includes the design, manufacture, and servicing of gas, nuclear, hydro, and steam technologies, providing a critical foundation of dispatchable, flexible, stable, and reliable power. Wind segment includes its wind generation technologies, inclusive of onshore and offshore wind turbines and blades. Electrification segment includes grid solutions, power conversion and storage, and electrification software technologies required for the transmission, distribution, conversion, storage, and orchestration of electricity from point of generation to point of consumption. Its accelerator business includes advanced research, consulting services and financial services.</v>
    <v>75000</v>
    <v>New York Stock Exchange</v>
    <v>XNYS</v>
    <v>XNYS</v>
    <v>58 Charles Street, CAMBRIDGE, MA, 02141 US</v>
    <v>1140</v>
    <v>Electrical Utilities &amp; IPPs</v>
    <v>Stock</v>
    <v>46139.933333633591</v>
    <v>1084.95</v>
    <v>300985210400</v>
    <v>GE VERNOVA INC.</v>
    <v>GE VERNOVA INC.</v>
    <v>1135.2349999999999</v>
    <v>32.586599999999997</v>
    <v>1149.19</v>
    <v>1120.07</v>
    <v>1117.8</v>
    <v>268720000</v>
    <v>GEV</v>
    <v>GE VERNOVA INC. (XNYS:GEV)</v>
    <v>3842805</v>
    <v>2540186</v>
    <v>2023</v>
  </rv>
  <rv s="2">
    <v>926</v>
  </rv>
  <rv s="0">
    <v>https://www.bing.com/financeapi/forcetrigger?t=alwksm&amp;q=XLIS%3aCTT&amp;form=skydnc</v>
    <v>Learn more on Bing</v>
  </rv>
  <rv s="3">
    <v>6</v>
    <v>CTT - Correios de Portugal SA (XLIS:CTT)</v>
    <v>2</v>
    <v>7</v>
    <v>Finance</v>
    <v>8</v>
    <v>en</v>
    <v>alwksm</v>
    <v>268435456</v>
    <v>1</v>
    <v>Powered by Refinitiv</v>
    <v>8.14</v>
    <v>5.63</v>
    <v>0.48499999999999999</v>
    <v>7.4999999999999997E-2</v>
    <v>1.1923999999999999E-2</v>
    <v>EUR</v>
    <v>CTT Correios de Portugal SA (CTT) is a Portugal-based company principally engaged in the provision of courier services. The Company's activities are divided into four business segments: Mail, Express &amp; Parcels, Financial Services and CCT Bank. The Mail division operates post offices, as well as offers postal services to business customers, distribution of advertising materials and postal communication solutions, among others. The Express &amp; Parcels division provides courier services, as well as urgent mail and parcel delivery under CTT Expresso, Tourline and Corre brand names. The Financial Services division, under PayShop brand name, offers payment processing through a national network of agents, such as supermarkets, tobacco stores and kiosks. The CCT Bank division includes retail banking activity. The Company operates in Portugal, Spain and Mozambique.</v>
    <v>14048</v>
    <v>Euronext Lisbon</v>
    <v>XLIS</v>
    <v>XLIS</v>
    <v>Avenida dos Combatentes, n 43, 14 piso, LISBOA, 1643-001 PT</v>
    <v>6.39</v>
    <v>Freight &amp; Logistics Services</v>
    <v>Stock</v>
    <v>46139.666666666664</v>
    <v>928</v>
    <v>6.25</v>
    <v>975547800</v>
    <v>CTT - Correios de Portugal SA</v>
    <v>CTT - Correios de Portugal SA</v>
    <v>6.29</v>
    <v>16.500499999999999</v>
    <v>6.29</v>
    <v>6.3650000000000002</v>
    <v>133820000</v>
    <v>CTT</v>
    <v>CTT - Correios de Portugal SA (XLIS:CTT)</v>
    <v>230652</v>
    <v>328670</v>
    <v>1969</v>
  </rv>
  <rv s="2">
    <v>929</v>
  </rv>
  <rv s="0">
    <v>https://www.bing.com/financeapi/forcetrigger?t=bwa2fr&amp;q=XFRA%3aHAG&amp;form=skydnc</v>
    <v>Learn more on Bing</v>
  </rv>
  <rv s="9">
    <v>20</v>
    <v>Hensoldt AG (XFRA:HAG)</v>
    <v>2</v>
    <v>21</v>
    <v>Finance</v>
    <v>8</v>
    <v>en</v>
    <v>bwa2fr</v>
    <v>268435456</v>
    <v>1</v>
    <v>Powered by Refinitiv</v>
    <v>0.31819999999999998</v>
    <v>0.52</v>
    <v>7.0920000000000002E-3</v>
    <v>EUR</v>
    <v>Hensoldt AG, former Hensoldt GmbH, is a Germany based manufacturer of search, detection, navigation, guidance, aeronautical and nautical systems and instruments. The Company also directly or indirectly acquires, holds, sells and manages stakes in companies involved in the development, manufacture, operation and sale of electrical engineering systems, optronic products and software solutions for military and non-military purposes.</v>
    <v>9193</v>
    <v>Deutsche Boerse AG</v>
    <v>XFRA</v>
    <v>XFRA</v>
    <v>Willy-Messerschmitt-Strasse 3, TAUFKIRCHEN, BAYERN, 82024 DE</v>
    <v>74.12</v>
    <v>Aerospace &amp; Defense</v>
    <v>Stock</v>
    <v>46139.836805555555</v>
    <v>931</v>
    <v>73</v>
    <v>10626000000</v>
    <v>Hensoldt AG</v>
    <v>Hensoldt AG</v>
    <v>73.52</v>
    <v>100.46</v>
    <v>73.319999999999993</v>
    <v>73.84</v>
    <v>115500000</v>
    <v>HAG</v>
    <v>Hensoldt AG (XFRA:HAG)</v>
    <v>2175</v>
    <v>333520</v>
    <v>2020</v>
  </rv>
  <rv s="2">
    <v>932</v>
  </rv>
  <rv s="0">
    <v>https://www.bing.com/financeapi/forcetrigger?t=byhk6h&amp;q=XNYS%3aCPNG&amp;form=skydnc</v>
    <v>Learn more on Bing</v>
  </rv>
  <rv s="1">
    <v>0</v>
    <v>COUPANG, INC. (XNYS:CPNG)</v>
    <v>2</v>
    <v>3</v>
    <v>Finance</v>
    <v>5</v>
    <v>en</v>
    <v>byhk6h</v>
    <v>268435456</v>
    <v>1</v>
    <v>Powered by Refinitiv</v>
    <v>34.075000000000003</v>
    <v>16.739999999999998</v>
    <v>1.2245999999999999</v>
    <v>-0.02</v>
    <v>-9.7510000000000001E-4</v>
    <v>-0.03</v>
    <v>-1.464E-3</v>
    <v>USD</v>
    <v>Coupang, Inc. is a technology company that provides retail, restaurant delivery, video streaming, and fintech services to customers around the world under brands, such as Coupang, Coupang Eats, Coupang Play, Farfetch, and Rocket Now. Through its AI cloud computing service as Coupang Intelligent Cloud (CIC), it enhances its services and operations and provides GPU-as-a-Service (GPUaaS), including to external parties. Its Product Commerce segment includes its core Korean retail (owned inventory) and marketplace offerings (third-party merchants) and Rocket Fresh, its fresh grocery offering, as well as advertising products associated with these offerings. Its Developing Offerings include Coupang Eats, its restaurant ordering and delivery service in Korea, Coupang Play, an online content streaming service in Korea, fintech, its retail operations in Taiwan, as well as advertising products associated with these offerings, and also include Farfetch, its global luxury fashion marketplace.</v>
    <v>108000</v>
    <v>New York Stock Exchange</v>
    <v>XNYS</v>
    <v>XNYS</v>
    <v>720 Olive Way, Suite 600, SEATTLE, WA, 98101 US</v>
    <v>20.79</v>
    <v>Diversified Retail</v>
    <v>Stock</v>
    <v>46139.934846296092</v>
    <v>934</v>
    <v>20.32</v>
    <v>37459654080</v>
    <v>COUPANG, INC.</v>
    <v>COUPANG, INC.</v>
    <v>20.350000000000001</v>
    <v>182.78319999999999</v>
    <v>20.51</v>
    <v>20.49</v>
    <v>20.46</v>
    <v>1828192000</v>
    <v>CPNG</v>
    <v>COUPANG, INC. (XNYS:CPNG)</v>
    <v>14734619</v>
    <v>18548072</v>
    <v>2010</v>
  </rv>
  <rv s="2">
    <v>935</v>
  </rv>
  <rv s="14">
    <v>29</v>
    <v>PHINIA INC. (XNYS:PHIN)</v>
    <v>17</v>
    <v>3</v>
    <v>Finance</v>
    <v>4</v>
    <v>en</v>
    <v>ca56h7</v>
    <v>268435456</v>
    <v>1</v>
    <v>Powered by Refinitiv</v>
    <v>81.11</v>
    <v>38.78</v>
    <v>1.0880000000000001</v>
    <v>-1.55</v>
    <v>-2.1034000000000001E-2</v>
    <v>0</v>
    <v>0</v>
    <v>USD</v>
    <v>PHINIA Inc. is an independent solutions and components provider. Across commercial vehicles and industrial applications, the Company develops fuel systems, electrical systems and aftermarket solutions. The Company’s segments include Fuel Systems and Aftermarket. The Fuel Systems segment provides advanced fuel injection systems, fuel delivery modules, canisters, sensors, electronic control modules and associated software. Its engineered fuel injection systems portfolio includes pumps, injectors, fuel rail assemblies, engine control modules, and complete systems, including software and calibration services, that reduce emissions and improve fuel economy for traditional and hybrid applications. The Aftermarket segment sells products to independent aftermarket customers and OES customers. Its product portfolio includes a wide range of products as well as maintenance, test equipment and vehicle diagnostics solutions. The Company's brand portfolio includes DELPHI, DELCO REMY and HARTRIDGET.</v>
    <v>4900</v>
    <v>New York Stock Exchange</v>
    <v>XNYS</v>
    <v>XNYS</v>
    <v>3000 University Drive, Auburn Hills, MI, 48326 US</v>
    <v>74.459999999999994</v>
    <v>Automobiles &amp; Auto Parts</v>
    <v>Stock</v>
    <v>46139.840334478904</v>
    <v>72.02</v>
    <v>2712917039</v>
    <v>PHINIA INC.</v>
    <v>PHINIA INC.</v>
    <v>73.77</v>
    <v>22.694600000000001</v>
    <v>73.69</v>
    <v>72.14</v>
    <v>72.14</v>
    <v>37606280</v>
    <v>PHIN</v>
    <v>PHINIA INC. (XNYS:PHIN)</v>
    <v>244786</v>
    <v>354648</v>
    <v>2023</v>
  </rv>
  <rv s="2">
    <v>937</v>
  </rv>
  <rv s="0">
    <v>https://www.bing.com/financeapi/forcetrigger?t=a244ur&amp;q=XNAS%3aTER&amp;form=skydnc</v>
    <v>Learn more on Bing</v>
  </rv>
  <rv s="1">
    <v>0</v>
    <v>TERADYNE, INC. (XNAS:TER)</v>
    <v>2</v>
    <v>3</v>
    <v>Finance</v>
    <v>5</v>
    <v>en</v>
    <v>a244ur</v>
    <v>268435456</v>
    <v>1</v>
    <v>Powered by Refinitiv</v>
    <v>422.11</v>
    <v>71.27</v>
    <v>1.9865999999999999</v>
    <v>-16.100000000000001</v>
    <v>-3.8509000000000002E-2</v>
    <v>1.26</v>
    <v>3.1340000000000001E-3</v>
    <v>USD</v>
    <v>Teradyne, Inc. is a global supplier of automated test equipment and robotics solutions. It designs, develops, manufactures and sells automated test systems and robotics products. Its segment includes Semiconductor Test, Robotics, and Product Test. The Semiconductor Test segment includes operations related to the design, manufacturing and marketing of semiconductor test products and services, inclusive of storage and system level test products. The Robotics segment includes operations related to the design, manufacturing and marketing of collaborative robotic arms and autonomous mobile robots. The Product Test segment includes operations related to the design, manufacturing and marketing of products and services for defense/aerospace test, circuit-board test, wireless test systems, and silicon photonics testing. Its offerings also include defense/aerospace test instrumentation and systems, circuit-board test and inspection (production board test) systems, and wireless test systems.</v>
    <v>6600</v>
    <v>Nasdaq Stock Market</v>
    <v>XNAS</v>
    <v>XNAS</v>
    <v>600 Riverpark Dr, NORTH READING, MA, 01864-2634 US</v>
    <v>421.44</v>
    <v>Semiconductors &amp; Semiconductor Equipment</v>
    <v>Stock</v>
    <v>46139.933231897659</v>
    <v>939</v>
    <v>389.3</v>
    <v>62933747612</v>
    <v>TERADYNE, INC.</v>
    <v>TERADYNE, INC.</v>
    <v>421.44</v>
    <v>115.41200000000001</v>
    <v>418.08</v>
    <v>401.98</v>
    <v>403.26</v>
    <v>156559400</v>
    <v>TER</v>
    <v>TERADYNE, INC. (XNAS:TER)</v>
    <v>4023448</v>
    <v>2929466</v>
    <v>1960</v>
  </rv>
  <rv s="2">
    <v>940</v>
  </rv>
  <rv s="0">
    <v>https://www.bing.com/financeapi/forcetrigger?t=alwk2w&amp;q=XLIS%3aBCP&amp;form=skydnc</v>
    <v>Learn more on Bing</v>
  </rv>
  <rv s="3">
    <v>6</v>
    <v>Banco Comercial Portugues SA (XLIS:BCP)</v>
    <v>2</v>
    <v>7</v>
    <v>Finance</v>
    <v>8</v>
    <v>en</v>
    <v>alwk2w</v>
    <v>268435456</v>
    <v>1</v>
    <v>Powered by Refinitiv</v>
    <v>0.95</v>
    <v>0.56000000000000005</v>
    <v>0.85529999999999995</v>
    <v>0</v>
    <v>0</v>
    <v>EUR</v>
    <v>Banco Comercial Portugues SA (the Bank) is a Portugal-based privately owned bank. The Bank's business segments include Retail Banking; Companies, Corporate and Investment Banking; Private Banking; Non-core business portfolio; Foreign business and Others. The Retail Banking segments comprises Retail Network of Millennium BCP, and ActivoBank. The Companies, Corporate and Investment Banking segment includes Companies Network of Millennium BCP; Specialized Recovery Division; Real Estate Business Division; Interfundos; Corporate and Large Corporates Networks of Millennium BCP; Investment Banking, and International Division. The Private Banking segment comprises Private Banking Networks of Millennium BCP (Portugal), Millennium Banque Privee (Switzerland), and Millennium BCP Bank &amp; Trust (Cayman Islands). The Foreign business segment comprises Banco Internacional de Mocambique; Banco Millennium Angola Millennium Banque Privee (Switzerland).</v>
    <v>15747</v>
    <v>Euronext Lisbon</v>
    <v>XLIS</v>
    <v>XLIS</v>
    <v>Praca D. Joao I, n 28, PORTO, 4000-295 PT</v>
    <v>0.87939999999999996</v>
    <v>Banking Services</v>
    <v>Stock</v>
    <v>46139.666666666664</v>
    <v>942</v>
    <v>0.86699999999999999</v>
    <v>13149470000</v>
    <v>Banco Comercial Portugues SA</v>
    <v>Banco Comercial Portugues SA</v>
    <v>0.87160000000000004</v>
    <v>10.288399999999999</v>
    <v>0.87039999999999995</v>
    <v>0.87039999999999995</v>
    <v>14804630000</v>
    <v>BCP</v>
    <v>Banco Comercial Portugues SA (XLIS:BCP)</v>
    <v>24372585</v>
    <v>42237260</v>
    <v>1985</v>
  </rv>
  <rv s="2">
    <v>943</v>
  </rv>
  <rv s="0">
    <v>https://www.bing.com/financeapi/forcetrigger?t=amg26h&amp;q=BMEX%3aRED&amp;form=skydnc</v>
    <v>Learn more on Bing</v>
  </rv>
  <rv s="16">
    <v>33</v>
    <v>Redeia Corporacion SA (BMEX:RED)</v>
    <v>2</v>
    <v>34</v>
    <v>Finance</v>
    <v>32</v>
    <v>en</v>
    <v>amg26h</v>
    <v>268435456</v>
    <v>1</v>
    <v>Powered by Refinitiv</v>
    <v>19.38</v>
    <v>14.15</v>
    <v>0.41349999999999998</v>
    <v>0.03</v>
    <v>2.0119999999999999E-3</v>
    <v>-0.09</v>
    <v>-6.0240000000000007E-3</v>
    <v>EUR</v>
    <v>Redeia Corporacion SA is a Spain-based company principally engaged in energy sector. The Company, through Red Electrica de Espana SAU, focuses on the management and operation of high-voltage electricity transmission grids, as well as is responsible for its development, maintenance, and improvement of the network’s installations. Its activities also include the coordination among generation, transmission, and distribution process of electric energy. The Company also manage telecommunications networks in Spain and Latin America through fleet of satellites and fiber optic assets. The Company is a parent of Redeia Group and operates through its subsidiaries and affiliates in several countries, such as Spain, the Netherlands, France, Peru, Chile, and Brazil.</v>
    <v>2099</v>
    <v>Bolsas y Mercados Espanoles</v>
    <v>BMEX</v>
    <v>BMEX</v>
    <v>Paseo Conde de los Gaitanes, 177, La Moraleja, ALCOBENDAS, MADRID, 28109 ES</v>
    <v>15</v>
    <v>Electrical Utilities &amp; IPPs</v>
    <v>Stock</v>
    <v>46139.666666666664</v>
    <v>945</v>
    <v>14.85</v>
    <v>8089146000</v>
    <v>Redeia Corporacion SA</v>
    <v>Redeia Corporacion SA</v>
    <v>14.85</v>
    <v>15.9244</v>
    <v>14.91</v>
    <v>14.94</v>
    <v>14.85</v>
    <v>541080000</v>
    <v>RED</v>
    <v>Redeia Corporacion SA (BMEX:RED)</v>
    <v>803021</v>
    <v>1193680</v>
  </rv>
  <rv s="2">
    <v>946</v>
  </rv>
  <rv s="0">
    <v>https://www.bing.com/financeapi/forcetrigger?t=afaicw&amp;q=XFRA%3aFTK&amp;form=skydnc</v>
    <v>Learn more on Bing</v>
  </rv>
  <rv s="3">
    <v>6</v>
    <v>flatexDEGIRO SE (XFRA:FTK)</v>
    <v>2</v>
    <v>7</v>
    <v>Finance</v>
    <v>8</v>
    <v>en</v>
    <v>afaicw</v>
    <v>268435456</v>
    <v>1</v>
    <v>Powered by Refinitiv</v>
    <v>118</v>
    <v>5.5979999999999999</v>
    <v>1.0838000000000001</v>
    <v>0.52</v>
    <v>1.6827999999999999E-2</v>
    <v>EUR</v>
    <v>flatexDEGIRO SE, formerly flatexDEGIRO AG, is a Germany-based online brokerage and banking company. The Company operates as parent financial holding company and is engaged in providing online brokerage activities for retail clients in approximately 16 European countries. It focuses on investors who trade securities without investment advice to build their wealth. The Company’s business activities are the supply of technologies in the online brokerage market and financial sector, as well as the provision of financial services and Information Technology (IT) services. In addition, the Company, through its brokerage platforms offers clients access to more than 50 stock exchanges worldwide, as well as directs Over-the-Counter trading (OTC) trading. It operates three brokerage platforms namely flatex, DEGIRO and ViTrade itself and also runs a regulated bank in Germany.</v>
    <v>1210</v>
    <v>Deutsche Boerse AG</v>
    <v>XFRA</v>
    <v>XFRA</v>
    <v>Omniturm, Grosse Gallusstrasse 16-18, FRANKFURT AM MAIN, HESSEN, 60312 DE</v>
    <v>31.42</v>
    <v>Investment Banking &amp; Investment Services</v>
    <v>Stock</v>
    <v>46139.836805555555</v>
    <v>948</v>
    <v>30.78</v>
    <v>4266612000</v>
    <v>flatexDEGIRO SE</v>
    <v>flatexDEGIRO SE</v>
    <v>30.78</v>
    <v>21.087199999999999</v>
    <v>30.9</v>
    <v>31.42</v>
    <v>110134600</v>
    <v>FTK</v>
    <v>flatexDEGIRO SE (XFRA:FTK)</v>
    <v>33</v>
    <v>484160</v>
    <v>2015</v>
  </rv>
  <rv s="2">
    <v>949</v>
  </rv>
  <rv s="0">
    <v>https://www.bing.com/financeapi/forcetrigger?t=a1olp2&amp;q=XNAS%3aBLFS&amp;form=skydnc</v>
    <v>Learn more on Bing</v>
  </rv>
  <rv s="1">
    <v>0</v>
    <v>BIOLIFE SOLUTIONS, INC. (XNAS:BLFS)</v>
    <v>2</v>
    <v>3</v>
    <v>Finance</v>
    <v>4</v>
    <v>en</v>
    <v>a1olp2</v>
    <v>268435456</v>
    <v>1</v>
    <v>Powered by Refinitiv</v>
    <v>29.62</v>
    <v>17.86</v>
    <v>1.9955000000000001</v>
    <v>0.03</v>
    <v>1.4030000000000002E-3</v>
    <v>0</v>
    <v>0</v>
    <v>USD</v>
    <v>BioLife Solutions, Inc. is a developer and supplier of cell processing tools and services for the cell and gene therapy (CGT) market. The Company facilitates the commercialization of new therapies by supplying solutions that maintain the health and function of biologic materials during the collection, development, manufacturing and distribution. Its CryoStor freeze media and HypoThermosol hypothermic storage media are optimized to preserve cells in the cell and gene therapy market. Its Sexton cell processing product line includes human platelet lysates (hPL) for cell expansion. Its CellSeal closed systems are purpose-built rigid containers used in cell and gene therapy (CGT). Its CryoCase cryo-compatible transparent rigid containers are designed for closed-system fill and retrieval, and automated cell processing machines. The Company's ThawSTAR product line comprises a family of automated thawing devices for frozen cell and gene therapies packaged in cryovials and cryobags.</v>
    <v>155</v>
    <v>Nasdaq Stock Market</v>
    <v>XNAS</v>
    <v>XNAS</v>
    <v>SUITE 310, 3303 MONTE VILLA PARKWAY, BOTHELL, WA, 98021 US</v>
    <v>22.05</v>
    <v>Healthcare Equipment &amp; Supplies</v>
    <v>Stock</v>
    <v>46139.840332303123</v>
    <v>951</v>
    <v>21.22</v>
    <v>1034103000</v>
    <v>BIOLIFE SOLUTIONS, INC.</v>
    <v>BIOLIFE SOLUTIONS, INC.</v>
    <v>21.465</v>
    <v>0</v>
    <v>21.38</v>
    <v>21.41</v>
    <v>21.41</v>
    <v>48300000</v>
    <v>BLFS</v>
    <v>BIOLIFE SOLUTIONS, INC. (XNAS:BLFS)</v>
    <v>230551</v>
    <v>385163</v>
    <v>1998</v>
  </rv>
  <rv s="2">
    <v>952</v>
  </rv>
  <rv s="0">
    <v>https://www.bing.com/financeapi/forcetrigger?t=a1xlk2&amp;q=XNYS%3aMHK&amp;form=skydnc</v>
    <v>Learn more on Bing</v>
  </rv>
  <rv s="1">
    <v>0</v>
    <v>MOHAWK INDUSTRIES, INC. (XNYS:MHK)</v>
    <v>2</v>
    <v>3</v>
    <v>Finance</v>
    <v>4</v>
    <v>en</v>
    <v>a1xlk2</v>
    <v>268435456</v>
    <v>1</v>
    <v>Powered by Refinitiv</v>
    <v>143.13</v>
    <v>94.56</v>
    <v>1.2321</v>
    <v>-0.15</v>
    <v>-1.392E-3</v>
    <v>0.41</v>
    <v>3.8110000000000002E-3</v>
    <v>USD</v>
    <v>Mohawk Industries, Inc. is a flooring manufacturer that creates products to enhance residential and commercial spaces around the world. Its segments include Global Ceramic, Flooring North America (Flooring NA) and Flooring Rest of the World (Flooring ROW). The Global Ceramic segment designs, manufactures, sources, distributes and markets a line of ceramic, porcelain and natural stone tile products used for floor and wall applications in residential and commercial channels. Flooring NA segment designs, manufactures, sources, distributes and markets a range of floor covering products, including broadloom carpet, carpet tile, rugs and mats, carpet pad, laminate, medium-density fiberboard (MDF), wood flooring, LVT and sheet vinyl. Flooring ROW segment designs, manufactures, sources, distributes and markets a variety of laminate, LVT and sheet vinyl, wood flooring, broadloom carpet and carpet tile collections used in residential and commercial markets for remodeling and new construction.</v>
    <v>40500</v>
    <v>New York Stock Exchange</v>
    <v>XNYS</v>
    <v>XNYS</v>
    <v>PO BOX 12069, 160 S INDUSTRIAL BLVD, CALHOUN, GA, 30701 US</v>
    <v>110.325</v>
    <v>Household Goods</v>
    <v>Stock</v>
    <v>46139.866899814064</v>
    <v>954</v>
    <v>106.81</v>
    <v>6584255163</v>
    <v>MOHAWK INDUSTRIES, INC.</v>
    <v>MOHAWK INDUSTRIES, INC.</v>
    <v>108.18</v>
    <v>18.197900000000001</v>
    <v>107.74</v>
    <v>107.59</v>
    <v>108</v>
    <v>61197650</v>
    <v>MHK</v>
    <v>MOHAWK INDUSTRIES, INC. (XNYS:MHK)</v>
    <v>814262</v>
    <v>1007581</v>
    <v>1988</v>
  </rv>
  <rv s="2">
    <v>955</v>
  </rv>
  <rv s="0">
    <v>https://www.bing.com/financeapi/forcetrigger?t=ajgrar&amp;q=XMIL%3aUCG&amp;form=skydnc</v>
    <v>Learn more on Bing</v>
  </rv>
  <rv s="5">
    <v>11</v>
    <v>UniCredit SpA (XMIL:UCG)</v>
    <v>2</v>
    <v>12</v>
    <v>Finance</v>
    <v>13</v>
    <v>en</v>
    <v>ajgrar</v>
    <v>268435456</v>
    <v>1</v>
    <v>Powered by Refinitiv</v>
    <v>79.790000000000006</v>
    <v>50.19</v>
    <v>1.6888000000000001</v>
    <v>0.38</v>
    <v>5.9370000000000004E-3</v>
    <v>EUR</v>
    <v>UniCredit SpA is an Italy-based holding company engaged in the financial sector. Its division model is based on seven business lines: Commercial Banking Italy, Central and Eastern Europe (CEE), Corporate and Investment Banking (CIB), Commercial Banking Germany, Commercial Banking Austria and Fineco. UniCredit SpA offers banking and financial services for families, individuals and corporate clients, including accounts, loans, mortgages, investments, wealth management, as well as financial advice and insurance products, among others. Through numerous subsidiaries, the Company operates in the domestic market, Germany, Austria and CEE.</v>
    <v>67118</v>
    <v>Borsa Italiana</v>
    <v>XMIL</v>
    <v>XMIL</v>
    <v>PIAZZA GAE AULENTI 3, LOMBARDY, 20154 IT</v>
    <v>64.97</v>
    <v>Banking Services</v>
    <v>Stock</v>
    <v>46139.666666666664</v>
    <v>957</v>
    <v>63.98</v>
    <v>111295900000</v>
    <v>UniCredit SpA</v>
    <v>UniCredit SpA</v>
    <v>64.2</v>
    <v>9.1875999999999998</v>
    <v>64.010000000000005</v>
    <v>64.39</v>
    <v>1507953000</v>
    <v>UCG</v>
    <v>UniCredit SpA (XMIL:UCG)</v>
    <v>2800397</v>
    <v>6025270</v>
  </rv>
  <rv s="2">
    <v>958</v>
  </rv>
  <rv s="0">
    <v>https://www.bing.com/financeapi/forcetrigger?t=ae7v7w&amp;q=XPAR%3aBIM&amp;form=skydnc</v>
    <v>Learn more on Bing</v>
  </rv>
  <rv s="3">
    <v>6</v>
    <v>Biomerieux SA (XPAR:BIM)</v>
    <v>2</v>
    <v>7</v>
    <v>Finance</v>
    <v>8</v>
    <v>en</v>
    <v>ae7v7w</v>
    <v>268435456</v>
    <v>1</v>
    <v>Powered by Refinitiv</v>
    <v>128.30000000000001</v>
    <v>70.25</v>
    <v>0.75980000000000003</v>
    <v>0.35</v>
    <v>4.9329999999999999E-3</v>
    <v>EUR</v>
    <v>Biomerieux SA is a France-based company that specializes in the field of in-vitro diagnostics for medical and industrial applications. The Company designs, develops, manufactures and sells systems used in clinical applications, such as for the diagnosis of tuberculosis, respiratory infections, among others and industrial applications, such as for the analysis of industrial or environmental samples. The Company also provides its customers with related services for the installation and maintenance of instruments, and training for product users. BioMerieux SA operates through its numerous subsidiaries in various countires, including bioMerieux Deutschland GmbH, bioMerieux Austria GmbH, Advencis, bioMerieux Benelux SA/NV, as well as BioFire Diagnostics Inc., chromID CARBA SMART and new bi-plate Petri dish.</v>
    <v>15226</v>
    <v>Euronext Paris</v>
    <v>XPAR</v>
    <v>XPAR</v>
    <v>376 CHEMIN DE L'ORME, 69280 FR</v>
    <v>72.900000000000006</v>
    <v>Healthcare Equipment &amp; Supplies</v>
    <v>Stock</v>
    <v>46139.666666666664</v>
    <v>960</v>
    <v>71.2</v>
    <v>12783010000</v>
    <v>Biomerieux SA</v>
    <v>Biomerieux SA</v>
    <v>71.2</v>
    <v>21.027200000000001</v>
    <v>70.95</v>
    <v>71.3</v>
    <v>118361200</v>
    <v>BIM</v>
    <v>Biomerieux SA (XPAR:BIM)</v>
    <v>352429</v>
    <v>201880</v>
    <v>1967</v>
  </rv>
  <rv s="2">
    <v>961</v>
  </rv>
  <rv s="0">
    <v>https://www.bing.com/financeapi/forcetrigger?t=bvjp6h&amp;q=XNYS%3aNUVB&amp;form=skydnc</v>
    <v>Learn more on Bing</v>
  </rv>
  <rv s="1">
    <v>0</v>
    <v>NUVATION BIO INC. (XNYS:NUVB)</v>
    <v>2</v>
    <v>3</v>
    <v>Finance</v>
    <v>5</v>
    <v>en</v>
    <v>bvjp6h</v>
    <v>268435456</v>
    <v>1</v>
    <v>Powered by Refinitiv</v>
    <v>9.75</v>
    <v>1.57</v>
    <v>1.6046</v>
    <v>-0.33500000000000002</v>
    <v>-6.8506999999999998E-2</v>
    <v>0.04</v>
    <v>8.7720000000000003E-3</v>
    <v>USD</v>
    <v>Nuvation Bio Inc. is a global biopharmaceutical company. The Company is engaged in tackling the unmet needs in oncology by developing differentiated and therapeutic candidates. Its programs include taletrectinib (ROS1 inhibitor), safusidenib (mIDH1 inhibitor), NUV-1511 (drug-drug conjugate), and NUV-868 (BET inhibitor). The Company's Taletrectinib is an oral, potent, central nervous system-active, selective, ROS1 inhibitor specifically designed for the treatment of patients with ROS1-positive (ROS1+) non-small cell lung cancer (NSCLC). Safusidenib is a novel, oral, potent, brain penetrant, targeted inhibitor of mutant isocitrate dehydrogenase 1(mIDH1). NUV-1511, a clinical-stage drug-drug conjugate (DDC), fuses a targeting agent to a widely used chemotherapy agent. Its NUV-868 is a BD2-selective, oral, small molecule bromodomain and extra-terminal (BET) inhibitor that inhibits BRD4.</v>
    <v>298</v>
    <v>New York Stock Exchange</v>
    <v>XNYS</v>
    <v>XNYS</v>
    <v>1500 Broadway, Suite 1401, NEW YORK, NY, 10036 US</v>
    <v>5.15</v>
    <v>Biotechnology &amp; Medical Research</v>
    <v>Stock</v>
    <v>46139.929304131249</v>
    <v>963</v>
    <v>4.5449999999999999</v>
    <v>1583708819</v>
    <v>NUVATION BIO INC.</v>
    <v>NUVATION BIO INC.</v>
    <v>4.87</v>
    <v>0</v>
    <v>4.8899999999999997</v>
    <v>4.5549999999999997</v>
    <v>4.5999999999999996</v>
    <v>347685800</v>
    <v>NUVB</v>
    <v>NUVATION BIO INC. (XNYS:NUVB)</v>
    <v>6547538</v>
    <v>3255282</v>
    <v>2020</v>
  </rv>
  <rv s="2">
    <v>964</v>
  </rv>
  <rv s="0">
    <v>https://www.bing.com/financeapi/forcetrigger?t=bxm5ww&amp;q=XFRA%3aAG1&amp;form=skydnc</v>
    <v>Learn more on Bing</v>
  </rv>
  <rv s="9">
    <v>20</v>
    <v>AUTO1 Group SE (XFRA:AG1)</v>
    <v>2</v>
    <v>21</v>
    <v>Finance</v>
    <v>8</v>
    <v>en</v>
    <v>bxm5ww</v>
    <v>268435456</v>
    <v>1</v>
    <v>Powered by Refinitiv</v>
    <v>1.9934000000000001</v>
    <v>-0.11</v>
    <v>-6.0140000000000002E-3</v>
    <v>EUR</v>
    <v>AUTO1 Group SE is a Germany-based software publishing company. It operates as a software publisher providing digital automotive platform. Through their platform the Company offers for consumers and professional car dealers a way to sell and buy used cars without time-consuming price negotiations.</v>
    <v>6984</v>
    <v>Deutsche Boerse AG</v>
    <v>XFRA</v>
    <v>XFRA</v>
    <v>Bergmannstrasse 72, BERLIN, 10961 DE</v>
    <v>18.2</v>
    <v>Software &amp; IT Services</v>
    <v>Stock</v>
    <v>46139.836805555555</v>
    <v>966</v>
    <v>18.100000000000001</v>
    <v>6766375000</v>
    <v>AUTO1 Group SE</v>
    <v>AUTO1 Group SE</v>
    <v>18.100000000000001</v>
    <v>51.95</v>
    <v>18.29</v>
    <v>18.18</v>
    <v>221456500</v>
    <v>AG1</v>
    <v>AUTO1 Group SE (XFRA:AG1)</v>
    <v>157</v>
    <v>593750</v>
    <v>2018</v>
  </rv>
  <rv s="2">
    <v>967</v>
  </rv>
  <rv s="0">
    <v>https://www.bing.com/financeapi/forcetrigger?t=a1v9lh&amp;q=XNAS%3aIDCC&amp;form=skydnc</v>
    <v>Learn more on Bing</v>
  </rv>
  <rv s="1">
    <v>0</v>
    <v>InterDigital, Inc. (XNAS:IDCC)</v>
    <v>2</v>
    <v>3</v>
    <v>Finance</v>
    <v>4</v>
    <v>en</v>
    <v>a1v9lh</v>
    <v>268435456</v>
    <v>1</v>
    <v>Powered by Refinitiv</v>
    <v>412.6</v>
    <v>193.565</v>
    <v>1.6825000000000001</v>
    <v>-6.26</v>
    <v>-1.6988E-2</v>
    <v>-19.307400000000001</v>
    <v>-5.33E-2</v>
    <v>USD</v>
    <v>InterDigital, Inc. is a global research and development company focused primarily on wireless, video, artificial intelligence (AI), and related technologies. It designs and develops foundational technologies that enable connected, immersive experiences in a range of communications and entertainment products and services. The Company licenses its innovations worldwide to companies providing such products and services, including makers of wireless communications devices, consumer electronics, Internet of Things (IoT) devices, cars and other motor vehicles and providers of cloud-based services such as video streaming. It focuses on wireless technology, which is used in wireless products and networks, from the earliest digital cellular systems to fifth generation (5G) and advanced Wi-Fi technologies. The Company also focuses on video processing and video encoding/decoding technology, with a significant AI research effort that intersects with both wireless and video technologies.</v>
    <v>460</v>
    <v>Nasdaq Stock Market</v>
    <v>XNAS</v>
    <v>XNAS</v>
    <v>200 Bellevue Parkway, Suite 300, WILMINGTON, DE, 19809-3727 US</v>
    <v>373.82</v>
    <v>Communications &amp; Networking</v>
    <v>Stock</v>
    <v>46139.902602337497</v>
    <v>969</v>
    <v>354.77</v>
    <v>9304775564</v>
    <v>InterDigital, Inc.</v>
    <v>InterDigital, Inc.</v>
    <v>369.17</v>
    <v>30.340399999999999</v>
    <v>368.5</v>
    <v>362.24</v>
    <v>342.93259999999998</v>
    <v>25686770</v>
    <v>IDCC</v>
    <v>InterDigital, Inc. (XNAS:IDCC)</v>
    <v>337574</v>
    <v>486589</v>
    <v>2018</v>
  </rv>
  <rv s="2">
    <v>970</v>
  </rv>
  <rv s="0">
    <v>https://www.bing.com/financeapi/forcetrigger?t=b1uy3m&amp;q=XMIL%3aWIIT&amp;form=skydnc</v>
    <v>Learn more on Bing</v>
  </rv>
  <rv s="5">
    <v>11</v>
    <v>Wiit SpA (XMIL:WIIT)</v>
    <v>2</v>
    <v>12</v>
    <v>Finance</v>
    <v>13</v>
    <v>en</v>
    <v>b1uy3m</v>
    <v>268435456</v>
    <v>1</v>
    <v>Powered by Refinitiv</v>
    <v>31.4</v>
    <v>14.92</v>
    <v>1.3451</v>
    <v>-0.75</v>
    <v>-2.4752E-2</v>
    <v>EUR</v>
    <v>Wiit SpA is an Italy-based company engaged in the Information technology (IT) outsourcing. The Company offers business application outsourcing for medium and large enterprises and datacenter features. In additionally, the Company specializes in provision of hosting services, host sub solution, private cloud, disaster recovery, as well as services in application service provider (ASP) and business continuity methodology. Wiit SpA is involved in providing services on SAP, Oracle and Microsoft system. The Company operates in the domestic market.</v>
    <v>576</v>
    <v>Borsa Italiana</v>
    <v>XMIL</v>
    <v>XMIL</v>
    <v>VIA DEI MERCANTI, 12, MILANO, 20121 IT</v>
    <v>30.7</v>
    <v>Software &amp; IT Services</v>
    <v>Stock</v>
    <v>46139.666666666664</v>
    <v>972</v>
    <v>29.4</v>
    <v>626261800</v>
    <v>Wiit SpA</v>
    <v>Wiit SpA</v>
    <v>30.7</v>
    <v>74.907300000000006</v>
    <v>30.3</v>
    <v>29.55</v>
    <v>28020660</v>
    <v>WIIT</v>
    <v>Wiit SpA (XMIL:WIIT)</v>
    <v>29554</v>
    <v>49200</v>
  </rv>
  <rv s="2">
    <v>973</v>
  </rv>
  <rv s="0">
    <v>https://www.bing.com/financeapi/forcetrigger?t=af74z2&amp;q=XFRA%3aCOK&amp;form=skydnc</v>
    <v>Learn more on Bing</v>
  </rv>
  <rv s="3">
    <v>6</v>
    <v>Cancom SE (XFRA:COK)</v>
    <v>2</v>
    <v>7</v>
    <v>Finance</v>
    <v>8</v>
    <v>en</v>
    <v>af74z2</v>
    <v>268435456</v>
    <v>1</v>
    <v>Powered by Refinitiv</v>
    <v>64.7</v>
    <v>20.100000000000001</v>
    <v>0.89490000000000003</v>
    <v>-1.3</v>
    <v>-5.1382999999999998E-2</v>
    <v>EUR</v>
    <v>Cancom SE is a German provider of Information Technology (IT) infrastructure and services. The Company diversifies its activities into two business segments: Cloud Solutions and IT Solutions. The Cloud Solutions business segment comprises CANCOM Pironet AG &amp; Co, Pironet AG and synaix Service GmbH, among others. It mainly comprises the Company's Group cloud and shared managed services, including project-related cloud hardware, software and services. The IT Solutions business segment includes CANCOM GmbH, CANCOM ICT Service GmbH and CANCOM SCS GmbH, among others. It offers IT infrastructure and applications support. The range of services provided by the Company's IT Solutions segment includes IT strategy advice, project planning and implementation, system integration, maintenance, training and other IT services, including operation of entire IT departments. The Company is active primarily in Germany and Austria.</v>
    <v>5281</v>
    <v>Deutsche Boerse AG</v>
    <v>XFRA</v>
    <v>XFRA</v>
    <v>Erika-Mann-Strasse 69, 80636 DE</v>
    <v>24</v>
    <v>Software &amp; IT Services</v>
    <v>Stock</v>
    <v>46139.836805555555</v>
    <v>975</v>
    <v>24</v>
    <v>907642000</v>
    <v>Cancom SE</v>
    <v>Cancom SE</v>
    <v>24</v>
    <v>27.63</v>
    <v>25.3</v>
    <v>24</v>
    <v>31515340</v>
    <v>COK</v>
    <v>Cancom SE (XFRA:COK)</v>
    <v>1000</v>
    <v>97670</v>
    <v>1998</v>
  </rv>
  <rv s="2">
    <v>976</v>
  </rv>
  <rv s="0">
    <v>https://www.bing.com/financeapi/forcetrigger?t=c3bw27&amp;q=XNYS%3aTOST&amp;form=skydnc</v>
    <v>Learn more on Bing</v>
  </rv>
  <rv s="1">
    <v>0</v>
    <v>TOAST, INC. (XNYS:TOST)</v>
    <v>2</v>
    <v>3</v>
    <v>Finance</v>
    <v>5</v>
    <v>en</v>
    <v>c3bw27</v>
    <v>268435456</v>
    <v>1</v>
    <v>Powered by Refinitiv</v>
    <v>49.66</v>
    <v>24.35</v>
    <v>1.8465</v>
    <v>-0.39</v>
    <v>-1.3429999999999999E-2</v>
    <v>0.27</v>
    <v>9.4240000000000001E-3</v>
    <v>USD</v>
    <v>Toast, Inc. is a cloud-based, all-in-one digital technology platform purpose-built for the entire restaurant community. It provides a platform of software-as-a-service (SaaS) products and financial technology solutions, including integrated payment processing, restaurant-grade hardware, and a broad ecosystem of third-party partners. It serves as the restaurant operating system, connecting front of house and back of house operations across service models including dine-in, takeout, delivery, catering, and retail. Its products include point-of-sale (POS) &amp; restaurant operations, marketing, online ordering &amp; delivery, team management, vendor management, retail, and financial technology solutions. Its in-store POS and restaurant operations offerings are built to help reduce time to take an order, optimize operations, and handle payments. Its marketing products provide integrated solutions to deliver targeted email and SMS campaigns, build loyalty programs, offer gift cards, and others.</v>
    <v>6500</v>
    <v>New York Stock Exchange</v>
    <v>XNYS</v>
    <v>XNYS</v>
    <v>333 Summer Street, BOSTON, MA, 02210 US</v>
    <v>29.445</v>
    <v>Software &amp; IT Services</v>
    <v>Stock</v>
    <v>46139.928032626565</v>
    <v>978</v>
    <v>28.590699999999998</v>
    <v>16608376350</v>
    <v>TOAST, INC.</v>
    <v>TOAST, INC.</v>
    <v>28.88</v>
    <v>50.879100000000001</v>
    <v>29.04</v>
    <v>28.65</v>
    <v>28.92</v>
    <v>579699000</v>
    <v>TOST</v>
    <v>TOAST, INC. (XNYS:TOST)</v>
    <v>8084438</v>
    <v>9641316</v>
    <v>2011</v>
  </rv>
  <rv s="2">
    <v>979</v>
  </rv>
  <rv s="0">
    <v>https://www.bing.com/financeapi/forcetrigger?t=bq5ppr&amp;q=XNYS%3aRVLV&amp;form=skydnc</v>
    <v>Learn more on Bing</v>
  </rv>
  <rv s="1">
    <v>0</v>
    <v>REVOLVE GROUP, INC. (XNYS:RVLV)</v>
    <v>2</v>
    <v>3</v>
    <v>Finance</v>
    <v>4</v>
    <v>en</v>
    <v>bq5ppr</v>
    <v>268435456</v>
    <v>1</v>
    <v>Powered by Refinitiv</v>
    <v>31.68</v>
    <v>16.8</v>
    <v>1.8219000000000001</v>
    <v>-0.5</v>
    <v>-1.8636E-2</v>
    <v>0</v>
    <v>0</v>
    <v>USD</v>
    <v>Revolve Group, Inc. is a fashion retailer for millennial and generation Z consumers. The Company is an online retailer and fashion brand. Through its Websites and mobile applications, it delivers a customer experience with a curated merchandise offering. The Company sells merchandise through two segments: REVOLVE and FWRD. REVOLVE segment offers an assortment of premium apparel, footwear, beauty, accessories and home products from emerging, established and owned brands. FWRD segment offers an assortment of curated and elevated iconic and emerging luxury brands. Its platform connects a community of consumers, global fashion influencers, and emerging, established, and owned brands. The Company offers products under various brands, such as Lovers and Friends, GRLFRND, NBD, Camila Coelho, Alexandre Vauthier, and House of Harlow 1960. Its customers can engage with the Company in approximately 12 languages and pay in over 50 currencies.</v>
    <v>1664</v>
    <v>New York Stock Exchange</v>
    <v>XNYS</v>
    <v>XNYS</v>
    <v>12889 Moore St, CERRITOS, CA, 90703 US</v>
    <v>27.22</v>
    <v>Diversified Retail</v>
    <v>Stock</v>
    <v>46139.847222892968</v>
    <v>981</v>
    <v>26.24</v>
    <v>1880748213</v>
    <v>REVOLVE GROUP, INC.</v>
    <v>REVOLVE GROUP, INC.</v>
    <v>26.83</v>
    <v>31.340900000000001</v>
    <v>26.83</v>
    <v>26.33</v>
    <v>26.33</v>
    <v>71429860</v>
    <v>RVLV</v>
    <v>REVOLVE GROUP, INC. (XNYS:RVLV)</v>
    <v>911350</v>
    <v>793773</v>
    <v>2012</v>
  </rv>
  <rv s="2">
    <v>982</v>
  </rv>
  <rv s="0">
    <v>https://www.bing.com/financeapi/forcetrigger?t=ae7xtc&amp;q=XPAR%3aBVI&amp;form=skydnc</v>
    <v>Learn more on Bing</v>
  </rv>
  <rv s="3">
    <v>6</v>
    <v>Bureau Veritas SA (XPAR:BVI)</v>
    <v>2</v>
    <v>7</v>
    <v>Finance</v>
    <v>8</v>
    <v>en</v>
    <v>ae7xtc</v>
    <v>268435456</v>
    <v>1</v>
    <v>Powered by Refinitiv</v>
    <v>30.44</v>
    <v>24.58</v>
    <v>0.96989999999999998</v>
    <v>-0.14000000000000001</v>
    <v>-5.385E-3</v>
    <v>EUR</v>
    <v>Bureau Veritas SA, formerly Bureau Veritas Registre International de Classification de Navires et d’Aeronefs, is a France-based company primarily engaged in the business support sector. It offers a range of services, including asset management, certification, classification services, consulting, inspections and audits, testing and analysis, and training. It is present in over 140 countries through a network of offices and laboratories. The Company operates through its subsidiaries, including BV Algeria, BV Argentina, Bivac Congo and Cesmec Chile, UniCar Group, Quiktrak Inc, Dairy Technical Services Ltd; Sistema PRI, a Brazilian company specialized in project management assistance; Analysts Inc, an American specialist in oil condition monitoring (OCM); MatthewsDaniel Ltd, which provides services for the insurance market, Ningbo Hengxin Engineering Testing Co, Ltd (Ningbo Hengxin), Kuhlmann Monitoramento Agricola Ltda, SIEMIC Inc, California Code Check and Primary Integration Solutions.</v>
    <v>82049</v>
    <v>Euronext Paris</v>
    <v>XPAR</v>
    <v>XPAR</v>
    <v>Immeuble Newtime, 40/52 boulevard du Parc, NEUILLY-SUR-SEINE, ILE-DE-FRANCE, 92200 FR</v>
    <v>26.32</v>
    <v>Professional &amp; Commercial Services</v>
    <v>Stock</v>
    <v>46139.666666666664</v>
    <v>984</v>
    <v>25.79</v>
    <v>12327150000</v>
    <v>Bureau Veritas SA</v>
    <v>Bureau Veritas SA</v>
    <v>25.93</v>
    <v>19.7089</v>
    <v>26</v>
    <v>25.86</v>
    <v>453871500</v>
    <v>BVI</v>
    <v>Bureau Veritas SA (XPAR:BVI)</v>
    <v>1822908</v>
    <v>1744920</v>
    <v>1985</v>
  </rv>
  <rv s="2">
    <v>985</v>
  </rv>
  <rv s="0">
    <v>https://www.bing.com/financeapi/forcetrigger?t=c3to9c&amp;q=XNYS%3aARIS&amp;form=skydnc</v>
    <v>Learn more on Bing</v>
  </rv>
  <rv s="27">
    <v>57</v>
    <v>Aris Water Solutions Inc (XNYS:ARIS)</v>
    <v>2</v>
    <v>58</v>
    <v>Finance</v>
    <v>59</v>
    <v>en</v>
    <v>c3to9c</v>
    <v>268435456</v>
    <v>1</v>
    <v>1</v>
    <v>Powered by Refinitiv</v>
    <v>33.950000000000003</v>
    <v>14.46</v>
    <v>1.6712</v>
    <v>0</v>
    <v>0</v>
    <v>USD</v>
    <v>Aris Water Solutions, Inc. is an environmental infrastructure and solutions company. The Company helps customers reduce their water and carbon footprints. It delivers full-cycle water handling and recycling solutions for energy operations. Its integrated pipelines and related infrastructure create produced water management, recycling, and supply solutions for operators in the core areas of the Permian Basin. The Company manages its business through a single operating segment comprising two primary revenue streams: Produced Water Handling and Water Solutions. The Produced Water Handling business gathers, transports and, unless recycled, handles produced water generated from oil and natural gas production. The Water Solutions business develops and operates recycling facilities to treat, store and recycle produced water. The Company also supplements its recycled produced water with non-potable groundwater to meet the demands of its customers' operations.</v>
    <v>276</v>
    <v>New York Stock Exchange</v>
    <v>XNYS</v>
    <v>XNYS</v>
    <v>9651 Katy Freeway, Suite 400, HOUSTON, TX, 77024 US</v>
    <v>23.69</v>
    <v>Professional &amp; Commercial Services</v>
    <v>Stock</v>
    <v>45944.999654166408</v>
    <v>987</v>
    <v>23.15</v>
    <v>1387681000</v>
    <v>Aris Water Solutions Inc</v>
    <v>Aris Water Solutions Inc</v>
    <v>23.29</v>
    <v>28.515000000000001</v>
    <v>23.45</v>
    <v>23.69</v>
    <v>59176140</v>
    <v>ARIS</v>
    <v>Aris Water Solutions Inc (XNYS:ARIS)</v>
    <v>297</v>
    <v>1836798</v>
    <v>2021</v>
  </rv>
  <rv s="2">
    <v>988</v>
  </rv>
  <rv s="0">
    <v>https://www.bing.com/financeapi/forcetrigger?t=c2mtim&amp;q=XNAS%3aDUOL&amp;form=skydnc</v>
    <v>Learn more on Bing</v>
  </rv>
  <rv s="1">
    <v>0</v>
    <v>DUOLINGO, INC. (XNAS:DUOL)</v>
    <v>2</v>
    <v>3</v>
    <v>Finance</v>
    <v>5</v>
    <v>en</v>
    <v>c2mtim</v>
    <v>268435456</v>
    <v>1</v>
    <v>Powered by Refinitiv</v>
    <v>544.92999999999995</v>
    <v>87.89</v>
    <v>0.85309999999999997</v>
    <v>-0.15</v>
    <v>-1.4499999999999999E-3</v>
    <v>0.4</v>
    <v>3.872E-3</v>
    <v>USD</v>
    <v>Duolingo, Inc. is a technology company. The Company is engaged in offering a mobile learning platform, as well as a digital English language proficiency assessment exam. It operates a freemium business model, namely, the app and the Website are accessible free of charge, although Duolingo also offers premium services for a subscription fee. Its solutions consist of the Duolingo App, Super Duolingo, Duolingo Max, Duolingo English Test: AI-Driven Language Assessment, Duolingo for Schools, and Duolingo ABC. The Duolingo App offers courses in over 40 different languages, including Spanish, English, French, German, Italian, Portuguese, Japanese and Chinese. Duolingo can also be accessed on desktop computers via a Web browser. Its subscription offering, Super Duolingo, offers learners additional features to enhance their learning experience. The Duolingo English Test is an online, on-demand, high-stakes English proficiency assessment. It also operates an animation and motion design studio.</v>
    <v>900</v>
    <v>Nasdaq Stock Market</v>
    <v>XNAS</v>
    <v>XNAS</v>
    <v>5900 PENN AVE, SECOND FLOOR, PITTSBURGH, PA, 15206 US</v>
    <v>106.215</v>
    <v>Software &amp; IT Services</v>
    <v>Stock</v>
    <v>46139.931900728909</v>
    <v>990</v>
    <v>102</v>
    <v>4832583699</v>
    <v>DUOLINGO, INC.</v>
    <v>DUOLINGO, INC.</v>
    <v>102.447</v>
    <v>12.1845</v>
    <v>103.45</v>
    <v>103.3</v>
    <v>103.7</v>
    <v>46782030</v>
    <v>DUOL</v>
    <v>DUOLINGO, INC. (XNAS:DUOL)</v>
    <v>1320870</v>
    <v>1679121</v>
    <v>2011</v>
  </rv>
  <rv s="2">
    <v>991</v>
  </rv>
  <rv s="0">
    <v>https://www.bing.com/financeapi/forcetrigger?t=a22axm&amp;q=XNAS%3aTVTX&amp;form=skydnc</v>
    <v>Learn more on Bing</v>
  </rv>
  <rv s="1">
    <v>0</v>
    <v>Travere Therapeutics, Inc. (XNAS:TVTX)</v>
    <v>2</v>
    <v>3</v>
    <v>Finance</v>
    <v>4</v>
    <v>en</v>
    <v>a22axm</v>
    <v>268435456</v>
    <v>1</v>
    <v>Powered by Refinitiv</v>
    <v>43.31</v>
    <v>13.88</v>
    <v>1.0859000000000001</v>
    <v>0.31</v>
    <v>7.6539999999999993E-3</v>
    <v>0</v>
    <v>0</v>
    <v>USD</v>
    <v>Travere Therapeutics, Inc. is a biopharmaceutical company. The Company is focused on identifying, developing, and delivering life-changing therapies to people living with rare kidney and metabolic diseases. Its product, FILSPARI (sparsentan), is indicated to reduce proteinuria in adults with primary IgAN at risk of rapid disease progression. FILSPARI is an oral, once-daily, non-immunosuppressive medication that directly targets glomerular injury in the kidney. Sparsentan is also in late-stage development for focal segmental glomerulosclerosis (FSGS). The Company’s Pegtibatinase is a novel investigational human enzyme replacement candidate being evaluated for the treatment of classical homocystinuria (HCU), which is a rare metabolic disorder. Its commercial products, Thiola and Thiola EC, are for the treatment of cystinuria, a rare genetic cystine transport disorder that causes high cystine levels in the urine and the formation of recurring kidney stones.</v>
    <v>497</v>
    <v>Nasdaq Stock Market</v>
    <v>XNAS</v>
    <v>XNAS</v>
    <v>3611 Valley Centre Dr, Suite 300, SAN DIEGO, CA, 92130 US</v>
    <v>41.43</v>
    <v>Biotechnology &amp; Medical Research</v>
    <v>Stock</v>
    <v>46139.840335207809</v>
    <v>993</v>
    <v>40.5</v>
    <v>3769611946</v>
    <v>Travere Therapeutics, Inc.</v>
    <v>Travere Therapeutics, Inc.</v>
    <v>40.5</v>
    <v>0</v>
    <v>40.5</v>
    <v>40.81</v>
    <v>40.81</v>
    <v>92369810</v>
    <v>TVTX</v>
    <v>Travere Therapeutics, Inc. (XNAS:TVTX)</v>
    <v>1011796</v>
    <v>2485150</v>
    <v>2008</v>
  </rv>
  <rv s="2">
    <v>994</v>
  </rv>
  <rv s="0">
    <v>https://www.bing.com/financeapi/forcetrigger?t=a214vh&amp;q=XNYS%3aPPL&amp;form=skydnc</v>
    <v>Learn more on Bing</v>
  </rv>
  <rv s="1">
    <v>0</v>
    <v>PPL CORPORATION (XNYS:PPL)</v>
    <v>2</v>
    <v>3</v>
    <v>Finance</v>
    <v>4</v>
    <v>en</v>
    <v>a214vh</v>
    <v>268435456</v>
    <v>1</v>
    <v>Powered by Refinitiv</v>
    <v>40.104999999999997</v>
    <v>33.115000000000002</v>
    <v>0.65180000000000005</v>
    <v>-0.01</v>
    <v>-2.5809999999999999E-4</v>
    <v>0.09</v>
    <v>2.323E-3</v>
    <v>USD</v>
    <v>PPL Corporation is an energy company. The Company is focused on providing electricity and natural gas in the United States. The Company operates through three segments: Kentucky Regulated, Pennsylvania Regulated, and Rhode Island Regulated. The Kentucky Regulated segment consists primarily of the regulated electricity generation, transmission and distribution operations conducted by Louisville Gas &amp; Electric Company (LG&amp;E) and Kentucky Utilities Company (KU), as well as LG&amp;E's regulated distribution and sale of natural gas. LG&amp;E and KU are engaged in the regulated generation, transmission, distribution and sale of electricity in Kentucky and, in KU's case, also Virginia. The Pennsylvania Regulated segment includes the regulated electricity transmission and distribution operations of PPL Electric. The Rhode Island Regulated segment includes the regulated electricity transmission and distribution operations and regulated distribution and sale of natural gas conducted by RIE.</v>
    <v>6546</v>
    <v>New York Stock Exchange</v>
    <v>XNYS</v>
    <v>XNYS</v>
    <v>645 Hamilton Street, ALLENTOWN, PA, 18101-1179 US</v>
    <v>39.129800000000003</v>
    <v>Multiline Utilities</v>
    <v>Stock</v>
    <v>46139.893395323437</v>
    <v>996</v>
    <v>38.74</v>
    <v>29138875974</v>
    <v>PPL CORPORATION</v>
    <v>PPL CORPORATION</v>
    <v>38.799999999999997</v>
    <v>24.385300000000001</v>
    <v>38.75</v>
    <v>38.74</v>
    <v>38.83</v>
    <v>752165100</v>
    <v>PPL</v>
    <v>PPL CORPORATION (XNYS:PPL)</v>
    <v>7159966</v>
    <v>6668617</v>
    <v>1994</v>
  </rv>
  <rv s="2">
    <v>997</v>
  </rv>
  <rv s="0">
    <v>https://www.bing.com/financeapi/forcetrigger?t=a1rjec&amp;q=XNAS%3aEA&amp;form=skydnc</v>
    <v>Learn more on Bing</v>
  </rv>
  <rv s="1">
    <v>0</v>
    <v>ELECTRONIC ARTS INC. (XNAS:EA)</v>
    <v>2</v>
    <v>3</v>
    <v>Finance</v>
    <v>4</v>
    <v>en</v>
    <v>a1rjec</v>
    <v>268435456</v>
    <v>1</v>
    <v>Powered by Refinitiv</v>
    <v>204.88499999999999</v>
    <v>141.19</v>
    <v>0.66490000000000005</v>
    <v>-0.22</v>
    <v>-1.0859999999999999E-3</v>
    <v>-0.05</v>
    <v>-2.4699999999999999E-4</v>
    <v>USD</v>
    <v>Electronic Arts Inc. is a digital interactive entertainment company. The Company develops and delivers games, content and online services for Internet-connected consoles, mobile devices and personal computers. It develops and publishes games and experiences across diverse genres, such as sports, racing, first-person shooter, action, role-playing and simulation. Its portfolio of brands includes EA SPORTS FC, Battlefield, Apex Legends, The Sims, EA SPORTS Madden NFL, EA SPORTS College Football, Need for Speed, Dragon Age, Titanfall, Plants vs. Zombies and EA SPORTS F1. The Company also offers live services, including extra content, subscription offerings and other revenue generated outside of the sale of its full games. It primarily distributes its console products and services through partners, such as Sony and Microsoft. It distributes its mobile applications and additional content through distributors such as Apple and Google.</v>
    <v>14500</v>
    <v>Nasdaq Stock Market</v>
    <v>XNAS</v>
    <v>XNAS</v>
    <v>209 Redwood Shores Pkwy, REDWOOD CITY, CA, 94065 US</v>
    <v>203.36</v>
    <v>Software &amp; IT Services</v>
    <v>Stock</v>
    <v>46139.920892314061</v>
    <v>999</v>
    <v>202.21</v>
    <v>50663861565</v>
    <v>ELECTRONIC ARTS INC.</v>
    <v>ELECTRONIC ARTS INC.</v>
    <v>202.81</v>
    <v>75.730400000000003</v>
    <v>202.67</v>
    <v>202.45</v>
    <v>202.4</v>
    <v>250253700</v>
    <v>EA</v>
    <v>ELECTRONIC ARTS INC. (XNAS:EA)</v>
    <v>1833151</v>
    <v>1916318</v>
    <v>1991</v>
  </rv>
  <rv s="2">
    <v>1000</v>
  </rv>
  <rv s="0">
    <v>https://www.bing.com/financeapi/forcetrigger?t=a1p2ar&amp;q=XNYS%3aBX&amp;form=skydnc</v>
    <v>Learn more on Bing</v>
  </rv>
  <rv s="1">
    <v>0</v>
    <v>BLACKSTONE INC. (XNYS:BX)</v>
    <v>2</v>
    <v>3</v>
    <v>Finance</v>
    <v>5</v>
    <v>en</v>
    <v>a1p2ar</v>
    <v>268435456</v>
    <v>1</v>
    <v>Powered by Refinitiv</v>
    <v>190.08500000000001</v>
    <v>101.73</v>
    <v>1.6208</v>
    <v>-1.18</v>
    <v>-9.7000000000000003E-3</v>
    <v>-0.37</v>
    <v>-3.0739999999999999E-3</v>
    <v>USD</v>
    <v>Blackstone Inc. is an alternative asset manager. Its asset management includes global investment strategies focused on real estate, private equity, infrastructure, life sciences, growth equity, credit, real assets, secondaries, and hedge funds. Its Real Estate segment comprises its management of opportunistic real estate funds, Core+ real estate funds, and real estate debt strategies. Its Private Equity segment includes its management of flagship Corporate Private Equity funds, sector and geographically focused Corporate Private Equity funds, core private equity funds, an investment platform, and others. Its Credit &amp; Insurance segment consists of Blackstone Credit &amp; Insurance, which is organized into three overarching strategies: private corporate credit, liquid corporate credit and infrastructure and asset-based credit. Its Multi-Asset Investing segment is organized into four investment platforms: Absolute Return, Multi-Strategy, Total Portfolio Management, and Public Real Assets.</v>
    <v>5285</v>
    <v>New York Stock Exchange</v>
    <v>XNYS</v>
    <v>XNYS</v>
    <v>345 Park Avenue, NEW YORK, NY, 10154 US</v>
    <v>123.72</v>
    <v>Investment Banking &amp; Investment Services</v>
    <v>Stock</v>
    <v>46139.933450543751</v>
    <v>1002</v>
    <v>118.85</v>
    <v>144217287340</v>
    <v>BLACKSTONE INC.</v>
    <v>BLACKSTONE INC.</v>
    <v>121.98</v>
    <v>31.210599999999999</v>
    <v>121.65</v>
    <v>120.47</v>
    <v>120</v>
    <v>1197122000</v>
    <v>BX</v>
    <v>BLACKSTONE INC. (XNYS:BX)</v>
    <v>5660096</v>
    <v>8815033</v>
    <v>2007</v>
  </rv>
  <rv s="2">
    <v>1003</v>
  </rv>
  <rv s="0">
    <v>https://www.bing.com/financeapi/forcetrigger?t=afg352&amp;q=XFRA%3aMTX&amp;form=skydnc</v>
    <v>Learn more on Bing</v>
  </rv>
  <rv s="3">
    <v>6</v>
    <v>MTU Aero Engines AG (XFRA:MTX)</v>
    <v>2</v>
    <v>7</v>
    <v>Finance</v>
    <v>8</v>
    <v>en</v>
    <v>afg352</v>
    <v>268435456</v>
    <v>1</v>
    <v>Powered by Refinitiv</v>
    <v>402.7</v>
    <v>99.98</v>
    <v>0.91490000000000005</v>
    <v>0.6</v>
    <v>2.0660000000000001E-3</v>
    <v>EUR</v>
    <v>MTU Aero Engines AG is a Germany-based engine manufacturer of military aircraft engines in all thrust and power categories and stationary gas turbines. The Company operates through two segments: the commercial and military engine business (OEM) and the commercial maintenance business (MRO). The commercial and military engine business (OEM) segment covers the development and production of modules, components, and parts for engine programs, including final assembly, as well as maintenance services. The commercial maintenance business (MRO) segment covers all activities relating to the maintenance, repair, and overhaul of commercial engines and associated services. It operates through numerous subsidiaries in Europe, the Americas, Asia, and Australia.</v>
    <v>13674</v>
    <v>Deutsche Boerse AG</v>
    <v>XFRA</v>
    <v>XFRA</v>
    <v>Dachauer Strasse 665, MUNICH, BAYERN, 80995 DE</v>
    <v>294.3</v>
    <v>Aerospace &amp; Defense</v>
    <v>Stock</v>
    <v>46139.836805555555</v>
    <v>1005</v>
    <v>288.89999999999998</v>
    <v>20883900000</v>
    <v>MTU Aero Engines AG</v>
    <v>MTU Aero Engines AG</v>
    <v>294.3</v>
    <v>15.95</v>
    <v>290.39999999999998</v>
    <v>291</v>
    <v>53909160</v>
    <v>MTX</v>
    <v>MTU Aero Engines AG (XFRA:MTX)</v>
    <v>235</v>
    <v>210670</v>
    <v>2005</v>
  </rv>
  <rv s="2">
    <v>1006</v>
  </rv>
  <rv s="0">
    <v>https://www.bing.com/financeapi/forcetrigger?t=a1qkzr&amp;q=XNAS%3aCVLT&amp;form=skydnc</v>
    <v>Learn more on Bing</v>
  </rv>
  <rv s="1">
    <v>0</v>
    <v>COMMVAULT SYSTEMS, INC. (XNAS:CVLT)</v>
    <v>2</v>
    <v>3</v>
    <v>Finance</v>
    <v>5</v>
    <v>en</v>
    <v>a1qkzr</v>
    <v>268435456</v>
    <v>1</v>
    <v>Powered by Refinitiv</v>
    <v>200.68459999999999</v>
    <v>71.75</v>
    <v>0.71230000000000004</v>
    <v>-5.51</v>
    <v>-5.8666999999999997E-2</v>
    <v>0.59</v>
    <v>6.6730000000000001E-3</v>
    <v>USD</v>
    <v>Commvault Systems, Inc. is a provider of cyber resilience and data protection solutions. The Company’s cyber resilience platform combines data security and rapid recovery at enterprise scale across any workload. The Company provides these products and services for their data across many types of environments, including on-premises, hybrid and multi-cloud. Its offerings are delivered via self-managed software, software-as-a-service (SaaS), integrated appliances, or managed by partners. Its Commvault Cloud offerings are organized into three packages, such as Operational Recovery, Autonomous Recovery and Cyber Recovery. Its Operational Recovery provides backup, verifiable recovery, and cost-optimized cloud workload mobility, helping to ensure data availability and granular recovery, even across multiple clouds. In addition, it also provides customers with a range of offerings, including Cleanroom Recovery, HyperScale X, Air Gap Protect, Cloud Rewind, Clumio Backtrack and Compliance.</v>
    <v>3300</v>
    <v>Nasdaq Stock Market</v>
    <v>XNAS</v>
    <v>XNAS</v>
    <v>1 Commvault Way, TINTON FALLS, NJ, 07724 US</v>
    <v>93.53</v>
    <v>Software &amp; IT Services</v>
    <v>Stock</v>
    <v>46139.935211214841</v>
    <v>1008</v>
    <v>87.795000000000002</v>
    <v>3887775819</v>
    <v>COMMVAULT SYSTEMS, INC.</v>
    <v>COMMVAULT SYSTEMS, INC.</v>
    <v>93.314999999999998</v>
    <v>45.836799999999997</v>
    <v>93.92</v>
    <v>88.41</v>
    <v>89</v>
    <v>43974390</v>
    <v>CVLT</v>
    <v>COMMVAULT SYSTEMS, INC. (XNAS:CVLT)</v>
    <v>1340813</v>
    <v>1135406</v>
    <v>1996</v>
  </rv>
  <rv s="2">
    <v>1009</v>
  </rv>
  <rv s="0">
    <v>https://www.bing.com/financeapi/forcetrigger?t=c2m26h&amp;q=BMEX%3aANE&amp;form=skydnc</v>
    <v>Learn more on Bing</v>
  </rv>
  <rv s="3">
    <v>6</v>
    <v>Corporacion Acciona Energias Renovables SA (BMEX:ANE)</v>
    <v>2</v>
    <v>7</v>
    <v>Finance</v>
    <v>8</v>
    <v>en</v>
    <v>c2m26h</v>
    <v>268435456</v>
    <v>1</v>
    <v>Powered by Refinitiv</v>
    <v>25.64</v>
    <v>15.82</v>
    <v>0.6946</v>
    <v>0.62</v>
    <v>2.8156E-2</v>
    <v>EUR</v>
    <v>Corporacion Acciona Energias Renovables SA, formerly known as Corporacion Acciona Energias Renovables SLU, is a Spain-based company. The Company is engaged in the electricity business which encompasses different industrial and commercial activities ranging from the construction of wind farms to the generation, distribution and sales of different sources of energy. The Company is also engaged in the provision of industrial services and those having to do with preparing for or supplementing the Company's main activities, particularly those related to the supervision, operation, maintenance, repair and construction of installations. It is active in importing, exporting, manufacturing, transforming, marketing and distributing vegetable oil methyl esters as well as their components and derivatives.</v>
    <v>3134</v>
    <v>Bolsas y Mercados Espanoles</v>
    <v>BMEX</v>
    <v>BMEX</v>
    <v>Avenida de la Gran Via de Hortaleza 1, MADRID, 28033 ES</v>
    <v>23.02</v>
    <v>Electrical Utilities &amp; IPPs</v>
    <v>Stock</v>
    <v>46139.666666666664</v>
    <v>1011</v>
    <v>22.32</v>
    <v>7255179000</v>
    <v>Corporacion Acciona Energias Renovables SA</v>
    <v>Corporacion Acciona Energias Renovables SA</v>
    <v>22.34</v>
    <v>10.909599999999999</v>
    <v>22.02</v>
    <v>22.64</v>
    <v>324761800</v>
    <v>ANE</v>
    <v>Corporacion Acciona Energias Renovables SA (BMEX:ANE)</v>
    <v>264065</v>
    <v>228940</v>
    <v>2008</v>
  </rv>
  <rv s="2">
    <v>1012</v>
  </rv>
  <rv s="0">
    <v>https://www.bing.com/financeapi/forcetrigger?t=ajg81h&amp;q=XMIL%3aRACE&amp;form=skydnc</v>
    <v>Learn more on Bing</v>
  </rv>
  <rv s="3">
    <v>6</v>
    <v>Ferrari NV (XMIL:RACE)</v>
    <v>2</v>
    <v>7</v>
    <v>Finance</v>
    <v>13</v>
    <v>en</v>
    <v>ajg81h</v>
    <v>268435456</v>
    <v>1</v>
    <v>Powered by Refinitiv</v>
    <v>449.8</v>
    <v>269</v>
    <v>0.81189999999999996</v>
    <v>-3.45</v>
    <v>-1.1516999999999999E-2</v>
    <v>EUR</v>
    <v>Ferrari NV, known as Ferrari, is an Italy-based designer, manufacturer and retailer of sports cars that is incorporated in the Netherlands. It operates under the Ferrari brand. Its sports cars portfolio includes, among others, F12berlinetta, FF, Ferrari 488 GTB, 488 Spider, 458 Speciale, Ferrari California T, F12tdf and LaFerrari. The Company also offers financing services through Ferrari Financial Services. It also produces limited series and one-off cars. The Company divides its regional markets in EMEA (Europe, the Middle East, India and Africa), Americas, Greater China and Rest of APAC (Asia-Pacific region, excluding Greater China) and is active in over 60 markets worldwide through a network of authorized dealers.</v>
    <v>5718</v>
    <v>Borsa Italiana</v>
    <v>XMIL</v>
    <v>XMIL</v>
    <v>Via Abetone Inferiore No. 4, MARANELLO, MODENA, 41053 IT</v>
    <v>300.05</v>
    <v>Automobiles &amp; Auto Parts</v>
    <v>Stock</v>
    <v>46139.666666666664</v>
    <v>1014</v>
    <v>296.10000000000002</v>
    <v>60310210000</v>
    <v>Ferrari NV</v>
    <v>Ferrari NV</v>
    <v>299.5</v>
    <v>33.430399999999999</v>
    <v>299.55</v>
    <v>296.10000000000002</v>
    <v>193923500</v>
    <v>RACE</v>
    <v>Ferrari NV (XMIL:RACE)</v>
    <v>320015</v>
    <v>472440</v>
    <v>2015</v>
  </rv>
  <rv s="2">
    <v>1015</v>
  </rv>
  <rv s="0">
    <v>https://www.bing.com/financeapi/forcetrigger?t=a25j6h&amp;q=XNAS%3aVRNS&amp;form=skydnc</v>
    <v>Learn more on Bing</v>
  </rv>
  <rv s="1">
    <v>0</v>
    <v>VARONIS SYSTEMS, INC. (XNAS:VRNS)</v>
    <v>2</v>
    <v>3</v>
    <v>Finance</v>
    <v>4</v>
    <v>en</v>
    <v>a25j6h</v>
    <v>268435456</v>
    <v>1</v>
    <v>Powered by Refinitiv</v>
    <v>63.9</v>
    <v>19.7</v>
    <v>0.7369</v>
    <v>0.52</v>
    <v>2.1198999999999999E-2</v>
    <v>0.08</v>
    <v>3.1940000000000002E-3</v>
    <v>USD</v>
    <v>Varonis Systems, Inc. secures artificial intelligence (AI) and the data that powers it. The Varonis platform gives organizations automated visibility and control over their critical data wherever it lives and ensures safe AI from code to runtime. Its products are delivered through its flagship Varonis Data Security Platform, a unified platform designed to protect enterprise data across cloud, SaaS and on-premises environments. The Varonis Data Security Platform SaaS license includes capabilities designed to help customers understand their data exposure, reduce unnecessary access, and detect and respond to threats. These capabilities include data security posture management, data access intelligence, data discovery and classification, least privilege automation, data activity monitoring, data detection and response, and user and entity behavior analytics. Its database and email security capabilities include Varonis Database Activity Monitoring and Varonis Interceptor.</v>
    <v>2658</v>
    <v>Nasdaq Stock Market</v>
    <v>XNAS</v>
    <v>XNAS</v>
    <v>801 Brickell Avenue, MIAMI, FL, 33131 US</v>
    <v>25.309899999999999</v>
    <v>Software &amp; IT Services</v>
    <v>Stock</v>
    <v>46139.918135265623</v>
    <v>1017</v>
    <v>24.29</v>
    <v>2876093205</v>
    <v>VARONIS SYSTEMS, INC.</v>
    <v>VARONIS SYSTEMS, INC.</v>
    <v>24.55</v>
    <v>0</v>
    <v>24.53</v>
    <v>25.05</v>
    <v>25.13</v>
    <v>114814100</v>
    <v>VRNS</v>
    <v>VARONIS SYSTEMS, INC. (XNAS:VRNS)</v>
    <v>1984039</v>
    <v>2389680</v>
    <v>2004</v>
  </rv>
  <rv s="2">
    <v>1018</v>
  </rv>
  <rv s="0">
    <v>https://www.bing.com/financeapi/forcetrigger?t=amfszr&amp;q=BMEX%3aCASH&amp;form=skydnc</v>
    <v>Learn more on Bing</v>
  </rv>
  <rv s="3">
    <v>6</v>
    <v>Prosegur Cash SA (BMEX:CASH)</v>
    <v>2</v>
    <v>7</v>
    <v>Finance</v>
    <v>8</v>
    <v>en</v>
    <v>amfszr</v>
    <v>268435456</v>
    <v>1</v>
    <v>Powered by Refinitiv</v>
    <v>0.88600000000000001</v>
    <v>0.58799999999999997</v>
    <v>0.51600000000000001</v>
    <v>5.0000000000000001E-3</v>
    <v>8.0389999999999993E-3</v>
    <v>EUR</v>
    <v>Prosegur Cash SA, formerly Prosegur Cit Holding SA, is a Spain-based company engaged in the provision of security services. The Company’s activities are divided into three business areas: Logistics, Cash management and Outsourcing. Its Logistics division focuses on the provision of local and international transport services of cash and other valuable goods. Its Cash management division offers counting, processing, custody, preparation and delivery of notes and coins, as well as replenishment of automatic teller machines (ATMs). The Company's outsourcing division includes a number of support financial services, such as automation of retail operations through self-service cash automatization machines (MAEs), ATMs management, as well as branch forecasting, reconciliation, settlement and credit card support services. The Company operates through own branches and joint ventures in Europe, Central and South America, Africa, Asia and Australia. It operates through Contesta Teleservicios SAU.</v>
    <v>56546</v>
    <v>Bolsas y Mercados Espanoles</v>
    <v>BMEX</v>
    <v>BMEX</v>
    <v>Calle Santa Sabina 8, MADRID, MADRID, 28007 ES</v>
    <v>0.63300000000000001</v>
    <v>Professional &amp; Commercial Services</v>
    <v>Stock</v>
    <v>46139.666666666664</v>
    <v>1020</v>
    <v>0.623</v>
    <v>941435100</v>
    <v>Prosegur Cash SA</v>
    <v>Prosegur Cash SA</v>
    <v>0.63200000000000001</v>
    <v>10.113799999999999</v>
    <v>0.622</v>
    <v>0.627</v>
    <v>1473235000</v>
    <v>CASH</v>
    <v>Prosegur Cash SA (BMEX:CASH)</v>
    <v>366181</v>
    <v>403980</v>
    <v>2016</v>
  </rv>
  <rv s="2">
    <v>1021</v>
  </rv>
  <rv s="0">
    <v>https://www.bing.com/financeapi/forcetrigger?t=a1nz8m&amp;q=XNAS%3aAVGO&amp;form=skydnc</v>
    <v>Learn more on Bing</v>
  </rv>
  <rv s="1">
    <v>0</v>
    <v>BROADCOM INC. (XNAS:AVGO)</v>
    <v>2</v>
    <v>3</v>
    <v>Finance</v>
    <v>5</v>
    <v>en</v>
    <v>a1nz8m</v>
    <v>268435456</v>
    <v>1</v>
    <v>Powered by Refinitiv</v>
    <v>429.31</v>
    <v>184.02</v>
    <v>1.4495</v>
    <v>-4.5599999999999996</v>
    <v>-1.0786E-2</v>
    <v>-0.21560000000000001</v>
    <v>-5.1550000000000001E-4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422.75</v>
    <v>Semiconductors &amp; Semiconductor Equipment</v>
    <v>Stock</v>
    <v>46139.93536553203</v>
    <v>1023</v>
    <v>414.63</v>
    <v>1980038157600</v>
    <v>BROADCOM INC.</v>
    <v>BROADCOM INC.</v>
    <v>420.47500000000002</v>
    <v>82.523099999999999</v>
    <v>422.76</v>
    <v>418.2</v>
    <v>417.98439999999999</v>
    <v>4734668000</v>
    <v>AVGO</v>
    <v>BROADCOM INC. (XNAS:AVGO)</v>
    <v>17426107</v>
    <v>23551267</v>
    <v>2018</v>
  </rv>
  <rv s="2">
    <v>1024</v>
  </rv>
  <rv s="0">
    <v>https://www.bing.com/financeapi/forcetrigger?t=afnnu2&amp;q=XFRA%3aVNA&amp;form=skydnc</v>
    <v>Learn more on Bing</v>
  </rv>
  <rv s="3">
    <v>6</v>
    <v>Vonovia SE (XFRA:VNA)</v>
    <v>2</v>
    <v>7</v>
    <v>Finance</v>
    <v>8</v>
    <v>en</v>
    <v>afnnu2</v>
    <v>268435456</v>
    <v>1</v>
    <v>Powered by Refinitiv</v>
    <v>62.68</v>
    <v>15.3</v>
    <v>1.3083</v>
    <v>0.18</v>
    <v>7.8329999999999997E-3</v>
    <v>EUR</v>
    <v>Vonovia SE is a Germany-based residential real estate company. The Company is operating via four segments: Rental, Value Add, Development and Recurring Sales. The Rental segment combines business activities aimed at value-enhancing management of the properties. The Value-add segment offers all housing related services such as maintenance and modernization, in addition to the services related to rental business. The Development segment includes project development for the creation of new homes from purchase of land to the completion of the new building and new construction on their own lands and adding extra stories to the existing buildings. The Recurring Sales segment offers individual dwelling house or single-family houses are sold to the private buyers.</v>
    <v>12708</v>
    <v>Deutsche Boerse AG</v>
    <v>XFRA</v>
    <v>XFRA</v>
    <v>Universitaetsstrasse 133, BOCHUM, NORDRHEIN-WESTFALEN, 44803 DE</v>
    <v>23.16</v>
    <v>Real Estate Operations</v>
    <v>Stock</v>
    <v>46139.836805555555</v>
    <v>1026</v>
    <v>22.95</v>
    <v>21451390000</v>
    <v>Vonovia SE</v>
    <v>Vonovia SE</v>
    <v>23.11</v>
    <v>5.28</v>
    <v>22.98</v>
    <v>23.16</v>
    <v>848425200</v>
    <v>VNA</v>
    <v>Vonovia SE (XFRA:VNA)</v>
    <v>6028</v>
    <v>2969210</v>
    <v>2017</v>
  </rv>
  <rv s="2">
    <v>1027</v>
  </rv>
  <rv s="0">
    <v>https://www.bing.com/financeapi/forcetrigger?t=ajdy3m&amp;q=XMIL%3aA2A&amp;form=skydnc</v>
    <v>Learn more on Bing</v>
  </rv>
  <rv s="3">
    <v>6</v>
    <v>A2A SpA (XMIL:A2A)</v>
    <v>2</v>
    <v>7</v>
    <v>Finance</v>
    <v>13</v>
    <v>en</v>
    <v>ajdy3m</v>
    <v>268435456</v>
    <v>1</v>
    <v>Powered by Refinitiv</v>
    <v>2.74</v>
    <v>2.0699999999999998</v>
    <v>0.79459999999999997</v>
    <v>2E-3</v>
    <v>8.365E-4</v>
    <v>EUR</v>
    <v>A2A SpA is an Italy-based company engaged in the electric utility sector. The Company operates through five segments. The Energy segment covers electricity generation through hydroelectric and thermoelectric plants, energy management and sale of electricity and gas. The Heat and Services segment facilitates the management of heating plants, as well as distribution of heat in the cities of Milan, Brescia, Bergamo and other municipalities, production and sale of electricity, and maintenance activities at the cogeneration plants. The Environment segment includes waste disposal, street cleaning and waster recovery, among others. The Networks segment encompasses transmission, distribution of electricity, transportation, distribution of natural gas, and water distribution, among others. The Corporate and other services segment include traffic regulation systems and video surveillance systems, among others. It operates through ACSM-AGAM and Consul System, among others.</v>
    <v>14959</v>
    <v>Borsa Italiana</v>
    <v>XMIL</v>
    <v>XMIL</v>
    <v>VIA LAMARMORA, 230, BRESCIA, 25124 IT</v>
    <v>2.4245000000000001</v>
    <v>Electrical Utilities &amp; IPPs</v>
    <v>Stock</v>
    <v>46139.666666666664</v>
    <v>1029</v>
    <v>2.3660000000000001</v>
    <v>7396790000</v>
    <v>A2A SpA</v>
    <v>A2A SpA</v>
    <v>2.379</v>
    <v>9.9875000000000007</v>
    <v>2.391</v>
    <v>2.3929999999999998</v>
    <v>3132905000</v>
    <v>A2A</v>
    <v>A2A SpA (XMIL:A2A)</v>
    <v>9671169</v>
    <v>10277910</v>
    <v>1996</v>
  </rv>
  <rv s="2">
    <v>1030</v>
  </rv>
  <rv s="0">
    <v>https://www.bing.com/financeapi/forcetrigger?t=a1tq7w&amp;q=XNYS%3aGDOT&amp;form=skydnc</v>
    <v>Learn more on Bing</v>
  </rv>
  <rv s="6">
    <v>14</v>
    <v>GREEN DOT CORPORATION (XNYS:GDOT)</v>
    <v>2</v>
    <v>15</v>
    <v>Finance</v>
    <v>4</v>
    <v>en</v>
    <v>a1tq7w</v>
    <v>268435456</v>
    <v>1</v>
    <v>Powered by Refinitiv</v>
    <v>15.4099</v>
    <v>8.0449999999999999</v>
    <v>0.84589999999999999</v>
    <v>-0.05</v>
    <v>-4.0980000000000001E-3</v>
    <v>0</v>
    <v>0</v>
    <v>USD</v>
    <v>Green Dot Corporation is a financial technology and bank holding company. The Company offers a set of financial services to consumers and businesses, including debit, checking, credit, prepaid, and payroll cards, as well as robust money movement services. Its segment includes Consumer Services, Business to Business (B2B) Services, and Money Movement Services. The Consumer Services segment consists of deposit account programs, such as consumer checking accounts, prepaid cards, secured credit cards, and gift cards. The B2B Services segment consists of its partnerships with prominent consumer and technology companies that make its banking products and services available to their consumers, partners and workforce through integration with its banking platform, and a comprehensive payroll platform that it offers to corporate enterprises, to facilitate payments for the workforce. The Money Movement Services segment consists of money processing services and tax refund processing services.</v>
    <v>900</v>
    <v>New York Stock Exchange</v>
    <v>XNYS</v>
    <v>XNYS</v>
    <v>1675 N. Freedom Blvd (200 West), Building 1, PROVO, UT, 84604 US</v>
    <v>12.234999999999999</v>
    <v>Banking Services</v>
    <v>Stock</v>
    <v>46139.840333298438</v>
    <v>1032</v>
    <v>12.03</v>
    <v>675146218</v>
    <v>GREEN DOT CORPORATION</v>
    <v>GREEN DOT CORPORATION</v>
    <v>12.11</v>
    <v>12.2</v>
    <v>12.15</v>
    <v>12.15</v>
    <v>55567590</v>
    <v>GDOT</v>
    <v>GREEN DOT CORPORATION (XNYS:GDOT)</v>
    <v>438097</v>
    <v>525226</v>
    <v>1999</v>
  </rv>
  <rv s="2">
    <v>1033</v>
  </rv>
  <rv s="0">
    <v>https://www.bing.com/financeapi/forcetrigger?t=a258mw&amp;q=XNAS%3aVCYT&amp;form=skydnc</v>
    <v>Learn more on Bing</v>
  </rv>
  <rv s="1">
    <v>0</v>
    <v>VERACYTE, INC. (XNAS:VCYT)</v>
    <v>2</v>
    <v>3</v>
    <v>Finance</v>
    <v>4</v>
    <v>en</v>
    <v>a258mw</v>
    <v>268435456</v>
    <v>1</v>
    <v>Powered by Refinitiv</v>
    <v>50.71</v>
    <v>22.61</v>
    <v>1.9347000000000001</v>
    <v>-0.48</v>
    <v>-1.3982000000000001E-2</v>
    <v>0.45</v>
    <v>1.3293999999999999E-2</v>
    <v>USD</v>
    <v>Veracyte, Inc. is a global diagnostics company. The Company enables clinicians with insights they need to guide and help patients to diagnose and treat cancer. The Veracyte Diagnostics Platform delivers cancer tests that are fueled by broad genomic and clinical data, deep bioinformatic and AI capabilities, and an evidence-generation engine, which drives durable reimbursement and guideline inclusion for its tests, along with new insights to support continued innovation and pipeline development. The Company offers tests for prostate cancer (Decipher Prostate), thyroid cancer (Afirma), breast cancer (Prosigna) and bladder cancer (Decipher Bladder). It has developed the noninvasive Percepta Nasal Swab test to help physicians accurately and quickly determine lung cancer risk. All of its tests are serviced through its own Clinical Laboratory Improvement Amendments (CLIA) certified laboratories in South San Francisco, California, San Diego, California and Austin, Texas.</v>
    <v>755</v>
    <v>Nasdaq Stock Market</v>
    <v>XNAS</v>
    <v>XNAS</v>
    <v>6000 Shoreline Court, Suite 300, SOUTH SAN FRANCISCO, CA, 94080 US</v>
    <v>34.799999999999997</v>
    <v>Biotechnology &amp; Medical Research</v>
    <v>Stock</v>
    <v>46139.849295520311</v>
    <v>1035</v>
    <v>33.799999999999997</v>
    <v>2700964954</v>
    <v>VERACYTE, INC.</v>
    <v>VERACYTE, INC.</v>
    <v>33.96</v>
    <v>41.548999999999999</v>
    <v>34.33</v>
    <v>33.85</v>
    <v>34.299999999999997</v>
    <v>79792170</v>
    <v>VCYT</v>
    <v>VERACYTE, INC. (XNAS:VCYT)</v>
    <v>618730</v>
    <v>890427</v>
    <v>2006</v>
  </rv>
  <rv s="2">
    <v>1036</v>
  </rv>
  <rv s="0">
    <v>https://www.bing.com/financeapi/forcetrigger?t=brh6oc&amp;q=XNYS%3aNET&amp;form=skydnc</v>
    <v>Learn more on Bing</v>
  </rv>
  <rv s="1">
    <v>0</v>
    <v>CLOUDFLARE, INC. (XNYS:NET)</v>
    <v>2</v>
    <v>3</v>
    <v>Finance</v>
    <v>5</v>
    <v>en</v>
    <v>brh6oc</v>
    <v>268435456</v>
    <v>1</v>
    <v>Powered by Refinitiv</v>
    <v>260</v>
    <v>117.0749</v>
    <v>1.6992</v>
    <v>5.46</v>
    <v>2.6367999999999999E-2</v>
    <v>-0.61</v>
    <v>-2.872E-3</v>
    <v>USD</v>
    <v>Cloudflare, Inc. is a connectivity cloud company. The Company delivers a range of services to businesses of all sizes and in all geographies, enhancing the performance of business-critical applications. Its full suite of products consists of application services that help deliver security, performance, and reliability for any organization's applications connected to the Internet, including Websites and application programming interfaces (APIs) and its secure access service edge (SASE) platform, which contains its suite of and workplace security services and network services solutions to help ensure traffic in and out of an organization’s network and devices is verified and authorized and data is protected and secured, as well as to securely connect data centers, cloud services, and branch offices to an organization with its connectivity cloud. The Company also offers developer-based solutions which build and deploys serverless and artificial intelligence applications.</v>
    <v>5156</v>
    <v>New York Stock Exchange</v>
    <v>XNYS</v>
    <v>XNYS</v>
    <v>101 Townsend St, SAN FRANCISCO, CA, 94107-1934 US</v>
    <v>214.97989999999999</v>
    <v>Software &amp; IT Services</v>
    <v>Stock</v>
    <v>46139.934278865629</v>
    <v>1038</v>
    <v>204.42</v>
    <v>74806373159</v>
    <v>CLOUDFLARE, INC.</v>
    <v>CLOUDFLARE, INC.</v>
    <v>206.78</v>
    <v>0</v>
    <v>207.07</v>
    <v>212.53</v>
    <v>211.75</v>
    <v>351980300</v>
    <v>NET</v>
    <v>CLOUDFLARE, INC. (XNYS:NET)</v>
    <v>3501841</v>
    <v>4289169</v>
    <v>2009</v>
  </rv>
  <rv s="2">
    <v>1039</v>
  </rv>
  <rv s="0">
    <v>https://www.bing.com/financeapi/forcetrigger?t=a1pctc&amp;q=XNYS%3aCCL&amp;form=skydnc</v>
    <v>Learn more on Bing</v>
  </rv>
  <rv s="1">
    <v>0</v>
    <v>Carnival Corp (XNYS:CCL)</v>
    <v>2</v>
    <v>3</v>
    <v>Finance</v>
    <v>5</v>
    <v>en</v>
    <v>a1pctc</v>
    <v>268435456</v>
    <v>1</v>
    <v>Powered by Refinitiv</v>
    <v>34.03</v>
    <v>17.329999999999998</v>
    <v>2.3725999999999998</v>
    <v>-0.4</v>
    <v>-1.4721999999999999E-2</v>
    <v>0.04</v>
    <v>1.4940000000000001E-3</v>
    <v>USD</v>
    <v>Carnival Corporation is a global cruise and leisure travel company. The Company has a portfolio of cruise lines, including AIDA Cruises, Carnival Cruise Line, Costa Cruises, Cunard, Holland America Line, P&amp;O Cruises (Australia), P&amp;O Cruises (UK), Princess Cruises, and Seabourn. The Company's segment includes NAA cruise operations, Europe cruise operations (Europe), Cruise Support and Tour and Other. Its Cruise Support segment includes its portfolio of port destinations and exclusive islands as well as other services, all of which are operated for the benefit of its cruise brands. In addition to its cruise operations, it owns Holland America Princess Alaska Tours, a tour company in Alaska and the Canadian Yukon, which complements its Alaska cruise operations. Its Tour and Other segment represents the hotel and transportation operations of Holland America Princess Alaska Tours and other operations. Its tour company owns and operates hotels, lodges, glass-domed railcars and motorcoaches.</v>
    <v>114000</v>
    <v>New York Stock Exchange</v>
    <v>XNYS</v>
    <v>XNYS</v>
    <v>Carnival Place, Mseo1000, 3655 N.W. 87 Avenue, MIAMI, FL, 33178-2428 US</v>
    <v>27.05</v>
    <v>Hotels &amp; Entertainment Services</v>
    <v>Stock</v>
    <v>46139.933434548439</v>
    <v>1041</v>
    <v>26.45</v>
    <v>37080197800</v>
    <v>Carnival Corp</v>
    <v>Carnival Corp</v>
    <v>26.73</v>
    <v>11.8169</v>
    <v>27.17</v>
    <v>26.77</v>
    <v>26.81</v>
    <v>1385140000</v>
    <v>CCL</v>
    <v>Carnival Corp (XNYS:CCL)</v>
    <v>18860759</v>
    <v>27774437</v>
    <v>1974</v>
  </rv>
  <rv s="2">
    <v>1042</v>
  </rv>
  <rv s="0">
    <v>https://www.bing.com/financeapi/forcetrigger?t=a1psnm&amp;q=XNYS%3aCLB&amp;form=skydnc</v>
    <v>Learn more on Bing</v>
  </rv>
  <rv s="1">
    <v>0</v>
    <v>CORE LABORATORIES INC. (XNYS:CLB)</v>
    <v>2</v>
    <v>3</v>
    <v>Finance</v>
    <v>4</v>
    <v>en</v>
    <v>a1psnm</v>
    <v>268435456</v>
    <v>1</v>
    <v>Powered by Refinitiv</v>
    <v>20.36</v>
    <v>9.7200000000000006</v>
    <v>1.1342000000000001</v>
    <v>-0.16</v>
    <v>-9.1690000000000001E-3</v>
    <v>0</v>
    <v>0</v>
    <v>USD</v>
    <v>Core Laboratories Inc. is a provider of proprietary and patented reservoir description and production enhancement services and products for the oil and gas industry. The Company helps to evaluate and improve reservoir performance and increase oil and gas recovery from new and existing fields. It makes measurements of reservoir rocks, reservoir fluids (crude oil, natural gas and water) and their derived products. It assists clients in evaluating subsurface targets associated with carbon capture and sequestration projects or initiatives. Its segments include Reservoir Description, which provides laboratory-based analytical and field services to characterize the properties of crude oil and crude oil-derived products for the oil and gas industry, and Production Enhancement segment, which provides integrated diagnostic services to evaluate and monitor the effectiveness of well completions and to develop solutions aimed at increasing the effectiveness of enhanced oil recovery projects.</v>
    <v>3300</v>
    <v>New York Stock Exchange</v>
    <v>XNYS</v>
    <v>XNYS</v>
    <v>6316 Windfern Road, HOUSTON, TX, 77040 US</v>
    <v>17.95</v>
    <v>Professional &amp; Commercial Services</v>
    <v>Stock</v>
    <v>46139.840332557811</v>
    <v>1044</v>
    <v>17.29</v>
    <v>796174588</v>
    <v>CORE LABORATORIES INC.</v>
    <v>CORE LABORATORIES INC.</v>
    <v>17.63</v>
    <v>27.647099999999998</v>
    <v>17.45</v>
    <v>17.29</v>
    <v>17.29</v>
    <v>46048270</v>
    <v>CLB</v>
    <v>CORE LABORATORIES INC. (XNYS:CLB)</v>
    <v>273196</v>
    <v>378856</v>
    <v>2023</v>
  </rv>
  <rv s="2">
    <v>1045</v>
  </rv>
  <rv s="0">
    <v>https://www.bing.com/financeapi/forcetrigger?t=a1p252&amp;q=XNYS%3aBWXT&amp;form=skydnc</v>
    <v>Learn more on Bing</v>
  </rv>
  <rv s="1">
    <v>0</v>
    <v>BWX TECHNOLOGIES, INC. (XNYS:BWXT)</v>
    <v>2</v>
    <v>3</v>
    <v>Finance</v>
    <v>5</v>
    <v>en</v>
    <v>a1p252</v>
    <v>268435456</v>
    <v>1</v>
    <v>Powered by Refinitiv</v>
    <v>241.82</v>
    <v>102.42</v>
    <v>0.80820000000000003</v>
    <v>-1.1299999999999999</v>
    <v>-5.0639999999999999E-3</v>
    <v>3.93</v>
    <v>1.7697000000000001E-2</v>
    <v>USD</v>
    <v>BWX Technologies, Inc. is a specialty manufacturer of nuclear components, a developer of nuclear technologies and a service provider. The Company also provides special nuclear materials processing, environmental site restoration services, products, and services. Its Government Operations segment manufactures naval nuclear reactors, including related nuclear fuel, for the United States Naval Nuclear Propulsion Program for use in submarines and aircraft carriers. It also fabricates fuel-bearing precision components that range in weight from a few grams to hundreds of tons, manufactures electromechanical equipment, and performs design, manufacturing, inspection, assembly, and testing activities. The Company is also a provider of advanced specialty materials, fabrication, and high-strength alloy manufacturing. Its Commercial Operations segment designs and manufactures commercial nuclear steam generators, heat exchangers, pressure vessels, reactor components, and other auxiliary equipment.</v>
    <v>10400</v>
    <v>New York Stock Exchange</v>
    <v>XNYS</v>
    <v>XNYS</v>
    <v>800 Main Street, 4Th Floor, LYNCHBURG, VA, 24504 US</v>
    <v>224</v>
    <v>Aerospace &amp; Defense</v>
    <v>Stock</v>
    <v>46139.933436168751</v>
    <v>1047</v>
    <v>217.01599999999999</v>
    <v>20339678478</v>
    <v>BWX TECHNOLOGIES, INC.</v>
    <v>BWX TECHNOLOGIES, INC.</v>
    <v>223.03</v>
    <v>62.002899999999997</v>
    <v>223.15</v>
    <v>222.02</v>
    <v>226</v>
    <v>91611920</v>
    <v>BWXT</v>
    <v>BWX TECHNOLOGIES, INC. (XNYS:BWXT)</v>
    <v>743231</v>
    <v>1024397</v>
    <v>2010</v>
  </rv>
  <rv s="2">
    <v>1048</v>
  </rv>
  <rv s="0">
    <v>https://www.bing.com/financeapi/forcetrigger?t=ajebhw&amp;q=XMIL%3aBZU&amp;form=skydnc</v>
    <v>Learn more on Bing</v>
  </rv>
  <rv s="5">
    <v>11</v>
    <v>Buzzi SpA (XMIL:BZU)</v>
    <v>2</v>
    <v>12</v>
    <v>Finance</v>
    <v>13</v>
    <v>en</v>
    <v>ajebhw</v>
    <v>268435456</v>
    <v>1</v>
    <v>Powered by Refinitiv</v>
    <v>54.75</v>
    <v>40.200000000000003</v>
    <v>1.1419999999999999</v>
    <v>0.28999999999999998</v>
    <v>6.202E-3</v>
    <v>EUR</v>
    <v>Buzzi SpA, formerly known as Buzzi Unicem SpA, is an Italy-based company engaged in the manufacture of construction materials. The Company is primarily active in the production, distribution, and sale of cement, ready-mix concrete, and natural aggregates. The Company’s operations are located in Italy, the United States, Germany, Luxembourg and the Netherlands, Poland, the Czech Republic and Slovakia, Ukraine, Russia, Mexico, Brazil, and Algeria. The three main geographical area with the higher generation of revenues are: the United States, Germany, and Mexico. The Firm is also engaged in the activity of Research and Development with the aim of developing and experimenting innovations to be used in the production chain and for their products. This activity is performed in cooperation with national research centers, universities, and private laboratories.</v>
    <v>10532</v>
    <v>Borsa Italiana</v>
    <v>XMIL</v>
    <v>XMIL</v>
    <v>Via Luigi Buzzi, 6, ALESSANDRIA, 15033 IT</v>
    <v>47.71</v>
    <v>Construction Materials</v>
    <v>Stock</v>
    <v>46139.666666666664</v>
    <v>1050</v>
    <v>46.84</v>
    <v>9746884000</v>
    <v>Buzzi SpA</v>
    <v>Buzzi SpA</v>
    <v>46.84</v>
    <v>9.1876999999999995</v>
    <v>46.76</v>
    <v>47.05</v>
    <v>192626100</v>
    <v>BZU</v>
    <v>Buzzi SpA (XMIL:BZU)</v>
    <v>203009</v>
    <v>442890</v>
  </rv>
  <rv s="2">
    <v>1051</v>
  </rv>
  <rv s="0">
    <v>https://www.bing.com/financeapi/forcetrigger?t=a224f2&amp;q=XNAS%3aRMTI&amp;form=skydnc</v>
    <v>Learn more on Bing</v>
  </rv>
  <rv s="1">
    <v>0</v>
    <v>ROCKWELL MEDICAL, INC. (XNAS:RMTI)</v>
    <v>2</v>
    <v>3</v>
    <v>Finance</v>
    <v>4</v>
    <v>en</v>
    <v>a224f2</v>
    <v>268435456</v>
    <v>1</v>
    <v>Powered by Refinitiv</v>
    <v>2.1</v>
    <v>0.78010000000000002</v>
    <v>1.6689000000000001</v>
    <v>-2.7E-2</v>
    <v>-3.0938E-2</v>
    <v>2.3300000000000001E-2</v>
    <v>2.7551000000000003E-2</v>
    <v>USD</v>
    <v>Rockwell Medical, Inc. is a healthcare company. The Company develops, manufactures, commercializes, and distributes a portfolio of hemodialysis products for dialysis providers worldwide. The Company operates in the hemodialysis market, which involves the manufacture, sale and distribution of hemodialysis products to hemodialysis clinics, including pharmaceuticals, dialysis concentrates, dialysis kits and other ancillary products used in the dialysis process. Its hemodialysis concentrates products are used to sustain a patient's life by removing toxins and balancing electrolytes in a dialysis patient’s bloodstream. The Company is the supplier of liquid and dry, acid and bicarbonate concentrates for dialysis patients in the United States. The Company manufactures hemodialysis concentrates at its facilities in Michigan, South Carolina, and Texas, and the Company manufactures its dry acid concentrate mixers at its facility in Iowa.</v>
    <v>157</v>
    <v>Nasdaq Stock Market</v>
    <v>XNAS</v>
    <v>XNAS</v>
    <v>30142 WIXOM ROAD, WIXOM, MI, 48393 US</v>
    <v>0.89500000000000002</v>
    <v>Pharmaceuticals</v>
    <v>Stock</v>
    <v>46139.857905890625</v>
    <v>1053</v>
    <v>0.83689999999999998</v>
    <v>33325062</v>
    <v>ROCKWELL MEDICAL, INC.</v>
    <v>ROCKWELL MEDICAL, INC.</v>
    <v>0.87250000000000005</v>
    <v>0</v>
    <v>0.87270000000000003</v>
    <v>0.84570000000000001</v>
    <v>0.86899999999999999</v>
    <v>39405300</v>
    <v>RMTI</v>
    <v>ROCKWELL MEDICAL, INC. (XNAS:RMTI)</v>
    <v>168968</v>
    <v>241768</v>
    <v>2019</v>
  </rv>
  <rv s="2">
    <v>1054</v>
  </rv>
  <rv s="0">
    <v>https://www.bing.com/financeapi/forcetrigger?t=c3m9kr&amp;q=XNAS%3aPTLO&amp;form=skydnc</v>
    <v>Learn more on Bing</v>
  </rv>
  <rv s="1">
    <v>0</v>
    <v>Portillos Inc (XNAS:PTLO)</v>
    <v>2</v>
    <v>3</v>
    <v>Finance</v>
    <v>5</v>
    <v>en</v>
    <v>c3m9kr</v>
    <v>268435456</v>
    <v>1</v>
    <v>Powered by Refinitiv</v>
    <v>13.55</v>
    <v>4.41</v>
    <v>1.7575000000000001</v>
    <v>-0.03</v>
    <v>-4.6730000000000001E-3</v>
    <v>1.0500000000000001E-2</v>
    <v>1.6429999999999999E-3</v>
    <v>USD</v>
    <v>Portillo's Inc. owns and operates fast-casual restaurants in the United States, along with two food production commissaries in Illinois. The Company serves Chicago Street food in multichannel restaurants. The Company's diverse menu features all-American favorites such as Chicago-style hot dogs and sausages, Italian beef sandwiches, char-grilled burgers, chopped salads, crinkle-cut fries, homemade chocolate cake and signature chocolate cake shake. The Company accommodates a variety of access modes including dine-in, carryout, delivery and catering to quickly and efficiently serve its guests. It owns and operates 94 restaurants across 10 states, including a restaurant owned by C&amp;O Chicago, L.L.C. The Company also operates in non-traditional locations, which includes a food truck and a ghost kitchen in Chicago (small kitchen with no store-front presence, used to fill online orders).</v>
    <v>7890</v>
    <v>Nasdaq Stock Market</v>
    <v>XNAS</v>
    <v>XNAS</v>
    <v>C/O The Portillo Restaurant Group, 2001 Spring Road, Suite 400, OAK BROOK, IL, 60523-1903 US</v>
    <v>6.46</v>
    <v>Hotels &amp; Entertainment Services</v>
    <v>Stock</v>
    <v>46139.932556446096</v>
    <v>1056</v>
    <v>6.2</v>
    <v>482985338</v>
    <v>Portillos Inc</v>
    <v>Portillos Inc</v>
    <v>6.36</v>
    <v>23.346699999999998</v>
    <v>6.42</v>
    <v>6.39</v>
    <v>6.4005000000000001</v>
    <v>75584560</v>
    <v>PTLO</v>
    <v>Portillos Inc (XNAS:PTLO)</v>
    <v>1221502</v>
    <v>1257195</v>
    <v>2021</v>
  </rv>
  <rv s="2">
    <v>1057</v>
  </rv>
  <rv s="0">
    <v>https://www.bing.com/financeapi/forcetrigger?t=a2v5hw&amp;q=XNAS%3aBYRN&amp;form=skydnc</v>
    <v>Learn more on Bing</v>
  </rv>
  <rv s="1">
    <v>0</v>
    <v>BYRNA TECHNOLOGIES INC. (XNAS:BYRN)</v>
    <v>2</v>
    <v>3</v>
    <v>Finance</v>
    <v>5</v>
    <v>en</v>
    <v>a2v5hw</v>
    <v>268435456</v>
    <v>1</v>
    <v>Powered by Refinitiv</v>
    <v>34.299999999999997</v>
    <v>5.56</v>
    <v>1.8591</v>
    <v>-0.14000000000000001</v>
    <v>-2.2764000000000003E-2</v>
    <v>8.6499999999999994E-2</v>
    <v>1.4393E-2</v>
    <v>USD</v>
    <v>Byrna Technologies Inc. is a less lethal self-defense technology company specializing in solutions for security situations that do not require the use of lethal force. The Company operates through two segments: Direct to Consumer (DTC) and Wholesale (dealer/distributors). The DTC segment includes sales through e-commerce platforms, Amazon storefronts, and company-operated retail stores. The wholesale segment includes sales to domestic and international dealers, distributors, retailers, and law enforcement and other institutional customers, as well as royalty through the Company’s licensing agreements. Its product portfolio includes handheld personal security devices and shoulder-fired launchers designed for use by consumers and professional security customers without the need for a background check or firearms license in most United States jurisdictions; a line of projectiles that are fired by Byrna devices, including chemical irritant, kinetic and inert rounds and others.</v>
    <v>167</v>
    <v>Nasdaq Stock Market</v>
    <v>XNAS</v>
    <v>XNAS</v>
    <v>100 Burtt Road, Suite 115, ANDOVER, MA, 01810 US</v>
    <v>6.16</v>
    <v>Aerospace &amp; Defense</v>
    <v>Stock</v>
    <v>46139.925952441408</v>
    <v>1059</v>
    <v>5.94</v>
    <v>136340756</v>
    <v>BYRNA TECHNOLOGIES INC.</v>
    <v>BYRNA TECHNOLOGIES INC.</v>
    <v>6.14</v>
    <v>16.763400000000001</v>
    <v>6.15</v>
    <v>6.01</v>
    <v>6.0964999999999998</v>
    <v>22685650</v>
    <v>BYRN</v>
    <v>BYRNA TECHNOLOGIES INC. (XNAS:BYRN)</v>
    <v>518898</v>
    <v>735068</v>
    <v>2005</v>
  </rv>
  <rv s="2">
    <v>1060</v>
  </rv>
  <rv s="0">
    <v>https://www.bing.com/financeapi/forcetrigger?t=a1pidm&amp;q=XNYS%3aCF&amp;form=skydnc</v>
    <v>Learn more on Bing</v>
  </rv>
  <rv s="1">
    <v>0</v>
    <v>CF INDUSTRIES HOLDINGS, INC. (XNYS:CF)</v>
    <v>2</v>
    <v>3</v>
    <v>Finance</v>
    <v>5</v>
    <v>en</v>
    <v>a1pidm</v>
    <v>268435456</v>
    <v>1</v>
    <v>Powered by Refinitiv</v>
    <v>141.96</v>
    <v>75.415000000000006</v>
    <v>0.40689999999999998</v>
    <v>2.67</v>
    <v>2.2079000000000001E-2</v>
    <v>-0.255</v>
    <v>-2.0630000000000002E-3</v>
    <v>USD</v>
    <v>CF Industries Holdings, Inc. is a global manufacturer of hydrogen and nitrogen products. The Company is focused on decarbonizing its ammonia production network to enable low-carbon hydrogen and nitrogen products for energy, fertilizer, emissions abatement and other industrial activities. The Company's segments include Ammonia, Granular Urea, UAN, AN and Other. Ammonia segment produces anhydrous ammonia (ammonia), which is the base product that it manufactures (containing 82% nitrogen and 18% hydrogen). Granular Urea segment produces granular urea, which contains 46% nitrogen. UAN segment produces urea ammonium nitrate solution (UAN). AN segment produces ammonium nitrate (AN). Other segment primarily includes products, such as diesel exhaust fluid (DEF), urea liquor and nitric acid. Its manufacturing complexes in the United States, Canada, and the United Kingdom, a storage, transportation and distribution network in North America, and logistics capabilities enable a global reach.</v>
    <v>2900</v>
    <v>New York Stock Exchange</v>
    <v>XNYS</v>
    <v>XNYS</v>
    <v>2375 Waterview Drive, NORTHBROOK, IL, 60062 US</v>
    <v>123.89</v>
    <v>Chemicals</v>
    <v>Stock</v>
    <v>46139.932961365623</v>
    <v>1062</v>
    <v>120.175</v>
    <v>18986987040</v>
    <v>CF INDUSTRIES HOLDINGS, INC.</v>
    <v>CF INDUSTRIES HOLDINGS, INC.</v>
    <v>122.42</v>
    <v>13.739100000000001</v>
    <v>120.93</v>
    <v>123.6</v>
    <v>123.375</v>
    <v>153616400</v>
    <v>CF</v>
    <v>CF INDUSTRIES HOLDINGS, INC. (XNYS:CF)</v>
    <v>2205592</v>
    <v>4971945</v>
    <v>2005</v>
  </rv>
  <rv s="2">
    <v>1063</v>
  </rv>
  <rv s="0">
    <v>https://www.bing.com/financeapi/forcetrigger?t=a1p6rw&amp;q=XNAS%3aCAR&amp;form=skydnc</v>
    <v>Learn more on Bing</v>
  </rv>
  <rv s="1">
    <v>0</v>
    <v>AVIS BUDGET GROUP, INC. (XNAS:CAR)</v>
    <v>2</v>
    <v>3</v>
    <v>Finance</v>
    <v>5</v>
    <v>en</v>
    <v>a1p6rw</v>
    <v>268435456</v>
    <v>1</v>
    <v>Powered by Refinitiv</v>
    <v>847.69989999999996</v>
    <v>85.96</v>
    <v>2.0428999999999999</v>
    <v>-16.93</v>
    <v>-8.2989999999999994E-2</v>
    <v>1.1000000000000001</v>
    <v>5.8799999999999998E-3</v>
    <v>USD</v>
    <v>Avis Budget Group, Inc. is a provider of mobility solutions through its three brands, Avis, Budget and Zipcar, as well as several other brands. Its brands offer a range of options, from car and truck rental to car sharing. Its segments include Americas and International. The Americas segment consists primarily of vehicle rental operations in North America, South America, Central America and the Caribbean and operates car-sharing operations in certain of these markets. The International segment consists of vehicle rental operations in Europe, the Middle East, Africa, Asia and Australasia, and operates car-sharing operations in certain of these markets. The Avis brand provides vehicle rental and other mobility solutions at price points generally above non-branded and value-branded vehicle rental companies and serves the premium commercial and leisure segments of the travel industry. Its other brands include Payless, Apex, AmicoBlu, Maggiore, Morini Rent, FranceCars, and others.</v>
    <v>17000</v>
    <v>Nasdaq Stock Market</v>
    <v>XNAS</v>
    <v>XNAS</v>
    <v>379 INTERPACE PARKWAY, PARSIPPANY, NJ, 07054 US</v>
    <v>204.10990000000001</v>
    <v>Passenger Transportation Services</v>
    <v>Stock</v>
    <v>46139.934206816404</v>
    <v>1065</v>
    <v>182</v>
    <v>6608189758</v>
    <v>AVIS BUDGET GROUP, INC.</v>
    <v>AVIS BUDGET GROUP, INC.</v>
    <v>190.54</v>
    <v>0</v>
    <v>204</v>
    <v>187.07</v>
    <v>188.17</v>
    <v>35324690</v>
    <v>CAR</v>
    <v>AVIS BUDGET GROUP, INC. (XNAS:CAR)</v>
    <v>3723173</v>
    <v>4984223</v>
    <v>1974</v>
  </rv>
  <rv s="2">
    <v>1066</v>
  </rv>
  <rv s="0">
    <v>https://www.bing.com/financeapi/forcetrigger?t=a1u3p2&amp;q=XNAS%3aGOOG&amp;form=skydnc</v>
    <v>Learn more on Bing</v>
  </rv>
  <rv s="1">
    <v>0</v>
    <v>ALPHABET INC. (XNAS:GOOG)</v>
    <v>2</v>
    <v>3</v>
    <v>Finance</v>
    <v>5</v>
    <v>en</v>
    <v>a1u3p2</v>
    <v>268435456</v>
    <v>1</v>
    <v>Powered by Refinitiv</v>
    <v>350.9</v>
    <v>149.49010000000001</v>
    <v>1.1596</v>
    <v>6.2</v>
    <v>1.8112E-2</v>
    <v>0.78</v>
    <v>2.238E-3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190820</v>
    <v>Nasdaq Stock Market</v>
    <v>XNAS</v>
    <v>XNAS</v>
    <v>1600 Amphitheatre Parkway, MOUNTAIN VIEW, CA, 94043 US</v>
    <v>350.9</v>
    <v>Software &amp; IT Services</v>
    <v>Stock</v>
    <v>46139.934848541408</v>
    <v>1068</v>
    <v>340.81</v>
    <v>4216046440000</v>
    <v>ALPHABET INC.</v>
    <v>ALPHABET INC.</v>
    <v>343.88</v>
    <v>32.288600000000002</v>
    <v>342.32</v>
    <v>348.52</v>
    <v>349.3</v>
    <v>12097000000</v>
    <v>GOOG</v>
    <v>ALPHABET INC. (XNAS:GOOG)</v>
    <v>17404951</v>
    <v>19221528</v>
    <v>2015</v>
  </rv>
  <rv s="2">
    <v>1069</v>
  </rv>
  <rv s="0">
    <v>https://www.bing.com/financeapi/forcetrigger?t=aea12w&amp;q=XPAR%3aSGO&amp;form=skydnc</v>
    <v>Learn more on Bing</v>
  </rv>
  <rv s="3">
    <v>6</v>
    <v>Compagnie de Saint Gobain SA (XPAR:SGO)</v>
    <v>2</v>
    <v>7</v>
    <v>Finance</v>
    <v>8</v>
    <v>en</v>
    <v>aea12w</v>
    <v>268435456</v>
    <v>1</v>
    <v>Powered by Refinitiv</v>
    <v>104.65</v>
    <v>65.88</v>
    <v>1.4137</v>
    <v>-0.18</v>
    <v>-2.3210000000000001E-3</v>
    <v>EUR</v>
    <v>Compagnie de Saint Gobain SA is a France-based group specialized in the design, manufacture, distribution of materials for the construction, mobility, healthcare, and industrial sectors solutions with the aim of improving wellbeing of life across the world. The Group, through its subsidiaries, operates through three sectors: Building Distribution (BD), Construction Products (CP) and Materials (IM). The BD Sector covers the distribution activities of the Company to the suppliers. The CP sector offers both interior solutions (insulation and gypsum) and exterior solutions (industrial mortars, pipes and exterior products). The IM sector provides flat glass and high-performance materials. Its solutions span from self-cleaning windows and photovoltaic glass to smart insulation systems, water supply systems with many industrial applications.</v>
    <v>161688</v>
    <v>Euronext Paris</v>
    <v>XPAR</v>
    <v>XPAR</v>
    <v>Tour Saint-Gobain, 12 place de l'Iris, La Defense Cedex, 92096 FR</v>
    <v>78.22</v>
    <v>Homebuilding &amp; Construction Supplies</v>
    <v>Stock</v>
    <v>46139.666666666664</v>
    <v>1071</v>
    <v>77.239999999999995</v>
    <v>41397000000</v>
    <v>Compagnie de Saint Gobain SA</v>
    <v>Compagnie de Saint Gobain SA</v>
    <v>77.36</v>
    <v>13.2958</v>
    <v>77.540000000000006</v>
    <v>77.36</v>
    <v>494825300</v>
    <v>SGO</v>
    <v>Compagnie de Saint Gobain SA (XPAR:SGO)</v>
    <v>644458</v>
    <v>1282830</v>
    <v>1981</v>
  </rv>
  <rv s="2">
    <v>1072</v>
  </rv>
  <rv s="0">
    <v>https://www.bing.com/financeapi/forcetrigger?t=a1vwxm&amp;q=XNYS%3aIVZ&amp;form=skydnc</v>
    <v>Learn more on Bing</v>
  </rv>
  <rv s="1">
    <v>0</v>
    <v>INVESCO LTD (XNYS:IVZ)</v>
    <v>2</v>
    <v>3</v>
    <v>Finance</v>
    <v>5</v>
    <v>en</v>
    <v>a1vwxm</v>
    <v>268435456</v>
    <v>1</v>
    <v>Powered by Refinitiv</v>
    <v>29.61</v>
    <v>13.46</v>
    <v>1.5637000000000001</v>
    <v>-0.01</v>
    <v>-3.9199999999999999E-4</v>
    <v>-0.08</v>
    <v>-3.14E-3</v>
    <v>USD</v>
    <v>Invesco Ltd. is an independent investment management firm. It serves the retail and institutional markets within the investment management industry in the Americas, Europe, Middle East, and Africa and Asia-Pacific in 120 countries. It offers a range of investment strategies across asset classes, investment styles, and geographies. Its asset classes include equity, fixed income, balanced, alternatives and money market. Its retail assets under management include exchange-traded funds, separately managed accounts, individual savings accounts, investment companies with variable capital, investment trusts, open-end mutual funds, unit investment trusts, and variable insurance funds. Its institutional assets include institutional separate accounts, private funds, open-end mutual funds, and collective trust funds. Its client base includes public and private entities, unions, non-profit organizations, endowments, foundations, financial institutions, and sovereign wealth funds.</v>
    <v>7499</v>
    <v>New York Stock Exchange</v>
    <v>XNYS</v>
    <v>XNYS</v>
    <v>1331 SPRING STREET NW, SUITE 2500, ATLANTA, GA, 30309 US</v>
    <v>25.91</v>
    <v>Investment Banking &amp; Investment Services</v>
    <v>Stock</v>
    <v>46139.928922349216</v>
    <v>1074</v>
    <v>25.3</v>
    <v>11304680400</v>
    <v>INVESCO LTD</v>
    <v>INVESCO LTD</v>
    <v>25.52</v>
    <v>0</v>
    <v>25.51</v>
    <v>25.5</v>
    <v>25.4</v>
    <v>443320800</v>
    <v>IVZ</v>
    <v>INVESCO LTD (XNYS:IVZ)</v>
    <v>8888880</v>
    <v>5880546</v>
    <v>2007</v>
  </rv>
  <rv s="2">
    <v>1075</v>
  </rv>
  <rv s="0">
    <v>https://www.bing.com/financeapi/forcetrigger?t=a1zhcw&amp;q=XNAS%3aPAYX&amp;form=skydnc</v>
    <v>Learn more on Bing</v>
  </rv>
  <rv s="1">
    <v>0</v>
    <v>PAYCHEX, INC. (XNAS:PAYX)</v>
    <v>2</v>
    <v>3</v>
    <v>Finance</v>
    <v>5</v>
    <v>en</v>
    <v>a1zhcw</v>
    <v>268435456</v>
    <v>1</v>
    <v>Powered by Refinitiv</v>
    <v>161.24</v>
    <v>85.45</v>
    <v>0.80989999999999995</v>
    <v>0.11</v>
    <v>1.225E-3</v>
    <v>7.0000000000000007E-2</v>
    <v>7.7840000000000006E-4</v>
    <v>USD</v>
    <v>Paychex, Inc. is a human capital management (HCM) company. The Company is engaged in delivering a full suite of technology and advisory services in human resources, employee benefit solutions, insurance, and payroll. It is a provider of integrated HCM solutions for human resources (HR), payroll, benefits, and insurance for small- to medium-sized businesses in the United States (U.S.) and parts of Europe. It supports its small-business clients by utilizing its proprietary, software as a service (SaaS) Paychex Flex platform and the Company’s SurePayroll SaaS-based solutions. Its HR solutions include HR packages, HR consulting, employee onboarding, hiring services, and artificial intelligence -assisted recruiting. Its payroll services include payroll packages, small business payroll, midsize to enterprise payroll, switch payroll companies, and payroll tax services. Its employee benefits services include Group health insurance, retirement services, and benefits administration services.</v>
    <v>19000</v>
    <v>Nasdaq Stock Market</v>
    <v>XNAS</v>
    <v>XNAS</v>
    <v>911 Panorama Trail S, ROCHESTER, NY, 14625-0397 US</v>
    <v>91.11</v>
    <v>Professional &amp; Commercial Services</v>
    <v>Stock</v>
    <v>46139.930177916409</v>
    <v>1077</v>
    <v>89.534999999999997</v>
    <v>32221100637</v>
    <v>PAYCHEX, INC.</v>
    <v>PAYCHEX, INC.</v>
    <v>89.8</v>
    <v>19.823699999999999</v>
    <v>89.82</v>
    <v>89.93</v>
    <v>90</v>
    <v>358290900</v>
    <v>PAYX</v>
    <v>PAYCHEX, INC. (XNAS:PAYX)</v>
    <v>3032480</v>
    <v>4236589</v>
    <v>1979</v>
  </rv>
  <rv s="2">
    <v>1078</v>
  </rv>
  <rv s="0">
    <v>https://www.bing.com/financeapi/forcetrigger?t=alock2&amp;q=XAMS%3aIMCD&amp;form=skydnc</v>
    <v>Learn more on Bing</v>
  </rv>
  <rv s="5">
    <v>11</v>
    <v>IMCD NV (XAMS:IMCD)</v>
    <v>2</v>
    <v>12</v>
    <v>Finance</v>
    <v>8</v>
    <v>en</v>
    <v>alock2</v>
    <v>268435456</v>
    <v>1</v>
    <v>Powered by Refinitiv</v>
    <v>126.55</v>
    <v>68.14</v>
    <v>1.3163</v>
    <v>1.7</v>
    <v>1.7639000000000002E-2</v>
    <v>EUR</v>
    <v>IMCD NV is a company based in the Netherlands that specializes in sales, marketing and distribution of specialty chemicals and foods ingredients. Its product portfolio includes chemicals from various areas, including pharmaceutics, personal care, coatings, food and nutrition, lubricants, synthesis, plastics, detergents, agrochemicals, textile, waste and water treatment, cutting and sand blasting, flavors and fragrances, oil and gas and polishing, among others. The Company operates an international supply chain with local warehouses and provides valued-added services, including repacking, dilution and blending. The Company operates worldwide.</v>
    <v>5246</v>
    <v>Euronext Amsterdam</v>
    <v>XAMS</v>
    <v>XAMS</v>
    <v>Wilhelminaplein 32, ROTTERDAM, ZUID-HOLLAND, 3072 DE NL</v>
    <v>98.9</v>
    <v>Chemicals</v>
    <v>Stock</v>
    <v>46139.666666666664</v>
    <v>1080</v>
    <v>95.94</v>
    <v>4496937000</v>
    <v>IMCD NV</v>
    <v>IMCD NV</v>
    <v>96</v>
    <v>26.129899999999999</v>
    <v>96.38</v>
    <v>98.08</v>
    <v>59108000</v>
    <v>IMCD</v>
    <v>IMCD NV (XAMS:IMCD)</v>
    <v>162456</v>
    <v>282550</v>
  </rv>
  <rv s="2">
    <v>1081</v>
  </rv>
  <rv s="0">
    <v>https://www.bing.com/financeapi/forcetrigger?t=ajg3jc&amp;q=XMIL%3aOVS&amp;form=skydnc</v>
    <v>Learn more on Bing</v>
  </rv>
  <rv s="3">
    <v>6</v>
    <v>OVS SpA (XMIL:OVS)</v>
    <v>2</v>
    <v>7</v>
    <v>Finance</v>
    <v>13</v>
    <v>en</v>
    <v>ajg3jc</v>
    <v>268435456</v>
    <v>1</v>
    <v>Powered by Refinitiv</v>
    <v>5.44</v>
    <v>3.13</v>
    <v>1.2038</v>
    <v>-1.4999999999999999E-2</v>
    <v>-2.9299999999999999E-3</v>
    <v>EUR</v>
    <v>OVS SpA is an Italy-based fashion company that designs, develops and merchandises menswear, womenswear and children's wear. The Company provides a wide range of different products, including apparel, accessories, footwear, sportswear and home furnishings, among others. It owns the OVS and UPIM brands and owns and manages, under the same trademarks, e-shops and counts over 1,600 stores in Italy and all over the world. The Company also owns the brands OVS KIDS and BLUKIDS, specialized in children's wear. Under the OVS brand the Company also provides customers with a dedicated and customizable personal shopper service bookable online.</v>
    <v>7153</v>
    <v>Borsa Italiana</v>
    <v>XMIL</v>
    <v>XMIL</v>
    <v>VIA TERRAGLIO, 17, VENEZIA, 30174 IT</v>
    <v>5.1449999999999996</v>
    <v>Specialty Retailers</v>
    <v>Stock</v>
    <v>46139.666666666664</v>
    <v>1083</v>
    <v>5.05</v>
    <v>1191000000</v>
    <v>OVS SpA</v>
    <v>OVS SpA</v>
    <v>5.1449999999999996</v>
    <v>26.933199999999999</v>
    <v>5.12</v>
    <v>5.1050000000000004</v>
    <v>255032100</v>
    <v>OVS</v>
    <v>OVS SpA (XMIL:OVS)</v>
    <v>293651</v>
    <v>661290</v>
    <v>2014</v>
  </rv>
  <rv s="2">
    <v>1084</v>
  </rv>
  <rv s="0">
    <v>https://www.bing.com/financeapi/forcetrigger?t=aje8yc&amp;q=XMIL%3aBPSO&amp;form=skydnc</v>
    <v>Learn more on Bing</v>
  </rv>
  <rv s="5">
    <v>11</v>
    <v>Banca Popolare di Sondrio SpA (XMIL:BPSO)</v>
    <v>2</v>
    <v>12</v>
    <v>Finance</v>
    <v>13</v>
    <v>en</v>
    <v>aje8yc</v>
    <v>268435456</v>
    <v>1</v>
    <v>Powered by Refinitiv</v>
    <v>18.54</v>
    <v>9.76</v>
    <v>1.0227999999999999</v>
    <v>0</v>
    <v>0</v>
    <v>EUR</v>
    <v>Banca Popolare di Sondrio SpA is an Italy-based company active in the banking sector. The Company's activities are the provision of traditional banking and Internet banking services. Its offer encompasses private banking services, including checking and savings accounts, credit cards and online banking; business banking, including business credit cards and online banking, and special services, including investment funds, foreign trade services and tax services. The Company operates through four segments: Businesses, comprising non-financial companies; Individuals and Other Customers, comprises consumer households, finance companies and non-profit organizations; Securities, comprises transactions with customers involving direct trading in, the placement of financial instruments, insurance and pension productions, and portfolio management and Central Functions segment covers the management of portfolio own securities and equity investments, currency transactions on own account.</v>
    <v>3596</v>
    <v>Borsa Italiana</v>
    <v>XMIL</v>
    <v>XMIL</v>
    <v>PIAZZA GIUSEPPE GARIBALDI, 16, SONDRIO, 23100 IT</v>
    <v>18.07</v>
    <v>Banking Services</v>
    <v>Stock</v>
    <v>46129.666666666664</v>
    <v>1086</v>
    <v>17.47</v>
    <v>7888913000</v>
    <v>Banca Popolare di Sondrio SpA</v>
    <v>Banca Popolare di Sondrio SpA</v>
    <v>17.61</v>
    <v>12.4201</v>
    <v>17.61</v>
    <v>17.864999999999998</v>
    <v>453385800</v>
    <v>BPSO</v>
    <v>Banca Popolare di Sondrio SpA (XMIL:BPSO)</v>
    <v>5570478</v>
    <v>341040</v>
  </rv>
  <rv s="2">
    <v>1087</v>
  </rv>
  <rv s="0">
    <v>https://www.bing.com/financeapi/forcetrigger?t=a1nikr&amp;q=XNYS%3aANF&amp;form=skydnc</v>
    <v>Learn more on Bing</v>
  </rv>
  <rv s="1">
    <v>0</v>
    <v>ABERCROMBIE &amp; FITCH CO. (XNYS:ANF)</v>
    <v>2</v>
    <v>3</v>
    <v>Finance</v>
    <v>4</v>
    <v>en</v>
    <v>a1nikr</v>
    <v>268435456</v>
    <v>1</v>
    <v>Powered by Refinitiv</v>
    <v>133.11000000000001</v>
    <v>65.45</v>
    <v>0.99409999999999998</v>
    <v>-0.51</v>
    <v>-5.855E-3</v>
    <v>-0.09</v>
    <v>-1.039E-3</v>
    <v>USD</v>
    <v>Abercrombie &amp; Fitch Co. is a global, digitally led omnichannel specialty retailer of apparel and accessories. The Company offers an assortment of apparel, personal care products and accessories for men, women and kids, which are sold primarily through its Company-owned stores and digital channels, as well as through various third-party arrangements. The Company’s brands include Abercrombie brands, which includes Abercrombie &amp; Fitch, abercrombie kids, and Your Personal Best (YPB), and Hollister brands, which include Hollister and Gilly Hicks. Its geographic segments include the Americas, EMEA, and APAC. The Company also offers its loyalty programs, which include Abercrombie’s myAbercrombie and Hollister’s Hollister House Rewards. The Company operates approximately 790 stores under these brands across North America, Europe, Asia and the Middle East, as well as the e-commerce sites abercrombie.com, abercrombiekids.com, and hollisterco.com.</v>
    <v>6600</v>
    <v>New York Stock Exchange</v>
    <v>XNYS</v>
    <v>XNYS</v>
    <v>6301 Fitch Path, NEW ALBANY, OH, 43054 US</v>
    <v>87.63</v>
    <v>Specialty Retailers</v>
    <v>Stock</v>
    <v>46139.914290693749</v>
    <v>1089</v>
    <v>85.94</v>
    <v>3873909312</v>
    <v>ABERCROMBIE &amp; FITCH CO.</v>
    <v>ABERCROMBIE &amp; FITCH CO.</v>
    <v>87.24</v>
    <v>8.2804000000000002</v>
    <v>87.1</v>
    <v>86.59</v>
    <v>86.5</v>
    <v>44738530</v>
    <v>ANF</v>
    <v>ABERCROMBIE &amp; FITCH CO. (XNYS:ANF)</v>
    <v>912915</v>
    <v>1202777</v>
    <v>1996</v>
  </rv>
  <rv s="2">
    <v>1090</v>
  </rv>
  <rv s="0">
    <v>https://www.bing.com/financeapi/forcetrigger?t=azilar&amp;q=XNAS%3aGNPX&amp;form=skydnc</v>
    <v>Learn more on Bing</v>
  </rv>
  <rv s="1">
    <v>0</v>
    <v>GENPREX, INC. (XNAS:GNPX)</v>
    <v>2</v>
    <v>3</v>
    <v>Finance</v>
    <v>5</v>
    <v>en</v>
    <v>azilar</v>
    <v>268435456</v>
    <v>1</v>
    <v>Powered by Refinitiv</v>
    <v>55</v>
    <v>0.91959999999999997</v>
    <v>-0.89849999999999997</v>
    <v>-0.09</v>
    <v>-8.8234999999999994E-2</v>
    <v>1E-3</v>
    <v>1.075E-3</v>
    <v>USD</v>
    <v>Genprex, Inc. is a clinical-stage gene therapy company focused on developing therapies for patients with cancer and diabetes. The Company's technologies are designed to administer disease-fighting genes to provide new therapies for large patient populations with cancer and diabetes, who have limited treatment options. Its oncology program utilizes its systemic, non-viral Oncoprex Delivery System, which uses lipid-based nanoparticles in a lipoplex form to deliver tumor suppressor gene-expressing plasmids to cancer cells. Its oncology drug candidate, Reqorsa Gene Therapy (quaratusugene ozeplasmid), is developed in combination with approved cancer drugs to treat Non-Small Cell Lung Cancer (NSCLC) and Small Cell Lung Cancer (SCLC). GPX-002 is being developed by the Company using the same construct for the treatment of both Type 1 diabetes and Type 2 diabetes. GPX-002 for Type 1 diabetes is designed to work by transforming alpha cells in the pancreas into functional beta-like cells.</v>
    <v>13</v>
    <v>Nasdaq Stock Market</v>
    <v>XNAS</v>
    <v>XNAS</v>
    <v>3300 Bee Cave Road, Suite 650-227, AUSTIN, TX, 78746 US</v>
    <v>1.03</v>
    <v>Biotechnology &amp; Medical Research</v>
    <v>Stock</v>
    <v>46139.934462418751</v>
    <v>1092</v>
    <v>0.91959999999999997</v>
    <v>4197190</v>
    <v>GENPREX, INC.</v>
    <v>GENPREX, INC.</v>
    <v>1.02</v>
    <v>0</v>
    <v>1.02</v>
    <v>0.93</v>
    <v>0.93100000000000005</v>
    <v>9044860</v>
    <v>GNPX</v>
    <v>GENPREX, INC. (XNAS:GNPX)</v>
    <v>721398</v>
    <v>988037</v>
    <v>2009</v>
  </rv>
  <rv s="2">
    <v>1093</v>
  </rv>
  <rv s="0">
    <v>https://www.bing.com/financeapi/forcetrigger?t=a1vp77&amp;q=XNAS%3aIPGP&amp;form=skydnc</v>
    <v>Learn more on Bing</v>
  </rv>
  <rv s="1">
    <v>0</v>
    <v>IPG PHOTONICS CORPORATION (XNAS:IPGP)</v>
    <v>2</v>
    <v>3</v>
    <v>Finance</v>
    <v>4</v>
    <v>en</v>
    <v>a1vp77</v>
    <v>268435456</v>
    <v>1</v>
    <v>Powered by Refinitiv</v>
    <v>155.82</v>
    <v>51.77</v>
    <v>1.0186999999999999</v>
    <v>-7.88</v>
    <v>-6.3268000000000005E-2</v>
    <v>0.03</v>
    <v>2.5710000000000002E-4</v>
    <v>USD</v>
    <v>IPG Photonics Corporation develops, manufactures, and sells fiber lasers, fiber amplifiers, diode lasers and laser-based systems. It designs and manufactures components used in its finished products, from semiconductor diodes to optical fiber preforms, finished fiber lasers and complementary products. The Company’s portfolio of laser solutions is used in materials processing, medical, advanced applications and communications, among others. It also manufactures and sells complementary products used with its lasers, including optical delivery cables, fiber couplers, beam switches, optical processing heads, in-line sensors and chillers. Its products include Continuous Wave (CW) lasers (1-125 kW) and IPG systems, Nanosecond (NS) pulsed lasers (100-3,000 W), Infrared (IR), green and ultraviolet (UV) pulsed lasers, Picosecond (PS), and Femtosecond (FS) pulsed lasers. It also makes direct diode lasers, packaged semiconductor diodes, laser and non-laser systems and laser-based medical systems.</v>
    <v>4840</v>
    <v>Nasdaq Stock Market</v>
    <v>XNAS</v>
    <v>XNAS</v>
    <v>377 Simarano Drive, MARLBOROUGH, MA, 01752 US</v>
    <v>125.55</v>
    <v>Electronic Equipment &amp; Parts</v>
    <v>Stock</v>
    <v>46139.915405543747</v>
    <v>1095</v>
    <v>111.70010000000001</v>
    <v>4951869144</v>
    <v>IPG PHOTONICS CORPORATION</v>
    <v>IPG PHOTONICS CORPORATION</v>
    <v>125.55</v>
    <v>170.71700000000001</v>
    <v>124.55</v>
    <v>116.67</v>
    <v>116.7</v>
    <v>42443380</v>
    <v>IPGP</v>
    <v>IPG PHOTONICS CORPORATION (XNAS:IPGP)</v>
    <v>533285</v>
    <v>400377</v>
    <v>1998</v>
  </rv>
  <rv s="2">
    <v>1096</v>
  </rv>
  <rv s="0">
    <v>https://www.bing.com/financeapi/forcetrigger?t=a1vh4c&amp;q=XNAS%3aILMN&amp;form=skydnc</v>
    <v>Learn more on Bing</v>
  </rv>
  <rv s="1">
    <v>0</v>
    <v>ILLUMINA, INC. (XNAS:ILMN)</v>
    <v>2</v>
    <v>3</v>
    <v>Finance</v>
    <v>5</v>
    <v>en</v>
    <v>a1vh4c</v>
    <v>268435456</v>
    <v>1</v>
    <v>Powered by Refinitiv</v>
    <v>155.529</v>
    <v>73.86</v>
    <v>1.4489000000000001</v>
    <v>0.64</v>
    <v>5.004999999999999E-3</v>
    <v>0.04</v>
    <v>3.1119999999999997E-4</v>
    <v>USD</v>
    <v>Illumina, Inc. specializes in DNA sequencing and array-based technologies, serving customers in research, clinical and applied markets. The Company's products are used for applications in the life sciences, oncology, reproductive health, agriculture, and other emerging segments. Its customers include genomic research centers, academic institutions, government laboratories, and hospitals, as well as pharmaceutical, biotechnology, commercial molecular diagnostic laboratories, and consumer genomics companies. Its comprehensive line of products addresses the scale of experimentation and breadth of functional analysis to advance disease research, drug development, and the development of molecular tests. It also specializes in data-driven proteomics technology. Its products include instruments, kits and reagents, selection tools, and software and analysis. Its services include sequencing services, microarray services, proactive instrument monitoring, and instrument services and training.</v>
    <v>8600</v>
    <v>Nasdaq Stock Market</v>
    <v>XNAS</v>
    <v>XNAS</v>
    <v>5200 Illumina Way, SAN DIEGO, CA, 92122 US</v>
    <v>129.28</v>
    <v>Healthcare Equipment &amp; Supplies</v>
    <v>Stock</v>
    <v>46139.925354814062</v>
    <v>1098</v>
    <v>126.93</v>
    <v>19523074788</v>
    <v>ILLUMINA, INC.</v>
    <v>ILLUMINA, INC.</v>
    <v>126.93</v>
    <v>23.345300000000002</v>
    <v>127.88</v>
    <v>128.52000000000001</v>
    <v>128.56</v>
    <v>151906900</v>
    <v>ILMN</v>
    <v>ILLUMINA, INC. (XNAS:ILMN)</v>
    <v>1273490</v>
    <v>1364023</v>
    <v>2000</v>
  </rv>
  <rv s="2">
    <v>1099</v>
  </rv>
  <rv s="0">
    <v>https://www.bing.com/financeapi/forcetrigger?t=alnzsm&amp;q=XAMS%3aBAMNB&amp;form=skydnc</v>
    <v>Learn more on Bing</v>
  </rv>
  <rv s="3">
    <v>6</v>
    <v>Koninklijke BAM Groep NV (XAMS:BAMNB)</v>
    <v>2</v>
    <v>7</v>
    <v>Finance</v>
    <v>8</v>
    <v>en</v>
    <v>alnzsm</v>
    <v>268435456</v>
    <v>1</v>
    <v>Powered by Refinitiv</v>
    <v>10.29</v>
    <v>5.49</v>
    <v>0.6794</v>
    <v>-9.5000000000000001E-2</v>
    <v>-1.0232000000000002E-2</v>
    <v>EUR</v>
    <v>Koninklijke BAM Groep NV is a construction company based in the Netherlands. It focuses on the construction sector, and provides civil engineering, mechanical and electrical services. The Company operates through four segments: The Construction and Mechanical and Electrical Services segment focuses on non-residential and residential construction work; the Civil Engineering segment carries out tailored civil engineering products globally, the Property segment develops properties, such as single family homes, and through the PPP segment, the Company operates in the roads, rail, education, health care, judicial and general accommodation sectors. The Company operates in the Netherlands, the United Kingdom, Germany, Belgium and Ireland, among others. It operates through numerous subsidiaries, including BAM Bouw en Vastgoed, BAM Construct UK, BAM Deutschland, BAM Belgium, BAM Contractors, BAM Infra, BAM Nuttall, Wayss &amp; Freytag Ingenieurbau and BAM International.</v>
    <v>13443</v>
    <v>Euronext Amsterdam</v>
    <v>XAMS</v>
    <v>XAMS</v>
    <v>Runnenburg 9, BUNNIK, UTRECHT, 3981AZ NL</v>
    <v>9.3699999999999992</v>
    <v>Construction &amp; Engineering</v>
    <v>Stock</v>
    <v>46139.666666666664</v>
    <v>1101</v>
    <v>9.15</v>
    <v>2509200000</v>
    <v>Koninklijke BAM Groep NV</v>
    <v>Koninklijke BAM Groep NV</v>
    <v>9.2899999999999991</v>
    <v>11.460100000000001</v>
    <v>9.2850000000000001</v>
    <v>9.19</v>
    <v>272000000</v>
    <v>BAMNB</v>
    <v>Koninklijke BAM Groep NV (XAMS:BAMNB)</v>
    <v>401950</v>
    <v>549590</v>
    <v>1927</v>
  </rv>
  <rv s="2">
    <v>1102</v>
  </rv>
  <rv s="0">
    <v>https://www.bing.com/financeapi/forcetrigger?t=bnmigh&amp;q=XNAS%3aTWST&amp;form=skydnc</v>
    <v>Learn more on Bing</v>
  </rv>
  <rv s="1">
    <v>0</v>
    <v>TWIST BIOSCIENCE CORPORATION (XNAS:TWST)</v>
    <v>2</v>
    <v>3</v>
    <v>Finance</v>
    <v>4</v>
    <v>en</v>
    <v>bnmigh</v>
    <v>268435456</v>
    <v>1</v>
    <v>Powered by Refinitiv</v>
    <v>66.06</v>
    <v>23.3</v>
    <v>2.2742</v>
    <v>0.06</v>
    <v>9.8459999999999997E-4</v>
    <v>0.73960000000000004</v>
    <v>1.2124999999999999E-2</v>
    <v>USD</v>
    <v>Twist Bioscience Corporation is a synthetic biology and genomics company that has developed a deoxyribonucleic acid (DNA) synthesis platform to industrialize the engineering of biology. The Company's platform's core is a proprietary technology that specializes in manufacturing synthetic DNA by writing DNA on a silicon chip. It has applied its technology to manufacture a range of synthetic DNA-based products, including synthetic genes, tools for next generation sequencing (NGS) sample preparation, and antibody libraries for drug discovery and development, all designed to enable its customers to conduct research. Its gene products include multiplexed gene fragments, express genes, clonal genes and gene fragments. The Company also manufactures synthetic ribonucleic acid (RNA) as well as antibody proteins. The Company's synthetic DNA tools are used in fields, such as medicine, agriculture, industrial chemicals and defense. It has minority ownership in Atlas Data Storage, Inc.</v>
    <v>979</v>
    <v>Nasdaq Stock Market</v>
    <v>XNAS</v>
    <v>XNAS</v>
    <v>681 Gateway Blvd., SOUTH SAN FRANCISCO, CA, 94080 US</v>
    <v>62.5</v>
    <v>Pharmaceuticals</v>
    <v>Stock</v>
    <v>46139.872138378909</v>
    <v>1104</v>
    <v>59.655000000000001</v>
    <v>3740013700</v>
    <v>TWIST BIOSCIENCE CORPORATION</v>
    <v>TWIST BIOSCIENCE CORPORATION</v>
    <v>61.83</v>
    <v>0</v>
    <v>60.94</v>
    <v>61</v>
    <v>61.739600000000003</v>
    <v>61311700</v>
    <v>TWST</v>
    <v>TWIST BIOSCIENCE CORPORATION (XNAS:TWST)</v>
    <v>1080414</v>
    <v>1326814</v>
    <v>2013</v>
  </rv>
  <rv s="2">
    <v>1105</v>
  </rv>
  <rv s="0">
    <v>https://www.bing.com/financeapi/forcetrigger?t=a1nbbh&amp;q=XNYS%3aALLY&amp;form=skydnc</v>
    <v>Learn more on Bing</v>
  </rv>
  <rv s="1">
    <v>0</v>
    <v>ALLY FINANCIAL INC. (XNYS:ALLY)</v>
    <v>2</v>
    <v>3</v>
    <v>Finance</v>
    <v>5</v>
    <v>en</v>
    <v>a1nbbh</v>
    <v>268435456</v>
    <v>1</v>
    <v>Powered by Refinitiv</v>
    <v>47.27</v>
    <v>31.454999999999998</v>
    <v>1.1092</v>
    <v>0.22</v>
    <v>4.9800000000000001E-3</v>
    <v>0.59</v>
    <v>1.3287999999999999E-2</v>
    <v>USD</v>
    <v>Ally Financial Inc. is a financial services company. The Company’s segments include Automotive Finance operations, Insurance operations, and Corporate Finance operations. The Automotive Finance operations segment is engaged in providing automotive financing services to consumers, automotive dealers and retailers, companies, and municipalities. Its Insurance operations segment operates as a complementary automotive-focused business, offering both consumer finance protection and insurance products sold primarily through the automotive dealer channel, and commercial insurance products sold directly to dealers. Its Corporate Finance operations segment provides senior secured asset-based and leveraged cash flow loans to U.S.-based middle-market companies, with a focus on businesses owned by private equity sponsors. The Company also includes a robust corporate finance business that offers capital for equity sponsors and middle-market companies.</v>
    <v>10300</v>
    <v>New York Stock Exchange</v>
    <v>XNYS</v>
    <v>XNYS</v>
    <v>Ally Detroit Center, 500 Woodward Ave. Floor 10, DETROIT, MI, 48226 US</v>
    <v>44.884999999999998</v>
    <v>Banking Services</v>
    <v>Stock</v>
    <v>46139.929808876564</v>
    <v>1107</v>
    <v>44.16</v>
    <v>13648915200</v>
    <v>ALLY FINANCIAL INC.</v>
    <v>ALLY FINANCIAL INC.</v>
    <v>44.16</v>
    <v>10.8192</v>
    <v>44.18</v>
    <v>44.4</v>
    <v>44.99</v>
    <v>307408000</v>
    <v>ALLY</v>
    <v>ALLY FINANCIAL INC. (XNYS:ALLY)</v>
    <v>2738990</v>
    <v>3675134</v>
    <v>1997</v>
  </rv>
  <rv s="2">
    <v>1108</v>
  </rv>
  <rv s="0">
    <v>http://en.wikipedia.org/wiki/IBM</v>
    <v>Wikipedia</v>
  </rv>
  <rv s="18">
    <v>325</v>
    <v>1110</v>
  </rv>
  <rv s="19">
    <v>42</v>
    <v>https://www.bing.com/th?id=AMMS_41da901be1b295dc42c72dadb9c0f67d&amp;qlt=95</v>
    <v>1111</v>
    <v>0</v>
    <v>https://www.bing.com/images/search?form=xlimg&amp;q=ibm</v>
    <v>Image of INTERNATIONAL BUSINESS MACHINES CORPORATION</v>
  </rv>
  <rv s="0">
    <v>https://www.bing.com/financeapi/forcetrigger?t=a1v6nm&amp;q=XNYS%3aIBM&amp;form=skydnc</v>
    <v>Learn more on Bing</v>
  </rv>
  <rv s="20">
    <v>38</v>
    <v>INTERNATIONAL BUSINESS MACHINES CORPORATION (XNYS:IBM)</v>
    <v>40</v>
    <v>41</v>
    <v>Finance</v>
    <v>5</v>
    <v>en</v>
    <v>a1v6nm</v>
    <v>268435456</v>
    <v>1</v>
    <v>Powered by Refinitiv</v>
    <v>324.89999999999998</v>
    <v>220.72</v>
    <v>0.58620000000000005</v>
    <v>-3.93</v>
    <v>-1.6940999999999998E-2</v>
    <v>0.25</v>
    <v>1.096E-3</v>
    <v>USD</v>
    <v>International Business Machines Corporation is a provider of global hybrid cloud and artificial intelligence (AI) and consulting expertise. The Company’s segments include Software, Consulting, Infrastructure and Financing. The Software segment includes hybrid cloud and AI platforms, which allow clients to realize their digital and AI transformations across the applications, data, and environments in which they operate. The Consulting segment focuses on integrating skills on strategy, experience, technology and operations by domain and industry. The Infrastructure segment is focused on the hybrid cloud infrastructure market, providing on-premises and cloud-based server and storage solutions. In addition, it offers a portfolio of life-cycle services for hybrid cloud infrastructure deployment. The Financing segment provides client and commercial financing, facilitating its clients’ acquisition of hardware, software and services. It helps clients in more than 175 countries.</v>
    <v>286800</v>
    <v>New York Stock Exchange</v>
    <v>XNYS</v>
    <v>XNYS</v>
    <v>One New Orchard Road, ARMONK, NY, 10504 US</v>
    <v>231.32</v>
    <v>1112</v>
    <v>Software &amp; IT Services</v>
    <v>Stock</v>
    <v>46139.933785508591</v>
    <v>1113</v>
    <v>227.12</v>
    <v>214340842665</v>
    <v>INTERNATIONAL BUSINESS MACHINES CORPORATION</v>
    <v>INTERNATIONAL BUSINESS MACHINES CORPORATION</v>
    <v>229.95</v>
    <v>18.564299999999999</v>
    <v>231.98</v>
    <v>228.05</v>
    <v>228.3</v>
    <v>939885300</v>
    <v>IBM</v>
    <v>INTERNATIONAL BUSINESS MACHINES CORPORATION (XNYS:IBM)</v>
    <v>8049818</v>
    <v>5972516</v>
    <v>1911</v>
  </rv>
  <rv s="2">
    <v>1114</v>
  </rv>
  <rv s="0">
    <v>https://www.bing.com/financeapi/forcetrigger?t=a285oc&amp;q=XNAS%3aAPLD&amp;form=skydnc</v>
    <v>Learn more on Bing</v>
  </rv>
  <rv s="1">
    <v>0</v>
    <v>APPLIED DIGITAL CORPORATION (XNAS:APLD)</v>
    <v>2</v>
    <v>3</v>
    <v>Finance</v>
    <v>5</v>
    <v>en</v>
    <v>a285oc</v>
    <v>268435456</v>
    <v>1</v>
    <v>Powered by Refinitiv</v>
    <v>42.27</v>
    <v>4.2</v>
    <v>5.7617000000000003</v>
    <v>-1.31</v>
    <v>-3.7450000000000004E-2</v>
    <v>0</v>
    <v>0</v>
    <v>USD</v>
    <v>Applied Digital Corporation is a designer, builder, and operator of sustainably engineered data centers and colocation services for artificial intelligence, cloud, networking, and blockchain workloads. The Company’s segments include data center hosting (Data Center Hosting Business) and high-performance compute hosting (HPC Hosting Business). The Data Center Hosting Business operates data centers to provide energized space to crypto mining customers. Customer-owned hardware is installed in its facilities, and the Company provides operational and maintenance services for a fixed fee. Its facilities include a 106 megawatt (MW) facility in Jamestown and a 180 MW facility in Ellendale, North Dakota. The HPC Hosting Business designs, builds, and operates data centers which are designed to support high-compute applications using advanced technologies and infrastructures to provide services to customers. Its HPC data center is located at its Polaris Forge 1 campus with 100 MW capacity.</v>
    <v>205</v>
    <v>Nasdaq Stock Market</v>
    <v>XNAS</v>
    <v>XNAS</v>
    <v>3811 Turtle Creek Blvd., Suite 2100, DALLAS, TX, 75219 US</v>
    <v>35.8795</v>
    <v>Financial Technology (Fintech) &amp; Infrastructure</v>
    <v>Stock</v>
    <v>46139.934134710158</v>
    <v>1116</v>
    <v>33.31</v>
    <v>9621859065</v>
    <v>APPLIED DIGITAL CORPORATION</v>
    <v>APPLIED DIGITAL CORPORATION</v>
    <v>35.159999999999997</v>
    <v>0</v>
    <v>34.979999999999997</v>
    <v>33.67</v>
    <v>33.67</v>
    <v>285769500</v>
    <v>APLD</v>
    <v>APPLIED DIGITAL CORPORATION (XNAS:APLD)</v>
    <v>20750837</v>
    <v>24312898</v>
    <v>2001</v>
  </rv>
  <rv s="2">
    <v>1117</v>
  </rv>
  <rv s="0">
    <v>https://www.bing.com/financeapi/forcetrigger?t=a1zo52&amp;q=XNYS%3aPEG&amp;form=skydnc</v>
    <v>Learn more on Bing</v>
  </rv>
  <rv s="1">
    <v>0</v>
    <v>PUBLIC SERVICE ENTERPRISE GROUP INCORPORATED (XNYS:PEG)</v>
    <v>2</v>
    <v>3</v>
    <v>Finance</v>
    <v>4</v>
    <v>en</v>
    <v>a1zo52</v>
    <v>268435456</v>
    <v>1</v>
    <v>Powered by Refinitiv</v>
    <v>91.254999999999995</v>
    <v>76</v>
    <v>0.54759999999999998</v>
    <v>-0.53</v>
    <v>-6.5639999999999995E-3</v>
    <v>0</v>
    <v>0</v>
    <v>USD</v>
    <v>Public Service Enterprise Group Incorporated is a regulated infrastructure company operating New Jersey’s transmission and distribution utility, serving approximately 2.4 million electric and 1.9 million natural gas customers. It also owns an independent fleet of 3,758 MW of carbon-free, baseload nuclear power generating units. The Company principally conducts its business through two direct wholly owned subsidiaries, Public Service Electric and Gas Company (PSE&amp;G) and PSEG Power LLC (PSEG Power). Its segments include PSE&amp;G and PSEG Power. PSE&amp;G segment is a public utility engaged principally in the transmission of electricity and distribution of electricity and natural gas in certain areas of New Jersey. PSEG Power is an energy supply company that consists of the operations of merchant nuclear generating assets and fuel supply functions engaged in competitive energy sales via its principal direct wholly owned subsidiaries. The Company also has other wholly owned subsidiaries.</v>
    <v>13189</v>
    <v>New York Stock Exchange</v>
    <v>XNYS</v>
    <v>XNYS</v>
    <v>Corporate Accounting Services, 80 Park Plaza, 9Th Floor, NEWARK, NJ, 07102-4194 US</v>
    <v>81.22</v>
    <v>Multiline Utilities</v>
    <v>Stock</v>
    <v>46139.863923182813</v>
    <v>1119</v>
    <v>80.19</v>
    <v>40003927379</v>
    <v>PUBLIC SERVICE ENTERPRISE GROUP INCORPORATED</v>
    <v>PUBLIC SERVICE ENTERPRISE GROUP INCORPORATED</v>
    <v>80.930000000000007</v>
    <v>19.140599999999999</v>
    <v>80.739999999999995</v>
    <v>80.209999999999994</v>
    <v>80.209999999999994</v>
    <v>498739900</v>
    <v>PEG</v>
    <v>PUBLIC SERVICE ENTERPRISE GROUP INCORPORATED (XNYS:PEG)</v>
    <v>1616885</v>
    <v>2650476</v>
    <v>1985</v>
  </rv>
  <rv s="2">
    <v>1120</v>
  </rv>
  <rv s="0">
    <v>https://www.bing.com/financeapi/forcetrigger?t=azx32w&amp;q=XNYS%3aAMRX&amp;form=skydnc</v>
    <v>Learn more on Bing</v>
  </rv>
  <rv s="1">
    <v>0</v>
    <v>AMNEAL PHARMACEUTICALS, INC. (XNAS:AMRX)</v>
    <v>2</v>
    <v>3</v>
    <v>Finance</v>
    <v>4</v>
    <v>en</v>
    <v>azx32w</v>
    <v>268435456</v>
    <v>1</v>
    <v>Powered by Refinitiv</v>
    <v>15.42</v>
    <v>7.02</v>
    <v>1.3149999999999999</v>
    <v>0.05</v>
    <v>3.9940000000000002E-3</v>
    <v>-0.13439999999999999</v>
    <v>-1.0692E-2</v>
    <v>USD</v>
    <v>Amneal Pharmaceuticals, Inc. is a global pharmaceutical company, which develops, manufactures, markets and distributes a portfolio of essential medicines. Its Affordable Medicines segment includes a portfolio of over 280 product families covering a range of dosage forms and delivery systems, including both immediate and extended-release oral solids, powders, liquids, sterile injectables, nasal sprays, inhalation and respiratory products, biosimilar products, ophthalmic, films, transdermal patches and topicals. Its Specialty segment is engaged in the development, promotion, sale and distribution of branded pharmaceutical products, with a focus on products addressing central nervous system disorders, including Parkinson’s disease and endocrine disorders. Its AvKARE segment provides pharmaceuticals, medical and surgical products and services primarily to governmental agencies, predominantly focused on the U.S. Department of Defense and the U.S. Department of Veterans Affairs.</v>
    <v>8500</v>
    <v>Nasdaq Stock Market</v>
    <v>XNAS</v>
    <v>XNAS</v>
    <v>400 Crossing Boulevard, 3rd Floor, BRIDGEWATER, NJ, 08807 US</v>
    <v>13.03</v>
    <v>Pharmaceuticals</v>
    <v>Stock</v>
    <v>46139.923100242966</v>
    <v>1122</v>
    <v>12.515000000000001</v>
    <v>4009853883</v>
    <v>AMNEAL PHARMACEUTICALS, INC.</v>
    <v>AMNEAL PHARMACEUTICALS, INC.</v>
    <v>12.57</v>
    <v>56.191299999999998</v>
    <v>12.52</v>
    <v>12.57</v>
    <v>12.435600000000001</v>
    <v>319001900</v>
    <v>AMRX</v>
    <v>AMNEAL PHARMACEUTICALS, INC. (XNAS:AMRX)</v>
    <v>1562815</v>
    <v>1784588</v>
    <v>2023</v>
  </rv>
  <rv s="2">
    <v>1123</v>
  </rv>
  <rv s="0">
    <v>https://www.bing.com/financeapi/forcetrigger?t=ajepp2&amp;q=XMIL%3aDIA&amp;form=skydnc</v>
    <v>Learn more on Bing</v>
  </rv>
  <rv s="5">
    <v>11</v>
    <v>DiaSorin SpA (XMIL:DIA)</v>
    <v>2</v>
    <v>12</v>
    <v>Finance</v>
    <v>13</v>
    <v>en</v>
    <v>ajepp2</v>
    <v>268435456</v>
    <v>1</v>
    <v>Powered by Refinitiv</v>
    <v>101.6</v>
    <v>52.34</v>
    <v>0.42309999999999998</v>
    <v>0.02</v>
    <v>3.344E-4</v>
    <v>EUR</v>
    <v>DiaSorin SpA is an Italy-based company engaged in healthcare industry. The Company specializes in provision of developing, producing and commercializing reagent kits for the in vitro diagnostics. The Company develops and manufactures reagents for in vitro diagnostics and produces products for the fields of infectious disease, hepatitis, endocrinology, bone &amp; mineral metabolism, cancer, brain injury, cardiac, therapeutic drug monitoring and autoimmunity. The Company’s business activities are divided into two markets. The Immunodiagnostics market develops, produces and markets immunoreagent kits, which are based on three techniques: Chemiluminescence (CLIA), Colorimetry (ELISA) and Radioimmunometry (RIA). The Molecular Diagnostics market supplies end laboratories with an automated result to perform the three steps for the final diagnostic result, including nucleic acids extraction, amplification and diagnosis. It operates through ELISA immunodiagnostic business portfolio.</v>
    <v>3272</v>
    <v>Borsa Italiana</v>
    <v>XMIL</v>
    <v>XMIL</v>
    <v>via Crescentino snc, SALUGGIA, VERCELLI, 13040 IT</v>
    <v>60.3</v>
    <v>Healthcare Equipment &amp; Supplies</v>
    <v>Stock</v>
    <v>46139.666666666664</v>
    <v>1125</v>
    <v>59.6</v>
    <v>4188287000</v>
    <v>DiaSorin SpA</v>
    <v>DiaSorin SpA</v>
    <v>59.78</v>
    <v>21.599399999999999</v>
    <v>59.8</v>
    <v>59.82</v>
    <v>55948260</v>
    <v>DIA</v>
    <v>DiaSorin SpA (XMIL:DIA)</v>
    <v>118828</v>
    <v>279620</v>
  </rv>
  <rv s="2">
    <v>1126</v>
  </rv>
  <rv s="0">
    <v>https://www.bing.com/financeapi/forcetrigger?t=a1yrar&amp;q=XNAS%3aNTAP&amp;form=skydnc</v>
    <v>Learn more on Bing</v>
  </rv>
  <rv s="1">
    <v>0</v>
    <v>NETAPP, INC. (XNAS:NTAP)</v>
    <v>2</v>
    <v>3</v>
    <v>Finance</v>
    <v>4</v>
    <v>en</v>
    <v>a1yrar</v>
    <v>268435456</v>
    <v>1</v>
    <v>Powered by Refinitiv</v>
    <v>126.66</v>
    <v>86.7</v>
    <v>1.2605</v>
    <v>-0.27</v>
    <v>-2.4840000000000001E-3</v>
    <v>-0.43</v>
    <v>-3.9649999999999998E-3</v>
    <v>USD</v>
    <v>NetApp, Inc. is an intelligent data infrastructure company combining unified data storage, integrated data, operational and workload services. It creates silo-free infrastructure, harnessing observability and AI to enable data management. Its operational and workload services provide continuous optimization of performance and efficiency for infrastructure and workloads through observability and AI. Its Hybrid Cloud segment provides a unified data storage portfolio of storage management and infrastructure solutions that helps customers modernize their data centers. Hybrid Cloud includes software, hardware, and related support, along with professional and other services. Its Public Cloud segment offers a portfolio of products delivered primarily as-a-service, including related support. This portfolio includes cloud storage, data services and operational services. These solutions and services are available in the public clouds, including Amazon AWS, Microsoft Azure, and Google Cloud.</v>
    <v>11700</v>
    <v>Nasdaq Stock Market</v>
    <v>XNAS</v>
    <v>XNAS</v>
    <v>3060 Olsen Drive, SAN JOSE, CA, 95128 US</v>
    <v>109.18</v>
    <v>Computers, Phones &amp; Household Electronics</v>
    <v>Stock</v>
    <v>46139.918747592186</v>
    <v>1128</v>
    <v>107.62</v>
    <v>21398508576</v>
    <v>NETAPP, INC.</v>
    <v>NETAPP, INC.</v>
    <v>108.52</v>
    <v>19.9221</v>
    <v>108.71</v>
    <v>108.44</v>
    <v>108.01</v>
    <v>197330400</v>
    <v>NTAP</v>
    <v>NETAPP, INC. (XNAS:NTAP)</v>
    <v>2176725</v>
    <v>2299343</v>
    <v>2001</v>
  </rv>
  <rv s="2">
    <v>1129</v>
  </rv>
  <rv s="0">
    <v>https://www.bing.com/financeapi/forcetrigger?t=a1teur&amp;q=XNAS%3aFTAI&amp;form=skydnc</v>
    <v>Learn more on Bing</v>
  </rv>
  <rv s="1">
    <v>0</v>
    <v>FTAI Aviation Ltd, (XNAS:FTAI)</v>
    <v>2</v>
    <v>3</v>
    <v>Finance</v>
    <v>5</v>
    <v>en</v>
    <v>a1teur</v>
    <v>268435456</v>
    <v>1</v>
    <v>Powered by Refinitiv</v>
    <v>323.51</v>
    <v>86.84</v>
    <v>1.4598</v>
    <v>-2.97</v>
    <v>-1.2755000000000001E-2</v>
    <v>-0.87</v>
    <v>-3.7850000000000002E-3</v>
    <v>USD</v>
    <v>FTAI Aviation Ltd. owns and maintains commercial jet engines with a focus on CFM56 and V2500 engines. Its segments include Aviation Leasing and Aerospace Products. The Aviation Leasing segment owns and manages aviation assets, including aircraft and aircraft engines, which it leases and sells to lessees and customers. The Aerospace Products segment, through its maintenance facilities, equity method investment and exclusivity arrangements, develops and manufactures, repairs/refurbishes and sells aircraft engines and aftermarket components for the CFM56-7B, CFM56-5B and V2500 commercial aircraft engines. Its propriety portfolio of products, including the Module Factory and a joint venture to manufacture engine PMA, enables it to provide cost savings and flexibility to its airline, lessor, and maintenance, repair, and operations customer base. It also owns and leases jet aircraft, which often facilitates the acquisition of engines. It owns and manages over 330 aviation assets.</v>
    <v>985</v>
    <v>Nasdaq Stock Market</v>
    <v>XNAS</v>
    <v>XNAS</v>
    <v>405 West 13Th Street, 3Rd Floor, NEW YORK, NY, 10014 US</v>
    <v>237.02</v>
    <v>Aerospace &amp; Defense</v>
    <v>Stock</v>
    <v>46139.927559606251</v>
    <v>1131</v>
    <v>229.02500000000001</v>
    <v>23581251316</v>
    <v>FTAI Aviation Ltd,</v>
    <v>FTAI Aviation Ltd,</v>
    <v>232.42</v>
    <v>50.460500000000003</v>
    <v>232.85</v>
    <v>229.88</v>
    <v>229.01</v>
    <v>102580700</v>
    <v>FTAI</v>
    <v>FTAI Aviation Ltd, (XNAS:FTAI)</v>
    <v>1260928</v>
    <v>1295921</v>
    <v>2011</v>
  </rv>
  <rv s="2">
    <v>1132</v>
  </rv>
  <rv s="0">
    <v>https://www.bing.com/financeapi/forcetrigger?t=a26dyc&amp;q=XNAS%3aYNDX&amp;form=skydnc</v>
    <v>Learn more on Bing</v>
  </rv>
  <rv s="1">
    <v>0</v>
    <v>Nebius Group NV (XNAS:NBIS)</v>
    <v>2</v>
    <v>3</v>
    <v>Finance</v>
    <v>5</v>
    <v>en</v>
    <v>a26dyc</v>
    <v>268435456</v>
    <v>1</v>
    <v>Powered by Refinitiv</v>
    <v>168.71</v>
    <v>21.450099999999999</v>
    <v>-12.19</v>
    <v>-2.2000000000000002</v>
    <v>-1.4950000000000001E-2</v>
    <v>0.24</v>
    <v>1.6559999999999999E-3</v>
    <v>USD</v>
    <v>Nebius Group NV is a Netherlands-based infrastructure company operating in the technology industry. The Company is engaged in developing a portfolio of artificial intelligence-related technology assets. It is involved in creating an artificial intelligence-centric player to integrate the essential elements of artificial intelligence development with infrastructure, data and advisory globally. It offers products and services such as a cloud platform for artificial intelligence-related workloads, development team services for autonomous vehicles, development of generative artificial intelligence. Nebius builds full-stack infrastructure to service the growth of the global AI industry, including GPU clusters, cloud platforms and tools and services for developers. Company is developing three other businesses that operate under their own brands: Toloka AI, TripleTen and Avride.</v>
    <v>1371</v>
    <v>Nasdaq Stock Market</v>
    <v>XNAS</v>
    <v>XNAS</v>
    <v>Schiphol Boulevard 165, SCHIPHOL, NOORD-HOLLAND, 1118BG NL</v>
    <v>148.80000000000001</v>
    <v>Professional &amp; Commercial Services</v>
    <v>Stock</v>
    <v>46139.934758402342</v>
    <v>1134</v>
    <v>138.56</v>
    <v>36677344320</v>
    <v>Nebius Group NV</v>
    <v>Nebius Group NV</v>
    <v>148.38999999999999</v>
    <v>870.10799999999995</v>
    <v>147.16</v>
    <v>144.96</v>
    <v>145.19999999999999</v>
    <v>253017000</v>
    <v>NBIS</v>
    <v>Nebius Group NV (XNAS:NBIS)</v>
    <v>14107398</v>
    <v>15791888</v>
    <v>2004</v>
  </rv>
  <rv s="2">
    <v>1135</v>
  </rv>
  <rv s="0">
    <v>https://www.bing.com/financeapi/forcetrigger?t=amfqpr&amp;q=BMEX%3aAENA&amp;form=skydnc</v>
    <v>Learn more on Bing</v>
  </rv>
  <rv s="3">
    <v>6</v>
    <v>Aena SME SA (BMEX:AENA)</v>
    <v>2</v>
    <v>7</v>
    <v>Finance</v>
    <v>8</v>
    <v>en</v>
    <v>amfqpr</v>
    <v>268435456</v>
    <v>1</v>
    <v>Powered by Refinitiv</v>
    <v>28.86</v>
    <v>21.48</v>
    <v>0.93759999999999999</v>
    <v>-0.26</v>
    <v>-1.0744E-2</v>
    <v>EUR</v>
    <v>Aena SME SA, formerly Aena SA, is a Spain-based company primarily engaged in the airports operation. Its activities are divided into four segments: Airports, which comprises Aeronautical subdivision, responsible for the management of airports, jetways, security, handling, cargo and fuel services, among others, as well as Commercial subdivision, including duty-free and specialty stores, restaurant services, car rental, as well as banking services and advertising; Services outside the terminal, which manages real estate assets, such as parking lots, warehouses and lands; International, which comprises operations of Company’s subsidiary, Aena Desarrollo Internacional SA, that invests in other airport owners principally in Mexico, Colombia and the United Kingdom; and Others, encompassing corporate activities. It manages tourism, hub and regional airports, as well as heliports and general aviation areas. Furthermore, its destination range comprises Europe, the Americas, Asia and Africa.</v>
    <v>11053</v>
    <v>Bolsas y Mercados Espanoles</v>
    <v>BMEX</v>
    <v>BMEX</v>
    <v>C/ Peonias, 12, MADRID, MADRID, 28042 ES</v>
    <v>24.26</v>
    <v>Transport Infrastructure</v>
    <v>Stock</v>
    <v>46139.666666666664</v>
    <v>1137</v>
    <v>23.9</v>
    <v>36840000000</v>
    <v>Aena SME SA</v>
    <v>Aena SME SA</v>
    <v>24.2</v>
    <v>16.987200000000001</v>
    <v>24.2</v>
    <v>23.94</v>
    <v>1500000000</v>
    <v>AENA</v>
    <v>Aena SME SA (BMEX:AENA)</v>
    <v>1340320</v>
    <v>1842900</v>
    <v>2011</v>
  </rv>
  <rv s="2">
    <v>1138</v>
  </rv>
  <rv s="0">
    <v>https://www.bing.com/financeapi/forcetrigger?t=ae8uhw&amp;q=XPAR%3aGTT&amp;form=skydnc</v>
    <v>Learn more on Bing</v>
  </rv>
  <rv s="3">
    <v>6</v>
    <v>Gaztransport et Technigaz SA (XPAR:GTT)</v>
    <v>2</v>
    <v>7</v>
    <v>Finance</v>
    <v>8</v>
    <v>en</v>
    <v>ae8uhw</v>
    <v>268435456</v>
    <v>1</v>
    <v>Powered by Refinitiv</v>
    <v>215</v>
    <v>136.30000000000001</v>
    <v>0.60760000000000003</v>
    <v>2.1</v>
    <v>1.0617000000000001E-2</v>
    <v>EUR</v>
    <v>Gaztransport et Technigaz SA is a France-based engineering company specialized in containment systems for the shipping and storage in cryogenic conditions of LNG (liquefied natural gas). It offers, together with its subsidiaries, consultancy services, engineering studies, assistance, operations support, membrane tanks maintenance services, digital solutions and training services, among others. The Company is working on new LNG containment technologies, as well as on solutions for use with other liquefied gases, technologies and engineering solutions for the offshore industry, multi-gas carriers, and small and midsize carriers. It also offers new applications for the growing market for LNG as a propulsion fuel. The Company runs its own test laboratory and is actively involved in research via its partnerships with engineering companies, research institutes, laboratories and universities.</v>
    <v>536</v>
    <v>Euronext Paris</v>
    <v>XPAR</v>
    <v>XPAR</v>
    <v>1 route de Versailles, ST-REMY-LES-CHEVREUSE, ILE-DE-FRANCE, 78470 FR</v>
    <v>201.6</v>
    <v>Oil &amp; Gas Related Equipment and Services</v>
    <v>Stock</v>
    <v>46139.666666666664</v>
    <v>1140</v>
    <v>197.7</v>
    <v>6265480000</v>
    <v>Gaztransport et Technigaz SA</v>
    <v>Gaztransport et Technigaz SA</v>
    <v>198</v>
    <v>17.721800000000002</v>
    <v>197.8</v>
    <v>199.9</v>
    <v>37117770</v>
    <v>GTT</v>
    <v>Gaztransport et Technigaz SA (XPAR:GTT)</v>
    <v>59394</v>
    <v>97190</v>
    <v>1984</v>
  </rv>
  <rv s="2">
    <v>1141</v>
  </rv>
  <rv s="0">
    <v>https://www.bing.com/financeapi/forcetrigger?t=bwve27&amp;q=XNYS%3aRBLX&amp;form=skydnc</v>
    <v>Learn more on Bing</v>
  </rv>
  <rv s="1">
    <v>0</v>
    <v>ROBLOX CORPORATION (XNYS:RBLX)</v>
    <v>2</v>
    <v>3</v>
    <v>Finance</v>
    <v>5</v>
    <v>en</v>
    <v>bwve27</v>
    <v>268435456</v>
    <v>1</v>
    <v>Powered by Refinitiv</v>
    <v>150.59</v>
    <v>51.23</v>
    <v>1.5276000000000001</v>
    <v>1.43</v>
    <v>2.5495E-2</v>
    <v>0.14000000000000001</v>
    <v>2.434E-3</v>
    <v>USD</v>
    <v>Roblox Corporation operates a platform for connection and communication (Roblox Platform), where every day, people come to create, play, work, learn, and connect with each other in experiences built by its global community of creators. The Company’s platform consists of the Roblox Client, the Roblox Studio, and the Roblox Cloud. Roblox Client is an application that allows users to seamlessly explore 3D immersive experiences. Roblox Studio is the free toolset that allows developers and creators to build, publish, and operate three-dimensional (3D) immersive experiences and other content accessed with the Roblox Client. Roblox Cloud includes the services and infrastructure that power its Platform. The Company operates the Roblox Platform as a live service that allows users to play and socialize with others for free. The Company offers developers and creators the ability to build engaging, immersive experiences and marketplace items that they can easily share with the Roblox community.</v>
    <v>3065</v>
    <v>New York Stock Exchange</v>
    <v>XNYS</v>
    <v>XNYS</v>
    <v>3150 South Delaware Street, SAN MATEO, CA, 94403 US</v>
    <v>57.86</v>
    <v>Software &amp; IT Services</v>
    <v>Stock</v>
    <v>46139.934775138281</v>
    <v>1143</v>
    <v>55.45</v>
    <v>41172534152</v>
    <v>ROBLOX CORPORATION</v>
    <v>ROBLOX CORPORATION</v>
    <v>55.725000000000001</v>
    <v>0</v>
    <v>56.09</v>
    <v>57.52</v>
    <v>57.66</v>
    <v>715795100</v>
    <v>RBLX</v>
    <v>ROBLOX CORPORATION (XNYS:RBLX)</v>
    <v>7347357</v>
    <v>8503064</v>
    <v>2025</v>
  </rv>
  <rv s="2">
    <v>1144</v>
  </rv>
  <rv s="0">
    <v>https://www.bing.com/financeapi/forcetrigger?t=ajeqr7&amp;q=XMIL%3aDOV&amp;form=skydnc</v>
    <v>Learn more on Bing</v>
  </rv>
  <rv s="5">
    <v>11</v>
    <v>Dovalue SpA (XMIL:DOV)</v>
    <v>2</v>
    <v>12</v>
    <v>Finance</v>
    <v>13</v>
    <v>en</v>
    <v>ajeqr7</v>
    <v>268435456</v>
    <v>1</v>
    <v>Powered by Refinitiv</v>
    <v>3.37</v>
    <v>1.76</v>
    <v>1.5954999999999999</v>
    <v>-5.8000000000000003E-2</v>
    <v>-2.4226999999999999E-2</v>
    <v>EUR</v>
    <v>doValue SpA, formerly known as doBank SpA, is an Italy-based financial company. It provides services for the management of loans and real estate assets, primarily non-performing receivables, for banks, investors and public and private financial institutions. Its offering includes Servicing, Ancillary Services and Real Estate Services. Servicing includes debt collection and loan recovery, management of lease payments, due diligence, structuring, and co-investment. Ancillary Services provides ancillary services of commercial, property and legal nature through other companies or internal structures. Real Estate Services offers auction facilitation, borrower cooperation agreement, repossess real estate valuations, real estate valuations and technical and professional services, among others. The Company focuses on southern Europe.</v>
    <v>3365</v>
    <v>Borsa Italiana</v>
    <v>XMIL</v>
    <v>XMIL</v>
    <v>Viale del Commercio, 47, VERONA, VERONA, 37135 IT</v>
    <v>2.4260000000000002</v>
    <v>Banking Services</v>
    <v>Stock</v>
    <v>46139.666666666664</v>
    <v>1146</v>
    <v>2.3239999999999998</v>
    <v>565097200</v>
    <v>Dovalue SpA</v>
    <v>Dovalue SpA</v>
    <v>2.4260000000000002</v>
    <v>0</v>
    <v>2.3940000000000001</v>
    <v>2.3359999999999999</v>
    <v>190140400</v>
    <v>DOV</v>
    <v>Dovalue SpA (XMIL:DOV)</v>
    <v>382745</v>
    <v>1088030</v>
  </rv>
  <rv s="2">
    <v>1147</v>
  </rv>
  <rv s="0">
    <v>https://www.bing.com/financeapi/forcetrigger?t=a1nwur&amp;q=XNAS%3aATRC&amp;form=skydnc</v>
    <v>Learn more on Bing</v>
  </rv>
  <rv s="1">
    <v>0</v>
    <v>ATRICURE, INC. (XNAS:ATRC)</v>
    <v>2</v>
    <v>3</v>
    <v>Finance</v>
    <v>4</v>
    <v>en</v>
    <v>a1nwur</v>
    <v>268435456</v>
    <v>1</v>
    <v>Powered by Refinitiv</v>
    <v>43.18</v>
    <v>27.06</v>
    <v>1.3240000000000001</v>
    <v>-0.24</v>
    <v>-8.1969999999999994E-3</v>
    <v>0</v>
    <v>0</v>
    <v>USD</v>
    <v>AtriCure, Inc. provides technologies for the treatment for atrial fibrillation (Afib), left atrial appendage (LAA) management and post-operative pain management. The Company's cardiac ablation and left atrial appendage management (LAAM) products are used by physicians during open-heart and minimally invasive surgical procedures. Its pain management solutions are used by physicians to freeze nerves during cardiothoracic or thoracic surgical procedures. The Company's products for open and minimally invasive ablation include Isolator Synergy Clamps and Multifunctional Pens and Linear Ablation Devices. Its products for open ablation include cryoICE Cryoablation System. Its products for minimally invasive ablation include EPi-Sense Guided Coagulation System with VisiTrax Technology. Its appendage management products include AtriClip System. The Isolator Synergy Ablation System clamps are single-use disposable radio frequency (RF) products with jaws that close in a parallel fashion.</v>
    <v>1350</v>
    <v>Nasdaq Stock Market</v>
    <v>XNAS</v>
    <v>XNAS</v>
    <v>7555 Innovation Way, MASON, OH, 45040 US</v>
    <v>29.765000000000001</v>
    <v>Healthcare Equipment &amp; Supplies</v>
    <v>Stock</v>
    <v>46139.873568437499</v>
    <v>1149</v>
    <v>28.674099999999999</v>
    <v>1470434882</v>
    <v>ATRICURE, INC.</v>
    <v>ATRICURE, INC.</v>
    <v>29.12</v>
    <v>0</v>
    <v>29.28</v>
    <v>29.04</v>
    <v>29.04</v>
    <v>50634810</v>
    <v>ATRC</v>
    <v>ATRICURE, INC. (XNAS:ATRC)</v>
    <v>641664</v>
    <v>651511</v>
    <v>2000</v>
  </rv>
  <rv s="2">
    <v>1150</v>
  </rv>
  <rv s="0">
    <v>https://www.bing.com/financeapi/forcetrigger?t=ayam52&amp;q=XNYS%3aLBRT&amp;form=skydnc</v>
    <v>Learn more on Bing</v>
  </rv>
  <rv s="1">
    <v>0</v>
    <v>LIBERTY ENERGY INC. (XNYS:LBRT)</v>
    <v>2</v>
    <v>3</v>
    <v>Finance</v>
    <v>5</v>
    <v>en</v>
    <v>ayam52</v>
    <v>268435456</v>
    <v>1</v>
    <v>Powered by Refinitiv</v>
    <v>33.5</v>
    <v>9.9</v>
    <v>0.54259999999999997</v>
    <v>0.1</v>
    <v>3.0539999999999999E-3</v>
    <v>0.15</v>
    <v>4.5659999999999997E-3</v>
    <v>USD</v>
    <v>Liberty Energy Inc. is an energy services company. The Company is a provider of completion services and technologies to onshore oil, natural gas, and enhanced geothermal energy producers in North America. It also owns and operates Liberty Power Innovations LLC, providing advanced distributed power and energy storage solutions for the commercial and industrial, data center, energy, and mining industries. It provides hydraulic fracturing services and related technologies to onshore oil and natural gas exploration and production (E&amp;P) companies. It offers customers hydraulic fracturing services, together with complementary services including wireline services, proppant delivery solutions, field gas processing and treating, compressed natural gas (CNG) delivery, data analytics, related goods (including its sand mine operations), and technologies to facilitate lower emission completions. The Company’s areas of operations are in all the active shale basins in North America.</v>
    <v>5800</v>
    <v>New York Stock Exchange</v>
    <v>XNYS</v>
    <v>XNYS</v>
    <v>950 17th St Ste 2400, DENVER, CO, 80202 US</v>
    <v>33.5</v>
    <v>Oil &amp; Gas Related Equipment and Services</v>
    <v>Stock</v>
    <v>46139.93493215234</v>
    <v>1152</v>
    <v>32.32</v>
    <v>5359205576</v>
    <v>LIBERTY ENERGY INC.</v>
    <v>LIBERTY ENERGY INC.</v>
    <v>33.380000000000003</v>
    <v>35.863300000000002</v>
    <v>32.74</v>
    <v>32.840000000000003</v>
    <v>33</v>
    <v>163191400</v>
    <v>LBRT</v>
    <v>LIBERTY ENERGY INC. (XNYS:LBRT)</v>
    <v>5917427</v>
    <v>4683279</v>
    <v>2016</v>
  </rv>
  <rv s="2">
    <v>1153</v>
  </rv>
  <rv s="0">
    <v>https://www.bing.com/financeapi/forcetrigger?t=a1qoa2&amp;q=XNAS%3aCYBR&amp;form=skydnc</v>
    <v>Learn more on Bing</v>
  </rv>
  <rv s="27">
    <v>57</v>
    <v>CYBERARK SOFTWARE LTD. (XNAS:CYBR)</v>
    <v>2</v>
    <v>58</v>
    <v>Finance</v>
    <v>59</v>
    <v>en</v>
    <v>a1qoa2</v>
    <v>268435456</v>
    <v>1</v>
    <v>1</v>
    <v>Powered by Refinitiv</v>
    <v>526.19000000000005</v>
    <v>288.63</v>
    <v>0.93400000000000005</v>
    <v>0</v>
    <v>0</v>
    <v>USD</v>
    <v>CyberArk Software Ltd is an Israel-based provider of information technology (IT) security solutions that protect organizations from cyber-attacks. The Company's software solutions are focused on protecting privileged accounts, which have become a critical target in the lifecycle of cyber-attacks. The Company's Privileged Account Security Solution consists of various products, such as Shares Technology Platform, Enterprise Password Vault, SSH Key Manager, Privileged Session Manager, Privileged Threat Analytics, Application Identity Manager, CyberArk-Conjur, Endpoint Privilege Manager and On-Demand Privileges Manager. The Company's products protect against external and internal cyber threats and enable detection and neutralization of attacks. The Company's Enterprise Password Vault provides customers with a tool to manage and protect all privileged accounts across an entire organization, including physical, virtual, or cloud-based assets.</v>
    <v>3793</v>
    <v>Nasdaq Stock Market</v>
    <v>XNAS</v>
    <v>XNAS</v>
    <v>9 Hapsagot St. Park Ofer 2, P.O. Box 3143, PETAH TIKVA, 4951040 IL</v>
    <v>413.73</v>
    <v>Software &amp; IT Services</v>
    <v>Stock</v>
    <v>46064.012179247657</v>
    <v>1155</v>
    <v>405.96</v>
    <v>20637501007</v>
    <v>CYBERARK SOFTWARE LTD.</v>
    <v>CYBERARK SOFTWARE LTD.</v>
    <v>410.49</v>
    <v>0</v>
    <v>409.22</v>
    <v>408.85</v>
    <v>50476950</v>
    <v>CYBR</v>
    <v>CYBERARK SOFTWARE LTD. (XNAS:CYBR)</v>
    <v>8285050</v>
    <v>1085816</v>
    <v>1996</v>
  </rv>
  <rv s="2">
    <v>1156</v>
  </rv>
  <rv s="0">
    <v>https://www.bing.com/financeapi/forcetrigger?t=ae9qim&amp;q=XPAR%3aOR&amp;form=skydnc</v>
    <v>Learn more on Bing</v>
  </rv>
  <rv s="3">
    <v>6</v>
    <v>L'Oreal SA (XPAR:OR)</v>
    <v>2</v>
    <v>7</v>
    <v>Finance</v>
    <v>8</v>
    <v>en</v>
    <v>ae9qim</v>
    <v>268435456</v>
    <v>1</v>
    <v>Powered by Refinitiv</v>
    <v>408.35</v>
    <v>338.85</v>
    <v>0.97050000000000003</v>
    <v>-3.65</v>
    <v>-9.6699999999999998E-3</v>
    <v>EUR</v>
    <v>L'Oreal SA is a France-based cosmetic group company. The Company is predominantly engaged and offers skin care products, makeup products, hair care products, perfumes, colouring products and others. Its products are marketed through mass distribution and distance selling, selective distribution, hair salons and pharmacies. Its cosmetics division is organized into four divisions, consumer cosmetics: brands L'Oral paris, Garnier, Maybelline New York and NYX professional makeup, Stylenanda, Essie and Mixa, luxury cosmetics: Lancome, Kiehl's, Giorgio Armani Beauty, Yves Saint Laurent Beaute, Biotherm, Helena Rubinstein, Shu Uemura, IT Cosmetics, Urban Decay, Ralph Lauren, Mugler, Viktor&amp;Rolf, Valentino, Azzaro, Prada, Takami and Aesop, active cosmetic products : La Roche-Posay, Vichy, CeraVe, SkinCeuticals and Skinbetter Science and professional products : L'Oreal Professionnel, Kerastase, Redken, Matrix and PureOlogy.</v>
    <v>94610</v>
    <v>Euronext Paris</v>
    <v>XPAR</v>
    <v>XPAR</v>
    <v>14, rue Royale, PARIS, ILE-DE-FRANCE, 75008 FR</v>
    <v>379.9</v>
    <v>Personal &amp; Household Products &amp; Services</v>
    <v>Stock</v>
    <v>46139.666666666664</v>
    <v>1158</v>
    <v>373.2</v>
    <v>208922700000</v>
    <v>L'Oreal SA</v>
    <v>L'Oreal SA</v>
    <v>375.2</v>
    <v>32.879800000000003</v>
    <v>377.45</v>
    <v>373.8</v>
    <v>533783000</v>
    <v>OR</v>
    <v>L'Oreal SA (XPAR:OR)</v>
    <v>345150</v>
    <v>557940</v>
    <v>1963</v>
  </rv>
  <rv s="2">
    <v>1159</v>
  </rv>
  <rv s="0">
    <v>https://www.bing.com/financeapi/forcetrigger?t=a1uypr&amp;q=XNYS%3aHUBS&amp;form=skydnc</v>
    <v>Learn more on Bing</v>
  </rv>
  <rv s="1">
    <v>0</v>
    <v>HUBSPOT, INC. (XNYS:HUBS)</v>
    <v>2</v>
    <v>3</v>
    <v>Finance</v>
    <v>4</v>
    <v>en</v>
    <v>a1uypr</v>
    <v>268435456</v>
    <v>1</v>
    <v>Powered by Refinitiv</v>
    <v>682.56500000000005</v>
    <v>187.45</v>
    <v>1.2513000000000001</v>
    <v>1.75</v>
    <v>7.8359999999999992E-3</v>
    <v>-1.7944</v>
    <v>-7.9730000000000009E-3</v>
    <v>USD</v>
    <v>HubSpot, Inc. provides a customer platform that helps businesses connect and grow better. The Company delivers seamless connection for customer-facing teams with a unified platform that includes artificial intelligence (AI)-powered engagement hubs, a Smart CRM, and a connected ecosystem with over 1,700 app marketplace integrations, a community network, and educational content. Its AI-powered engagement hubs include Marketing, Sales, Service, Operations, Content, and Commerce, as well as other tools and integrations that enable companies to attract, engage, and delight customers throughout the customer lifecycle. Its customer platform features a central database of lead and customer interactions, and integrated applications designed to help businesses attract visitors to their websites, convert visitors into leads, close leads into customers, transact with those customers, and delight them so they become promoters of those businesses. Breeze is its AI that powers the customer platform.</v>
    <v>8882</v>
    <v>New York Stock Exchange</v>
    <v>XNYS</v>
    <v>XNYS</v>
    <v>2 Canal Park, CAMBRIDGE, MA, 02141 US</v>
    <v>232.59</v>
    <v>Software &amp; IT Services</v>
    <v>Stock</v>
    <v>46139.920167603908</v>
    <v>1161</v>
    <v>221.84</v>
    <v>11870313337</v>
    <v>HUBSPOT, INC.</v>
    <v>HUBSPOT, INC.</v>
    <v>226.05</v>
    <v>275.6859</v>
    <v>223.32</v>
    <v>225.07</v>
    <v>223.2756</v>
    <v>52740540</v>
    <v>HUBS</v>
    <v>HUBSPOT, INC. (XNYS:HUBS)</v>
    <v>913624</v>
    <v>1501634</v>
    <v>2005</v>
  </rv>
  <rv s="2">
    <v>1162</v>
  </rv>
  <rv s="0">
    <v>https://www.bing.com/financeapi/forcetrigger?t=a24jvh&amp;q=XNAS%3aTSCO&amp;form=skydnc</v>
    <v>Learn more on Bing</v>
  </rv>
  <rv s="1">
    <v>0</v>
    <v>TRACTOR SUPPLY COMPANY (XNAS:TSCO)</v>
    <v>2</v>
    <v>3</v>
    <v>Finance</v>
    <v>5</v>
    <v>en</v>
    <v>a24jvh</v>
    <v>268435456</v>
    <v>1</v>
    <v>Powered by Refinitiv</v>
    <v>63.989899999999999</v>
    <v>35.51</v>
    <v>0.54710000000000003</v>
    <v>-1.095</v>
    <v>-2.9804000000000001E-2</v>
    <v>0.05</v>
    <v>1.4019999999999998E-3</v>
    <v>USD</v>
    <v>Tractor Supply Company is a rural lifestyle retailer in the United States. The Company is focused on supplying the needs of recreational farmers and ranchers. It operates retail stores under the names Tractor Supply Company and Petsense by Tractor Supply. Its stores are located in towns outlying various metropolitan markets and in rural communities. It also offers an expanded assortment of products through the Tractor Supply mobile application and online at TractorSupply.com and Petsense.com. The Company's selection of merchandise consists of various product categories, including livestock, equine and agriculture; companion animal; seasonal and recreation; truck, tool, and hardware, and clothing, gift, and decor. Its brands consist of 4health, American Farmworks, Bit &amp; Bridle, Blue Mountain, C.E. Schmidt, Country Lane, Countyline, Country Tuff, Dumor, Farm Table, Groundwork, Huskee, and JobSmart.</v>
    <v>26000</v>
    <v>Nasdaq Stock Market</v>
    <v>XNAS</v>
    <v>XNAS</v>
    <v>5401 Virginia Way, BRENTWOOD, TN, 37027 US</v>
    <v>36.965000000000003</v>
    <v>Specialty Retailers</v>
    <v>Stock</v>
    <v>46139.934273240622</v>
    <v>1164</v>
    <v>35.51</v>
    <v>18749494563</v>
    <v>TRACTOR SUPPLY COMPANY</v>
    <v>TRACTOR SUPPLY COMPANY</v>
    <v>36.814999999999998</v>
    <v>17.5108</v>
    <v>36.74</v>
    <v>35.645000000000003</v>
    <v>35.72</v>
    <v>526006300</v>
    <v>TSCO</v>
    <v>TRACTOR SUPPLY COMPANY (XNAS:TSCO)</v>
    <v>13112245</v>
    <v>7928990</v>
    <v>1982</v>
  </rv>
  <rv s="2">
    <v>1165</v>
  </rv>
  <rv s="0">
    <v>https://www.bing.com/financeapi/forcetrigger?t=c3ab27&amp;q=XNYS%3aCWAN&amp;form=skydnc</v>
    <v>Learn more on Bing</v>
  </rv>
  <rv s="1">
    <v>0</v>
    <v>CLEARWATER ANALYTICS HOLDINGS, INC. (XNYS:CWAN)</v>
    <v>2</v>
    <v>3</v>
    <v>Finance</v>
    <v>5</v>
    <v>en</v>
    <v>c3ab27</v>
    <v>268435456</v>
    <v>1</v>
    <v>Powered by Refinitiv</v>
    <v>25.068999999999999</v>
    <v>15.734999999999999</v>
    <v>0.60780000000000001</v>
    <v>-1.4999999999999999E-2</v>
    <v>-6.2109999999999997E-4</v>
    <v>0.01</v>
    <v>4.1439999999999999E-4</v>
    <v>USD</v>
    <v>Clearwater Analytics Holdings, Inc. is a provider of comprehensive cloud-native platforms for institutional investors across global public and private markets. The Company’s single-instance, multi-tenant architecture delivers real-time data and artificial intelligence (AI)-driven insights throughout the investment lifecycle. The platform eliminates information silos by integrating portfolio management, trading, investment accounting, reconciliation, regulatory reporting, performance, compliance, and risk analytics in one unified system. The Company serves insurers, asset managers, hedge funds, banks, corporations, and governments. The Company is also a provider of enterprise risk analytics and developer infrastructure. Its capabilities in complex portfolio management across both public and private markets include structured products, private credit, and derivatives.</v>
    <v>3000</v>
    <v>New York Stock Exchange</v>
    <v>XNYS</v>
    <v>XNYS</v>
    <v>777 W. Main Street, Suite 900, Suite 900, BOISE, ID, 83702 US</v>
    <v>24.1799</v>
    <v>Software &amp; IT Services</v>
    <v>Stock</v>
    <v>46139.926225358591</v>
    <v>1167</v>
    <v>24.13</v>
    <v>7201616101</v>
    <v>CLEARWATER ANALYTICS HOLDINGS, INC.</v>
    <v>CLEARWATER ANALYTICS HOLDINGS, INC.</v>
    <v>24.16</v>
    <v>0</v>
    <v>24.15</v>
    <v>24.135000000000002</v>
    <v>24.14</v>
    <v>298388900</v>
    <v>CWAN</v>
    <v>CLEARWATER ANALYTICS HOLDINGS, INC. (XNYS:CWAN)</v>
    <v>2959815</v>
    <v>4287262</v>
    <v>2021</v>
  </rv>
  <rv s="2">
    <v>1168</v>
  </rv>
  <rv s="0">
    <v>https://www.bing.com/financeapi/forcetrigger?t=a1zo7w&amp;q=XNAS%3aPEGA&amp;form=skydnc</v>
    <v>Learn more on Bing</v>
  </rv>
  <rv s="1">
    <v>0</v>
    <v>PEGASYSTEMS INC. (XNAS:PEGA)</v>
    <v>2</v>
    <v>3</v>
    <v>Finance</v>
    <v>5</v>
    <v>en</v>
    <v>a1zo7w</v>
    <v>268435456</v>
    <v>1</v>
    <v>Powered by Refinitiv</v>
    <v>68.099999999999994</v>
    <v>34.335000000000001</v>
    <v>0.91290000000000004</v>
    <v>-0.56000000000000005</v>
    <v>-1.5001E-2</v>
    <v>-1.17E-2</v>
    <v>-3.1820000000000004E-4</v>
    <v>USD</v>
    <v>Pegasystems Inc. is an enterprise transformation company that helps organizations Build for Change with enterprise artificial intelligence (AI) decisioning and workflow automation. It develops, markets, licenses, hosts and supports enterprise software that helps organizations make decisions and processes in real-time. Its platform for enterprise AI decisioning and workflow automation enables clients to personalize customer experiences, automate customer service, and streamline operations, business processes, and workflows. Its Pega Infinity is a software portfolio. Its applications and platform intersect with and encompass several software markets, including Customer Relationship Management, Digital Process Automation, Low-code application development platforms, Robotic Process Automation, Business Rules Management Systems, and Decision Management. Pega Platform, software for AI-powered workflow automation, boosts the efficiency of its clients’ processes and operational workflow.</v>
    <v>5598</v>
    <v>Nasdaq Stock Market</v>
    <v>XNAS</v>
    <v>XNAS</v>
    <v>225 Wyman Street, WALTHAM, MA, 02451 US</v>
    <v>37.79</v>
    <v>Software &amp; IT Services</v>
    <v>Stock</v>
    <v>46139.934096006247</v>
    <v>1170</v>
    <v>36.06</v>
    <v>6164769952</v>
    <v>PEGASYSTEMS INC.</v>
    <v>PEGASYSTEMS INC.</v>
    <v>37.130000000000003</v>
    <v>20.070799999999998</v>
    <v>37.33</v>
    <v>36.770000000000003</v>
    <v>36.758299999999998</v>
    <v>167657600</v>
    <v>PEGA</v>
    <v>PEGASYSTEMS INC. (XNAS:PEGA)</v>
    <v>2509686</v>
    <v>2328334</v>
    <v>1983</v>
  </rv>
  <rv s="2">
    <v>1171</v>
  </rv>
  <rv s="0">
    <v>https://www.bing.com/financeapi/forcetrigger?t=a1nkm7&amp;q=XNYS%3aAOS&amp;form=skydnc</v>
    <v>Learn more on Bing</v>
  </rv>
  <rv s="1">
    <v>0</v>
    <v>A. O. SMITH CORPORATION (XNYS:AOS)</v>
    <v>2</v>
    <v>3</v>
    <v>Finance</v>
    <v>4</v>
    <v>en</v>
    <v>a1nkm7</v>
    <v>268435456</v>
    <v>1</v>
    <v>Powered by Refinitiv</v>
    <v>81.864999999999995</v>
    <v>62.14</v>
    <v>1.2612000000000001</v>
    <v>0.3</v>
    <v>4.6600000000000001E-3</v>
    <v>0</v>
    <v>0</v>
    <v>USD</v>
    <v>A. O. Smith Corporation applies technologies and solutions to products manufactured and marketed worldwide. The Company operates through two segments: North America and Rest of World. Both the segments manufacture and market a comprehensive line of residential and commercial gas and electric water heaters, boilers, tanks, and water treatment products. Its Rest of World segment is primarily comprised of China, Europe, and India. The North America segment serves residential and commercial end markets with a range of products, including water heaters, boilers, water treatment products, and others. The Company also manufactures expansion tanks, commercial solar water heating systems, swimming pool and spa heaters, related products and parts. Its Lochinvar brand is a residential and commercial boiler brand in the United States. Its water softener branded products and problem well water solutions include the Hague, Water-Right, Master Water, Atlantic Filter, Impact, and Water Tec brands.</v>
    <v>11500</v>
    <v>New York Stock Exchange</v>
    <v>XNYS</v>
    <v>XNYS</v>
    <v>11270 W Park Pl, MILWAUKEE, WI, 53224-3623 US</v>
    <v>65.262500000000003</v>
    <v>Machinery, Equipment &amp; Components</v>
    <v>Stock</v>
    <v>46139.862498726565</v>
    <v>1173</v>
    <v>64.180000000000007</v>
    <v>8941350264</v>
    <v>A. O. SMITH CORPORATION</v>
    <v>A. O. SMITH CORPORATION</v>
    <v>64.63</v>
    <v>16.733899999999998</v>
    <v>64.38</v>
    <v>64.680000000000007</v>
    <v>64.680000000000007</v>
    <v>138239800</v>
    <v>AOS</v>
    <v>A. O. SMITH CORPORATION (XNYS:AOS)</v>
    <v>1354105</v>
    <v>1471014</v>
    <v>1986</v>
  </rv>
  <rv s="2">
    <v>1174</v>
  </rv>
  <rv s="0">
    <v>https://www.bing.com/financeapi/forcetrigger?t=a228f2&amp;q=XNAS%3aRPRX&amp;form=skydnc</v>
    <v>Learn more on Bing</v>
  </rv>
  <rv s="1">
    <v>0</v>
    <v>ROYALTY PHARMA PLC (XNAS:RPRX)</v>
    <v>2</v>
    <v>3</v>
    <v>Finance</v>
    <v>4</v>
    <v>en</v>
    <v>a228f2</v>
    <v>268435456</v>
    <v>1</v>
    <v>Powered by Refinitiv</v>
    <v>50.075000000000003</v>
    <v>31.97</v>
    <v>0.3866</v>
    <v>0.27</v>
    <v>5.4679999999999998E-3</v>
    <v>0</v>
    <v>0</v>
    <v>USD</v>
    <v>Royalty Pharma plc is a buyer of biopharmaceutical royalties and a funder of innovation across the biopharmaceutical industry. It collaborates with innovators from academic institutions, research hospitals and non-profits from small and mid-cap biotechnology companies to global pharmaceutical companies. It funds innovation in the biopharmaceutical industry both directly and indirectly. Directly when it partners with companies to co-fund late-stage clinical trials and new product launches in exchange for future royalties. Indirectly when it acquires existing royalties from the original innovators. Its portfolio includes royalties on more than 35 commercial products, including Vertex’s Trikafta and Alyftrek, Johnson &amp; Johnson’s Tremfya, GSK’s Trelegy, Roche’s Evrysdi, Servier’s Voranigo, Biogen’s Tysabri and Spinraza, AbbVie and Johnson &amp; Johnson’s Imbruvica, Astellas and Pfizer’s Xtandi, and Gilead’s Trodelvy, among others, and 20 development-stage product candidates.</v>
    <v>100</v>
    <v>Nasdaq Stock Market</v>
    <v>XNAS</v>
    <v>XNAS</v>
    <v>110 East 59th Street, NEW YORK, NY, 10022 US</v>
    <v>50.06</v>
    <v>Pharmaceuticals</v>
    <v>Stock</v>
    <v>46139.92339335625</v>
    <v>1176</v>
    <v>49.3</v>
    <v>28644931980</v>
    <v>ROYALTY PHARMA PLC</v>
    <v>ROYALTY PHARMA PLC</v>
    <v>49.3</v>
    <v>27.812000000000001</v>
    <v>49.38</v>
    <v>49.65</v>
    <v>49.65</v>
    <v>576937200</v>
    <v>RPRX</v>
    <v>ROYALTY PHARMA PLC (XNAS:RPRX)</v>
    <v>4114248</v>
    <v>3040833</v>
    <v>2020</v>
  </rv>
  <rv s="2">
    <v>1177</v>
  </rv>
  <rv s="0">
    <v>https://www.bing.com/financeapi/forcetrigger?t=af7stc&amp;q=XFRA%3aMBG&amp;form=skydnc</v>
    <v>Learn more on Bing</v>
  </rv>
  <rv s="3">
    <v>6</v>
    <v>Mercedes-Benz Group AG (XFRA:MBG)</v>
    <v>2</v>
    <v>7</v>
    <v>Finance</v>
    <v>8</v>
    <v>en</v>
    <v>af7stc</v>
    <v>268435456</v>
    <v>1</v>
    <v>Powered by Refinitiv</v>
    <v>91.52</v>
    <v>21.055</v>
    <v>0.90229999999999999</v>
    <v>-0.44500000000000001</v>
    <v>-8.8699999999999994E-3</v>
    <v>EUR</v>
    <v>Mercedes-Benz Group AG, formerly Daimler AG (Daimler), is a Germany-based automotive engineering company. The Company engages in the development, production and distribution of cars and vans in Germany. The segments include Mercedes-Benz Cars, Mercedes-Benz Vans and Mercedes-Benz Financial Services. The Mercedes-Benz Cars segment includes vehicles of the Mercedes-Benz brand, Mercedes-AMG and Mercedes-Maybach, as well as the G-Class product brand. The Mercedes-Benz Vans sells vans under the brand name Mercedes-Benz, as well as corresponding spare parts and accessories. The Mercedes-Benz Financial Services segment supports the sales of the Mercedes-Benz Group’s automotive brands worldwide. The Company's product range primarily includes leasing and financing contracts for end customers and dealers, insurance services and subscription and rental models as well as fleet management services for business customers.</v>
    <v>152528</v>
    <v>Deutsche Boerse AG</v>
    <v>XFRA</v>
    <v>XFRA</v>
    <v>Mercedesstrasse 120, STUTTGART, BADEN-WUERTTEMBERG, 70372 DE</v>
    <v>50.11</v>
    <v>Automobiles &amp; Auto Parts</v>
    <v>Stock</v>
    <v>46139.836805555555</v>
    <v>1179</v>
    <v>49.325000000000003</v>
    <v>57639410000</v>
    <v>Mercedes-Benz Group AG</v>
    <v>Mercedes-Benz Group AG</v>
    <v>50.11</v>
    <v>9.4600000000000009</v>
    <v>50.17</v>
    <v>49.725000000000001</v>
    <v>962903700</v>
    <v>MBG</v>
    <v>Mercedes-Benz Group AG (XFRA:MBG)</v>
    <v>8177</v>
    <v>3269450</v>
    <v>1998</v>
  </rv>
  <rv s="2">
    <v>1180</v>
  </rv>
  <rv s="0">
    <v>https://www.bing.com/financeapi/forcetrigger?t=a21uim&amp;q=XNAS%3aREGN&amp;form=skydnc</v>
    <v>Learn more on Bing</v>
  </rv>
  <rv s="1">
    <v>0</v>
    <v>REGENERON PHARMACEUTICALS, INC. (XNAS:REGN)</v>
    <v>2</v>
    <v>3</v>
    <v>Finance</v>
    <v>4</v>
    <v>en</v>
    <v>a21uim</v>
    <v>268435456</v>
    <v>1</v>
    <v>Powered by Refinitiv</v>
    <v>821.11</v>
    <v>476.48689999999999</v>
    <v>0.3468</v>
    <v>-7.13</v>
    <v>-9.4870000000000006E-3</v>
    <v>1.06</v>
    <v>1.4239999999999999E-3</v>
    <v>USD</v>
    <v>Regeneron Pharmaceuticals, Inc. is a fully integrated biotechnology company. The Company invents, develops, manufactures, and commercializes medicines for people with serious diseases. Its products and product candidates in development are designed to help patients with eye diseases, allergic and inflammatory diseases, cancer, cardiovascular and metabolic diseases, neurological diseases, hematologic conditions, infectious diseases, and rare diseases. The Company is accelerating drug development using its proprietary technologies, such as VelociSuite, which produces optimized fully human antibodies and new classes of bispecific antibodies. VelociSuite consists of VelocImmune, VelociGene, VelociMouse, VelociMab, Veloci-Bi, VelociT, VelociHum, and other related technologies. Its marketed products include EYLEA (aflibercept); Dupixent (dupilumab); Libtayo (cemiplimab); Ordspono (odronextamab); Kevzara (sarilumab); Itepekimab; Lynozyfic, and others.</v>
    <v>15410</v>
    <v>Nasdaq Stock Market</v>
    <v>XNAS</v>
    <v>XNAS</v>
    <v>777 Old Saw Mill River Road, TARRYTOWN, NY, 10591 US</v>
    <v>756.4</v>
    <v>Pharmaceuticals</v>
    <v>Stock</v>
    <v>46139.920854003904</v>
    <v>1182</v>
    <v>743.61</v>
    <v>78702047912</v>
    <v>REGENERON PHARMACEUTICALS, INC.</v>
    <v>REGENERON PHARMACEUTICALS, INC.</v>
    <v>745.47</v>
    <v>17.740300000000001</v>
    <v>751.57</v>
    <v>744.44</v>
    <v>745.5</v>
    <v>105719800</v>
    <v>REGN</v>
    <v>REGENERON PHARMACEUTICALS, INC. (XNAS:REGN)</v>
    <v>603150</v>
    <v>666606</v>
    <v>1988</v>
  </rv>
  <rv s="2">
    <v>1183</v>
  </rv>
  <rv s="0">
    <v>https://www.bing.com/financeapi/forcetrigger?t=afsqvh&amp;q=XETR%3aLXS&amp;form=skydnc</v>
    <v>Learn more on Bing</v>
  </rv>
  <rv s="3">
    <v>6</v>
    <v>Lanxess AG (XETR:LXS)</v>
    <v>2</v>
    <v>7</v>
    <v>Finance</v>
    <v>8</v>
    <v>en</v>
    <v>afsqvh</v>
    <v>268435456</v>
    <v>1</v>
    <v>Powered by Refinitiv</v>
    <v>29.5</v>
    <v>11.03</v>
    <v>1.3396999999999999</v>
    <v>0.31</v>
    <v>1.7165E-2</v>
    <v>EUR</v>
    <v>LANXESS AG is a Germany-based company engaged in the chemicals sector. The Comapny specializes in the development, manufacturing and marketing of chemical intermediates, additives, specialty chemicals, plastics, and consumer protection products. Its business activities are divided into following segments: Specialty Additives, Advanced Industrial Intermediates and Consumer Protection and All other segments. Specialty Additives, responsible for manufacture of additives for the rubber and paint industries; Advanced Industrial Intermediates, focused on the development of intermediates for the agricultural, plastics, chemicals, consumer goods, construction, tire and automotive industries; Consumer Protection, offers material protection products, inorganic pigments, finishing agents for the leather industry and resins for water treatment, among others, and Engineering Materials, which produces technical plastics, glass fibers, automotive applications, electronics and electrical industries.</v>
    <v>11709</v>
    <v>Xetra</v>
    <v>XETR</v>
    <v>XETR</v>
    <v>Kennedyplatz 1, KOELN, NORDRHEIN-WESTFALEN, 50569 DE</v>
    <v>18.75</v>
    <v>Chemicals</v>
    <v>Stock</v>
    <v>46139.89603009259</v>
    <v>1185</v>
    <v>17.920000000000002</v>
    <v>1486883000</v>
    <v>Lanxess AG</v>
    <v>Lanxess AG</v>
    <v>18</v>
    <v>0</v>
    <v>18.059999999999999</v>
    <v>18.37</v>
    <v>86346300</v>
    <v>LXS</v>
    <v>Lanxess AG (XETR:LXS)</v>
    <v>447876</v>
    <v>674760</v>
    <v>2004</v>
  </rv>
  <rv s="2">
    <v>1186</v>
  </rv>
  <rv s="0">
    <v>https://www.bing.com/financeapi/forcetrigger?t=aaqap2&amp;q=XBRU%3aUCB&amp;form=skydnc</v>
    <v>Learn more on Bing</v>
  </rv>
  <rv s="3">
    <v>6</v>
    <v>Ucb SA (XBRU:UCB)</v>
    <v>2</v>
    <v>7</v>
    <v>Finance</v>
    <v>8</v>
    <v>en</v>
    <v>aaqap2</v>
    <v>268435456</v>
    <v>1</v>
    <v>Powered by Refinitiv</v>
    <v>289.5</v>
    <v>146.05000000000001</v>
    <v>0.87949999999999995</v>
    <v>-1.1000000000000001</v>
    <v>-4.6029999999999995E-3</v>
    <v>EUR</v>
    <v>Ucb SA is a Belgium-based biopharmaceutical and specialty chemical company that specializes in two therapeutic areas: diseases of the central nervous system (CNS) and immunology. In the area of central nervous system disorders, the Company is focused on epilepsy, diabetic neuropathic pain, multiple sclerosis, fibromyalgia, restless legs syndrome and Parkinson’s disease, and the area of immunology includes, bone loss disorders, Crohn’s disease, rheumatoid arthritis and respiratory disease. In addition to its core fields of business, Ucb SA delivers molecule solutions to specialists for use in the treatment of severe diseases. Its product portfolio includes drugs, such as Neupro, Vimpat, Cimzia, among others. Ucb SA also operates in primary care to support specialist products that are administered by primary care physicians.</v>
    <v>10117</v>
    <v>Euronext Brussels</v>
    <v>XBRU</v>
    <v>XBRU</v>
    <v>ALLEE DE LA RECHERCHE 60, BRUXELLES-CAPITALE, 1070 BE</v>
    <v>239.8</v>
    <v>Pharmaceuticals</v>
    <v>Stock</v>
    <v>46139.666666666664</v>
    <v>1188</v>
    <v>235.7</v>
    <v>49443340000</v>
    <v>Ucb SA</v>
    <v>Ucb SA</v>
    <v>238.6</v>
    <v>29.1709</v>
    <v>239</v>
    <v>237.9</v>
    <v>194505700</v>
    <v>UCB</v>
    <v>Ucb SA (XBRU:UCB)</v>
    <v>180517</v>
    <v>290500</v>
    <v>2011</v>
  </rv>
  <rv s="2">
    <v>1189</v>
  </rv>
  <rv s="0">
    <v>https://www.bing.com/financeapi/forcetrigger?t=a1u1z2&amp;q=XNYS%3aGNRC&amp;form=skydnc</v>
    <v>Learn more on Bing</v>
  </rv>
  <rv s="1">
    <v>0</v>
    <v>GENERAC HOLDINGS INC. (XNYS:GNRC)</v>
    <v>2</v>
    <v>3</v>
    <v>Finance</v>
    <v>5</v>
    <v>en</v>
    <v>a1u1z2</v>
    <v>268435456</v>
    <v>1</v>
    <v>Powered by Refinitiv</v>
    <v>241.09100000000001</v>
    <v>109.20010000000001</v>
    <v>1.7956000000000001</v>
    <v>-0.52</v>
    <v>-2.3540000000000002E-3</v>
    <v>0.01</v>
    <v>4.5389999999999997E-5</v>
    <v>USD</v>
    <v>Generac Holdings Inc. is a global designer, manufacturer, and provider of a range of energy technology solutions. It offers power generation equipment, energy storage systems, energy management devices and solutions, and other power products and services serving residential, commercial, data center, telecom, and industrial markets. Its segments include Domestic and International. Domestic segment includes its business and all historical acquisitions based in the United States and Canada. International segment includes all historical acquisitions not based in the United States and Canada. It has developed a line of energy storage systems for use in residential solar-plus-storage applications, as well as microinverters for residential solar energy production. It has a selection of energy monitoring and management devices and controls that serve as the central hub for its residential and C&amp;I energy ecosystems. It designs and manufactures other power products, including light towers.</v>
    <v>9400</v>
    <v>New York Stock Exchange</v>
    <v>XNYS</v>
    <v>XNYS</v>
    <v>S45 W29290 HIGHWAY 59, WAUKESHA, WI, 53187 US</v>
    <v>227.5</v>
    <v>Machinery, Equipment &amp; Components</v>
    <v>Stock</v>
    <v>46139.932618078128</v>
    <v>1191</v>
    <v>214.21</v>
    <v>12932739690</v>
    <v>GENERAC HOLDINGS INC.</v>
    <v>GENERAC HOLDINGS INC.</v>
    <v>225.22</v>
    <v>82.215999999999994</v>
    <v>220.93</v>
    <v>220.41</v>
    <v>220.31</v>
    <v>58675830</v>
    <v>GNRC</v>
    <v>GENERAC HOLDINGS INC. (XNYS:GNRC)</v>
    <v>957319</v>
    <v>878669</v>
    <v>2006</v>
  </rv>
  <rv s="2">
    <v>1192</v>
  </rv>
  <rv s="0">
    <v>https://www.bing.com/financeapi/forcetrigger?t=afr8f2&amp;q=XETR%3aDHER&amp;form=skydnc</v>
    <v>Learn more on Bing</v>
  </rv>
  <rv s="4">
    <v>9</v>
    <v>Delivery Hero SE (XETR:DHER)</v>
    <v>2</v>
    <v>10</v>
    <v>Finance</v>
    <v>8</v>
    <v>en</v>
    <v>afr8f2</v>
    <v>268435456</v>
    <v>1</v>
    <v>Powered by Refinitiv</v>
    <v>29.89</v>
    <v>14.8</v>
    <v>1.6214999999999999</v>
    <v>0.23</v>
    <v>1.1795E-2</v>
    <v>EUR</v>
    <v>Delivery Hero SE is a Germany-based company, which is primarily engaged in the online food ordering industry. The Company operates as a provider of online food delivery services from restaurants and cafes. The Company offers pizza, burger, organic food, vegan cuisine, and Asian dishes, among others. Its portfolio of brands comprises Foodpanda, PedidosYa, Clickdelivery, Talabat, Yemeksepeti, Donesi, Hungerstation, Carriage, Otlob, Mjam and others. The Company operates globally, on the territory of more than 40 countries, comprising Europe, the Middle East, North Africa, Asia, and the Americas. The Company's services are available through Web version and mobile application.</v>
    <v>54721</v>
    <v>Xetra</v>
    <v>XETR</v>
    <v>XETR</v>
    <v>Oranienburger Strasse 70, BERLIN, BERLIN, 10117 DE</v>
    <v>19.920000000000002</v>
    <v>Software &amp; IT Services</v>
    <v>Stock</v>
    <v>46139.895995370367</v>
    <v>1194</v>
    <v>19.07</v>
    <v>7578464000</v>
    <v>Delivery Hero SE</v>
    <v>Delivery Hero SE</v>
    <v>19.54</v>
    <v>19.5</v>
    <v>19.73</v>
    <v>303765700</v>
    <v>DHER</v>
    <v>Delivery Hero SE (XETR:DHER)</v>
    <v>754146</v>
    <v>1228940</v>
    <v>2018</v>
  </rv>
  <rv s="2">
    <v>1195</v>
  </rv>
  <rv s="0">
    <v>https://www.bing.com/financeapi/forcetrigger?t=a1zcrw&amp;q=XNYS%3aOSK&amp;form=skydnc</v>
    <v>Learn more on Bing</v>
  </rv>
  <rv s="1">
    <v>0</v>
    <v>OSHKOSH CORPORATION (XNYS:OSK)</v>
    <v>2</v>
    <v>3</v>
    <v>Finance</v>
    <v>4</v>
    <v>en</v>
    <v>a1zcrw</v>
    <v>268435456</v>
    <v>1</v>
    <v>Powered by Refinitiv</v>
    <v>180.49</v>
    <v>82.14</v>
    <v>1.3134999999999999</v>
    <v>0.38</v>
    <v>2.5280000000000003E-3</v>
    <v>-2.7</v>
    <v>-1.7915E-2</v>
    <v>USD</v>
    <v>Oshkosh Corporation is an industrial technology company focused on the design, development and manufacturing of purpose-built vehicles and equipment. It operates through three segments: Access, Vocational and Transport. The Access segment designs and manufactures access and material handling equipment for use in a range of construction, industrial, agricultural, vegetation management, and maintenance applications to position workers and materials at height under brands such as JLG and SkyTrak. The segment's customer base includes equipment rental companies, construction contractors, manufacturing companies and home improvement centers. The Vocational segment includes the Pierce, Maxi-Metal, Oshkosh AeroTech, Oshkosh Airport Products, McNeilus, IMT, Oshkosh S-Series and others. The transport segment designs, manufactures and sustains best-in-class specialty vehicles and mobility systems for the United States Department of Defense (DoD) and approved foreign customers.</v>
    <v>18400</v>
    <v>New York Stock Exchange</v>
    <v>XNYS</v>
    <v>XNYS</v>
    <v>1917 Four Wheel Drive, OSHKOSH, WI, 54902 US</v>
    <v>153.83000000000001</v>
    <v>Machinery, Equipment &amp; Components</v>
    <v>Stock</v>
    <v>46139.871769976562</v>
    <v>1197</v>
    <v>149.35</v>
    <v>9441857917</v>
    <v>OSHKOSH CORPORATION</v>
    <v>OSHKOSH CORPORATION</v>
    <v>151.13999999999999</v>
    <v>15.001300000000001</v>
    <v>150.33000000000001</v>
    <v>150.71</v>
    <v>148.01</v>
    <v>62649180</v>
    <v>OSK</v>
    <v>OSHKOSH CORPORATION (XNYS:OSK)</v>
    <v>355301</v>
    <v>621708</v>
    <v>2014</v>
  </rv>
  <rv s="2">
    <v>1198</v>
  </rv>
  <rv s="0">
    <v>https://www.bing.com/financeapi/forcetrigger?t=b1j42w&amp;q=XNAS%3aEVER&amp;form=skydnc</v>
    <v>Learn more on Bing</v>
  </rv>
  <rv s="1">
    <v>0</v>
    <v>EVERQUOTE, INC. (XNAS:EVER)</v>
    <v>2</v>
    <v>3</v>
    <v>Finance</v>
    <v>4</v>
    <v>en</v>
    <v>b1j42w</v>
    <v>268435456</v>
    <v>1</v>
    <v>Powered by Refinitiv</v>
    <v>28.729900000000001</v>
    <v>13.93</v>
    <v>0.62660000000000005</v>
    <v>-0.06</v>
    <v>-3.7780000000000001E-3</v>
    <v>0.18</v>
    <v>1.1377999999999999E-2</v>
    <v>USD</v>
    <v>EverQuote, Inc. operates an online marketplace for consumers shopping for auto and home and renters insurance quotes. The Company operates a marketplace connecting insurance providers to a large volume of high-intent, pre-validated consumer referrals that match the insurers' specific underwriting and profitability requirements. Its marketplace enables consumers to choose to visit an insurance provider's Website to purchase a policy or engage with a carrier or agent by phone or submit their data to insurance providers to receive quotes. Its technology platform combines internally developed, third-party and open-source software. Its Websites and supporting services, as well as its development and test environments, are hosted across industry-standard cloud providers, such as Amazon Web Services and Google Cloud Platform. The Company's insurance provider customers include insurance carriers and third-party insurance agents.</v>
    <v>356</v>
    <v>Nasdaq Stock Market</v>
    <v>XNAS</v>
    <v>XNAS</v>
    <v>141 Portland Street, CAMBRIDGE, MA, 02139 US</v>
    <v>16.09</v>
    <v>Software &amp; IT Services</v>
    <v>Stock</v>
    <v>46139.904033089842</v>
    <v>1200</v>
    <v>15.59</v>
    <v>559605289</v>
    <v>EVERQUOTE, INC.</v>
    <v>EVERQUOTE, INC.</v>
    <v>15.73</v>
    <v>6.0039999999999996</v>
    <v>15.88</v>
    <v>15.82</v>
    <v>16</v>
    <v>35373280</v>
    <v>EVER</v>
    <v>EVERQUOTE, INC. (XNAS:EVER)</v>
    <v>608472</v>
    <v>696030</v>
    <v>2008</v>
  </rv>
  <rv s="2">
    <v>1201</v>
  </rv>
  <rv s="0">
    <v>https://www.bing.com/financeapi/forcetrigger?t=azfa52&amp;q=XAMS%3aALFEN&amp;form=skydnc</v>
    <v>Learn more on Bing</v>
  </rv>
  <rv s="3">
    <v>6</v>
    <v>Alfen NV (XAMS:ALFEN)</v>
    <v>2</v>
    <v>7</v>
    <v>Finance</v>
    <v>8</v>
    <v>en</v>
    <v>azfa52</v>
    <v>268435456</v>
    <v>1</v>
    <v>Powered by Refinitiv</v>
    <v>17.84</v>
    <v>8.0500000000000007</v>
    <v>1.3177000000000001</v>
    <v>-0.61</v>
    <v>-5.0330000000000007E-2</v>
    <v>EUR</v>
    <v>Alfen NV (Alfen) is a company based in the Netherlands, engaged in the design, development and production of electric grid equipment. The Company is active in three business lines: Smart Grids, which supplies standardized electricity grid connection systems, secondary transformer substations, local power grids, devices for grid automation, as well as software and back-end systems for remote management and grid control; Energy Storage, responsible for development and installation of modular energy storage systems under the brand TheBattery, which are used by utilities, grid operators, energy traders and industrial companies, among others, and Electric Vehicle (EV) Charging, which supplies EV charge points in a variety of capacities and functionalities for use at home, work and in public areas. In addition, Alfen offers service, management and maintenance activities, including remote support and monitoring, as well as an in-house technological know-how center.</v>
    <v>923</v>
    <v>Euronext Amsterdam</v>
    <v>XAMS</v>
    <v>XAMS</v>
    <v>Hefbrugweg 79, Almere, FLEVOLAND, 1332 AM NL</v>
    <v>12.24</v>
    <v>Machinery, Equipment &amp; Components</v>
    <v>Stock</v>
    <v>46139.666666666664</v>
    <v>1203</v>
    <v>11.51</v>
    <v>236748700</v>
    <v>Alfen NV</v>
    <v>Alfen NV</v>
    <v>12.03</v>
    <v>0</v>
    <v>12.12</v>
    <v>11.51</v>
    <v>21750000</v>
    <v>ALFEN</v>
    <v>Alfen NV (XAMS:ALFEN)</v>
    <v>234475</v>
    <v>368160</v>
    <v>2015</v>
  </rv>
  <rv s="2">
    <v>1204</v>
  </rv>
  <rv s="0">
    <v>https://www.bing.com/financeapi/forcetrigger?t=afqhp2&amp;q=XETR%3aAFX&amp;form=skydnc</v>
    <v>Learn more on Bing</v>
  </rv>
  <rv s="3">
    <v>6</v>
    <v>Carl Zeiss Meditec AG (XETR:AFX)</v>
    <v>2</v>
    <v>7</v>
    <v>Finance</v>
    <v>8</v>
    <v>en</v>
    <v>afqhp2</v>
    <v>268435456</v>
    <v>1</v>
    <v>Powered by Refinitiv</v>
    <v>66.599999999999994</v>
    <v>22.62</v>
    <v>1.4671000000000001</v>
    <v>0.14000000000000001</v>
    <v>5.3229999999999996E-3</v>
    <v>EUR</v>
    <v>Carl Zeiss Meditec AG is a Germany-based medical technology and device company. The Company offers complete solutions to diagnose and treat ophthalmic diseases, visualization solutions for microsurgery and other technologies, such as intraoperative radiotherapy. The Company operates in two segments: ophthalmic devices and microsurgery. The Ophthalmic Devices segment comprises activities in ophthalmology, such as intraocular lenses, surgical visualization solutions and medical laser and diagnostic systems. The Microsurgery segment includes activities of neuro, ear, nose, and throat surgery, as well as the activities in the field of intraoperative radiation. Its products include zeiss corneal photographers, slit lamps and accessories, data management software, zeiss intraocular lenses, optical biometers, optical coherence tomography systems, ophthalmic microscopes, refractive lasers are among others. The Company offers related support services.</v>
    <v>5784</v>
    <v>Xetra</v>
    <v>XETR</v>
    <v>XETR</v>
    <v>Goeschwitzer Strasse 51-52, JENA, THUERINGEN, 07745 DE</v>
    <v>26.78</v>
    <v>Healthcare Equipment &amp; Supplies</v>
    <v>Stock</v>
    <v>46139.895983796298</v>
    <v>1206</v>
    <v>26.28</v>
    <v>3684951000</v>
    <v>Carl Zeiss Meditec AG</v>
    <v>Carl Zeiss Meditec AG</v>
    <v>26.58</v>
    <v>19.1342</v>
    <v>26.3</v>
    <v>26.44</v>
    <v>89440570</v>
    <v>AFX</v>
    <v>Carl Zeiss Meditec AG (XETR:AFX)</v>
    <v>95354</v>
    <v>181730</v>
    <v>1995</v>
  </rv>
  <rv s="2">
    <v>1207</v>
  </rv>
  <rv s="0">
    <v>https://www.bing.com/financeapi/forcetrigger?t=a1yjxm&amp;q=XNYS%3aNKE&amp;form=skydnc</v>
    <v>Learn more on Bing</v>
  </rv>
  <rv s="1">
    <v>0</v>
    <v>NIKE, INC. (XNYS:NKE)</v>
    <v>2</v>
    <v>3</v>
    <v>Finance</v>
    <v>5</v>
    <v>en</v>
    <v>a1yjxm</v>
    <v>268435456</v>
    <v>1</v>
    <v>Powered by Refinitiv</v>
    <v>80.165000000000006</v>
    <v>42.09</v>
    <v>1.1473</v>
    <v>0.48499999999999999</v>
    <v>1.0853E-2</v>
    <v>6.0499999999999998E-2</v>
    <v>1.34E-3</v>
    <v>USD</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77800</v>
    <v>New York Stock Exchange</v>
    <v>XNYS</v>
    <v>XNYS</v>
    <v>One Bowerman Dr, BEAVERTON, OR, 97005-6453 US</v>
    <v>45.41</v>
    <v>Textiles &amp; Apparel</v>
    <v>Stock</v>
    <v>46139.934299733592</v>
    <v>1209</v>
    <v>44.49</v>
    <v>66899070224</v>
    <v>NIKE, INC.</v>
    <v>NIKE, INC.</v>
    <v>44.6</v>
    <v>29.718399999999999</v>
    <v>44.69</v>
    <v>45.174999999999997</v>
    <v>45.200499999999998</v>
    <v>1480887000</v>
    <v>NKE</v>
    <v>NIKE, INC. (XNYS:NKE)</v>
    <v>14560727</v>
    <v>27379513</v>
    <v>1969</v>
  </rv>
  <rv s="2">
    <v>1210</v>
  </rv>
  <rv s="0">
    <v>https://www.bing.com/financeapi/forcetrigger?t=alwp27&amp;q=XLIS%3aSON&amp;form=skydnc</v>
    <v>Learn more on Bing</v>
  </rv>
  <rv s="3">
    <v>6</v>
    <v>Sonae SGPS SA (XLIS:SON)</v>
    <v>2</v>
    <v>7</v>
    <v>Finance</v>
    <v>8</v>
    <v>en</v>
    <v>alwp27</v>
    <v>268435456</v>
    <v>1</v>
    <v>Powered by Refinitiv</v>
    <v>2.08</v>
    <v>1.08</v>
    <v>0.92930000000000001</v>
    <v>-4.0000000000000001E-3</v>
    <v>-2.075E-3</v>
    <v>EUR</v>
    <v>Sonae SGPS SA (Sonae) is a Portugal-based holding company primarily engaged in the retail trade of food. The Company divides its business into six segments: Sonae MC, which is active in the food retail mainly through hypermarkets, supermarkets and franchised local food stores; Sonae Sierra, which develops and manages shopping malls; Sonae SR, which includes specialized retail stores, such as electronics, sports goods and fashion shops; Sonae RP, which is involved in the real estate sector; Sonaecom, which provides integrated telecommunication services, and the Investment Management, which support the Company’s business through the assets portfolio management. The Company's portfolio includes Continente, Modalfa, Worten, Losan and Zippy brands, among others. The Company operates in approximately 66 countries, including Portugal, Spain, Greece, Germany, Italy, Turkey and Brazil, among others.</v>
    <v>44478</v>
    <v>Euronext Lisbon</v>
    <v>XLIS</v>
    <v>XLIS</v>
    <v>Lugar do Espido, Via Norte,, MAIA, 4471-909 PT</v>
    <v>1.9359999999999999</v>
    <v>Food &amp; Drug Retailing</v>
    <v>Stock</v>
    <v>46139.666666666664</v>
    <v>1212</v>
    <v>1.9119999999999999</v>
    <v>3320000000</v>
    <v>Sonae SGPS SA</v>
    <v>Sonae SGPS SA</v>
    <v>1.9279999999999999</v>
    <v>18.809799999999999</v>
    <v>1.9279999999999999</v>
    <v>1.9239999999999999</v>
    <v>2000000000</v>
    <v>SON</v>
    <v>Sonae SGPS SA (XLIS:SON)</v>
    <v>1303063</v>
    <v>1351950</v>
    <v>1959</v>
  </rv>
  <rv s="2">
    <v>1213</v>
  </rv>
  <rv s="0">
    <v>https://www.bing.com/financeapi/forcetrigger?t=ae92im&amp;q=XPAR%3aKER&amp;form=skydnc</v>
    <v>Learn more on Bing</v>
  </rv>
  <rv s="3">
    <v>6</v>
    <v>Kering SA (XPAR:KER)</v>
    <v>2</v>
    <v>7</v>
    <v>Finance</v>
    <v>8</v>
    <v>en</v>
    <v>ae92im</v>
    <v>268435456</v>
    <v>1</v>
    <v>Powered by Refinitiv</v>
    <v>354.2</v>
    <v>166.96</v>
    <v>1.4041999999999999</v>
    <v>3.7</v>
    <v>1.5413E-2</v>
    <v>EUR</v>
    <v>Kering SA is a France- based Company. The Company engages in luxury goods activities across segments followed in order as Fashion and Leather Goods, Jewelry, Eyewear and Beauty, managing design, sourcing, production, marketing, distribution and retail services for its Houses. It operates group functions, brand development, supply chain, digital platforms, sustainability programs and innovation projects.</v>
    <v>43731</v>
    <v>Euronext Paris</v>
    <v>XPAR</v>
    <v>XPAR</v>
    <v>40 Rue de Sevres, PARIS, ILE-DE-FRANCE, 75007 FR</v>
    <v>245.15</v>
    <v>Specialty Retailers</v>
    <v>Stock</v>
    <v>46139.666666666664</v>
    <v>1215</v>
    <v>238.2</v>
    <v>38167880000</v>
    <v>Kering SA</v>
    <v>Kering SA</v>
    <v>239.4</v>
    <v>408.52620000000002</v>
    <v>240.05</v>
    <v>243.75</v>
    <v>123420800</v>
    <v>KER</v>
    <v>Kering SA (XPAR:KER)</v>
    <v>225245</v>
    <v>378560</v>
    <v>1955</v>
  </rv>
  <rv s="2">
    <v>1216</v>
  </rv>
  <rv s="0">
    <v>https://www.bing.com/financeapi/forcetrigger?t=azcrur&amp;q=XNAS%3aDBX&amp;form=skydnc</v>
    <v>Learn more on Bing</v>
  </rv>
  <rv s="1">
    <v>0</v>
    <v>DROPBOX, INC. (XNAS:DBX)</v>
    <v>2</v>
    <v>3</v>
    <v>Finance</v>
    <v>4</v>
    <v>en</v>
    <v>azcrur</v>
    <v>268435456</v>
    <v>1</v>
    <v>Powered by Refinitiv</v>
    <v>32.4</v>
    <v>21.695</v>
    <v>0.64</v>
    <v>-0.11</v>
    <v>-4.5799999999999999E-3</v>
    <v>-0.46</v>
    <v>-1.9238999999999999E-2</v>
    <v>USD</v>
    <v>Dropbox, Inc. provides tools to help distributed teams prioritize, get organized, and keep work moving securely from anywhere. The Company’s products include Dropbox Passwords, Dropbox Backup, Dropbox Sign, DocSend, Dropbox Dash for Business (Dash), Dropbox Replay and FormSwift, among others. Dropbox Passwords allows users to sign in to Websites and apps by creating and storing usernames and passwords across devices. Dropbox Backup automatically syncs folders on a user's computer to the cloud. When turned on, files on the user's personal computer or Mac are continuously backed up on the cloud. Dropbox Sign is an e-signature and document workflow platform that enables customers to easily sign, send and receive documents through its intuitive Web and mobile-based interfaces. DocSend is a secure document sharing and analytics platform. Dropbox Dash is an AI-powered, universal search tool, which enables teams to search, organize, share, and protect content from across their connected apps.</v>
    <v>2113</v>
    <v>Nasdaq Stock Market</v>
    <v>XNAS</v>
    <v>XNAS</v>
    <v>1800 Owens Street, SAN FRANCISCO, CA, 94158 US</v>
    <v>24.414999999999999</v>
    <v>Software &amp; IT Services</v>
    <v>Stock</v>
    <v>46139.889343286719</v>
    <v>1218</v>
    <v>23.73</v>
    <v>5705846535</v>
    <v>DROPBOX, INC.</v>
    <v>DROPBOX, INC.</v>
    <v>23.84</v>
    <v>12.927</v>
    <v>24.02</v>
    <v>23.91</v>
    <v>23.45</v>
    <v>238638500</v>
    <v>DBX</v>
    <v>DROPBOX, INC. (XNAS:DBX)</v>
    <v>2848266</v>
    <v>3385166</v>
    <v>2025</v>
  </rv>
  <rv s="2">
    <v>1219</v>
  </rv>
  <rv s="0">
    <v>https://www.bing.com/financeapi/forcetrigger?t=a24nyc&amp;q=XNYS%3aTWLO&amp;form=skydnc</v>
    <v>Learn more on Bing</v>
  </rv>
  <rv s="1">
    <v>0</v>
    <v>TWILIO INC. (XNYS:TWLO)</v>
    <v>2</v>
    <v>3</v>
    <v>Finance</v>
    <v>4</v>
    <v>en</v>
    <v>a24nyc</v>
    <v>268435456</v>
    <v>1</v>
    <v>Powered by Refinitiv</v>
    <v>154.63999999999999</v>
    <v>91.84</v>
    <v>1.2988</v>
    <v>-1.2</v>
    <v>-8.3459999999999993E-3</v>
    <v>-0.37</v>
    <v>-2.5950000000000001E-3</v>
    <v>USD</v>
    <v>Twilio Inc. provides a customer engagement platform to build direct, personalized relationships with their customers everywhere in the world. Its platform provides developers with tools to build, scale, and deploy real-time communications within software applications. Its segments include Twilio Communications (Communications) and Twilio Segment (Segment). The Communications segment consists of a variety of application programming interfaces (APIs) and software solutions to optimize communications between its customers and their end users. Its key offerings in its Communications segment include Messaging, Voice, Email (includes Marketing Campaigns), Flex and User Authentication and Identity. Its Twilio Flex is a digital engagement center for the entire customer journey. Twilio Segment is a customer data platform that provides businesses with the tools to harness the power of contextual data by unifying real-time information collected throughout each customer’s journey into a profile.</v>
    <v>5587</v>
    <v>New York Stock Exchange</v>
    <v>XNYS</v>
    <v>XNYS</v>
    <v>101 Spear Street, Fifth Floor, SAN FRANCISCO, CA, 94105 US</v>
    <v>144.57</v>
    <v>Software &amp; IT Services</v>
    <v>Stock</v>
    <v>46139.895127812502</v>
    <v>1221</v>
    <v>140.88999999999999</v>
    <v>21604381260</v>
    <v>TWILIO INC.</v>
    <v>TWILIO INC.</v>
    <v>143.97999999999999</v>
    <v>743.83119999999997</v>
    <v>143.79</v>
    <v>142.59</v>
    <v>142.22</v>
    <v>151514000</v>
    <v>TWLO</v>
    <v>TWILIO INC. (XNYS:TWLO)</v>
    <v>1819445</v>
    <v>2220592</v>
    <v>2008</v>
  </rv>
  <rv s="2">
    <v>1222</v>
  </rv>
  <rv s="0">
    <v>https://www.bing.com/financeapi/forcetrigger?t=c62ogh&amp;q=XNAS%3aSOUN&amp;form=skydnc</v>
    <v>Learn more on Bing</v>
  </rv>
  <rv s="1">
    <v>0</v>
    <v>SOUNDHOUND AI, INC. (XNAS:SOUN)</v>
    <v>2</v>
    <v>3</v>
    <v>Finance</v>
    <v>5</v>
    <v>en</v>
    <v>c62ogh</v>
    <v>268435456</v>
    <v>1</v>
    <v>Powered by Refinitiv</v>
    <v>22.17</v>
    <v>5.83</v>
    <v>2.823</v>
    <v>-0.03</v>
    <v>-3.663E-3</v>
    <v>0</v>
    <v>0</v>
    <v>USD</v>
    <v>SoundHound AI, Inc. is engaged in conversational intelligence, offering voice and conversational artificial intelligence (AI) solutions that let businesses offer experiences to their customers. Through its proprietary technology, its voice AI delivers speed and accuracy in numerous languages to product creators and service providers across retail, financial services, healthcare, automotive, smart devices, and restaurants via AI-driven products, such as Smart Answering, Smart Ordering, Dynamic Drive Thru, and Amelia AI Agents. Along with SoundHound Chat AI, a voice assistant with integrated Generative AI, it powers various products and services, and processes billions of interactions each year for businesses. Its developer platform, Houndify, is an open-access platform that allows developers to leverage its Voice AI technology and a library of over 100 content domains, including commonly used domains for points of interest, weather, flight status, sports and more.</v>
    <v>954</v>
    <v>Nasdaq Stock Market</v>
    <v>XNAS</v>
    <v>XNAS</v>
    <v>5400 Betsy Ross Drive, SANTA CLARA, CA, 95054 US</v>
    <v>8.19</v>
    <v>Software &amp; IT Services</v>
    <v>Stock</v>
    <v>46139.93499425859</v>
    <v>1224</v>
    <v>7.9401000000000002</v>
    <v>3477874416</v>
    <v>SOUNDHOUND AI, INC.</v>
    <v>SOUNDHOUND AI, INC.</v>
    <v>8.0990000000000002</v>
    <v>0</v>
    <v>8.19</v>
    <v>8.16</v>
    <v>8.16</v>
    <v>426210100</v>
    <v>SOUN</v>
    <v>SOUNDHOUND AI, INC. (XNAS:SOUN)</v>
    <v>21857510</v>
    <v>25084601</v>
    <v>2020</v>
  </rv>
  <rv s="2">
    <v>1225</v>
  </rv>
  <rv s="0">
    <v>https://www.bing.com/financeapi/forcetrigger?t=ajf1mw&amp;q=XMIL%3aERG&amp;form=skydnc</v>
    <v>Learn more on Bing</v>
  </rv>
  <rv s="5">
    <v>11</v>
    <v>ERG SpA (XMIL:ERG)</v>
    <v>2</v>
    <v>12</v>
    <v>Finance</v>
    <v>13</v>
    <v>en</v>
    <v>ajf1mw</v>
    <v>268435456</v>
    <v>1</v>
    <v>Powered by Refinitiv</v>
    <v>26.18</v>
    <v>16.72</v>
    <v>0.45839999999999997</v>
    <v>-0.32</v>
    <v>-1.4172000000000001E-2</v>
    <v>EUR</v>
    <v>ERG SpA is an Italy-based independent power producer active in the renewable energy sector, which generates energy mostly from wind, solar, hydroelectric and thermoelectric sources. The Company’s activities are divided into three segments: Non-Programmable sources, Programmable sources and Corporate. The Non-Programmable sources segment manages the operations of the wind power production; the Programmable sources segment includes the operations of the thermoelectric and hydroelectric power generation; and the Corporate segment focuses on the administrative activities. The Company operates through its subsidiaries in Europe, mainly in Italy, France and Germany.</v>
    <v>672</v>
    <v>Borsa Italiana</v>
    <v>XMIL</v>
    <v>XMIL</v>
    <v>Torre WTC - Via De Marini, 1, GENOVA, GENOVA, 16149 IT</v>
    <v>22.98</v>
    <v>Electrical Utilities &amp; IPPs</v>
    <v>Stock</v>
    <v>46139.666666666664</v>
    <v>1227</v>
    <v>22.02</v>
    <v>3400238000</v>
    <v>ERG SpA</v>
    <v>ERG SpA</v>
    <v>22.78</v>
    <v>50.548499999999997</v>
    <v>22.58</v>
    <v>22.26</v>
    <v>150320000</v>
    <v>ERG</v>
    <v>ERG SpA (XMIL:ERG)</v>
    <v>420057</v>
    <v>375950</v>
  </rv>
  <rv s="2">
    <v>1228</v>
  </rv>
  <rv s="0">
    <v>https://www.bing.com/financeapi/forcetrigger?t=a25jnm&amp;q=XNAS%3aVRSK&amp;form=skydnc</v>
    <v>Learn more on Bing</v>
  </rv>
  <rv s="1">
    <v>0</v>
    <v>VERISK ANALYTICS, INC. (XNAS:VRSK)</v>
    <v>2</v>
    <v>3</v>
    <v>Finance</v>
    <v>4</v>
    <v>en</v>
    <v>a25jnm</v>
    <v>268435456</v>
    <v>1</v>
    <v>Powered by Refinitiv</v>
    <v>322.92</v>
    <v>161.69999999999999</v>
    <v>0.70809999999999995</v>
    <v>-2.69</v>
    <v>-1.5146999999999999E-2</v>
    <v>-0.45</v>
    <v>-2.5729999999999998E-3</v>
    <v>USD</v>
    <v>Verisk Analytics, Inc. is a data analytics and technology provider serving clients in the insurance ecosystem. The Company offers predictive analytics and decision support solutions to clients in rating, underwriting, claims, catastrophe, weather risk, and many other fields. Its insurance segment serves its property and casualty insurance customers across personal and commercial lines of business, focusing on insurance programs, the prediction of loss, the selection and pricing of risk, and compliance with their reporting requirements in each United States state in which they operate. It also develops and utilizes machine-learned and artificially intelligent models to forecast scenarios and produce both standard and customized analytics that help its customers better manage their businesses, including detecting fraud before and after a loss event. It provides data aggregation and reporting services for catastrophe and large loss claims across the industry.</v>
    <v>8000</v>
    <v>Nasdaq Stock Market</v>
    <v>XNAS</v>
    <v>XNAS</v>
    <v>545 Washington Boulevard, JERSEY CITY, NJ, 07310-1686 US</v>
    <v>180.22</v>
    <v>Software &amp; IT Services</v>
    <v>Stock</v>
    <v>46139.914935624998</v>
    <v>1230</v>
    <v>174.43</v>
    <v>22911987450</v>
    <v>VERISK ANALYTICS, INC.</v>
    <v>VERISK ANALYTICS, INC.</v>
    <v>176.74</v>
    <v>26.981999999999999</v>
    <v>177.59</v>
    <v>174.9</v>
    <v>174.45</v>
    <v>131000500</v>
    <v>VRSK</v>
    <v>VERISK ANALYTICS, INC. (XNAS:VRSK)</v>
    <v>2000339</v>
    <v>1894589</v>
    <v>2008</v>
  </rv>
  <rv s="2">
    <v>1231</v>
  </rv>
  <rv s="0">
    <v>https://www.bing.com/financeapi/forcetrigger?t=bwg3gh&amp;q=XNYS%3aOUST&amp;form=skydnc</v>
    <v>Learn more on Bing</v>
  </rv>
  <rv s="1">
    <v>0</v>
    <v>OUSTER, INC. (XNAS:OUST)</v>
    <v>2</v>
    <v>3</v>
    <v>Finance</v>
    <v>5</v>
    <v>en</v>
    <v>bwg3gh</v>
    <v>268435456</v>
    <v>1</v>
    <v>Powered by Refinitiv</v>
    <v>41.65</v>
    <v>7.05</v>
    <v>3.1175999999999999</v>
    <v>-1.3</v>
    <v>-4.6066999999999997E-2</v>
    <v>0.37</v>
    <v>1.3744000000000001E-2</v>
    <v>USD</v>
    <v>Ouster, Inc. is a provider of high-resolution scanning and solid-state lidar sensors and software solutions for the automotive, industrial, robotics, and smart infrastructure industries. Its products include high-resolution scanning and solid-state digital lidar sensors, analog lidar sensors, and software solutions. It offers high-resolution digital lidar sensors that offer advanced three-dimensional (3D) vision to machinery, vehicles, robots, and fixed infrastructure assets, which allows each to understand and visualize the surrounding world and enable safe operation and autonomy. It also offers perception software platforms for smart infrastructure deployments. Its digital lidar sensors leverage a simplified architecture based on over two semiconductor chips. Its software enables real-time people and object detection, classification, and tracking for actionable, intuitive, and customizable insights while preserving personally identifiable information.</v>
    <v>320</v>
    <v>Nasdaq Stock Market</v>
    <v>XNAS</v>
    <v>XNAS</v>
    <v>350 Treat Avenue, SAN FRANCISCO, CA, 94110 US</v>
    <v>29</v>
    <v>Electronic Equipment &amp; Parts</v>
    <v>Stock</v>
    <v>46139.930372985938</v>
    <v>1233</v>
    <v>26.66</v>
    <v>1690683410</v>
    <v>OUSTER, INC.</v>
    <v>OUSTER, INC.</v>
    <v>28.95</v>
    <v>0</v>
    <v>28.22</v>
    <v>26.92</v>
    <v>27.29</v>
    <v>62803990</v>
    <v>OUST</v>
    <v>OUSTER, INC. (XNAS:OUST)</v>
    <v>2143505</v>
    <v>1896151</v>
    <v>2021</v>
  </rv>
  <rv s="2">
    <v>1234</v>
  </rv>
  <rv s="0">
    <v>https://www.bing.com/financeapi/forcetrigger?t=a1mrar&amp;q=XNYS%3aABT&amp;form=skydnc</v>
    <v>Learn more on Bing</v>
  </rv>
  <rv s="1">
    <v>0</v>
    <v>ABBOTT LABORATORIES (XNYS:ABT)</v>
    <v>2</v>
    <v>3</v>
    <v>Finance</v>
    <v>5</v>
    <v>en</v>
    <v>a1mrar</v>
    <v>268435456</v>
    <v>1</v>
    <v>Powered by Refinitiv</v>
    <v>139.06</v>
    <v>90.72</v>
    <v>0.66190000000000004</v>
    <v>1.72</v>
    <v>1.8873999999999998E-2</v>
    <v>0.21</v>
    <v>2.2629999999999998E-3</v>
    <v>USD</v>
    <v>Abbott Laboratories is a global healthcare company. The Company’s principal business is the discovery, development, manufacture, and sale of a broad and diversified line of healthcare products. Its segments include Established Pharmaceutical Products, Diagnostic Products, Nutritional Products, and Medical Devices. Established Pharmaceutical Products segment is engaged in the international sales of a broad line of branded generic pharmaceutical products. Diagnostic Products segment is involved in the worldwide sales of diagnostic systems and tests for blood banks, hospitals, commercial laboratories and alternate-care testing sites. Nutritional Products segment is engaged in the worldwide sales of a broad line of adult and pediatric nutritional products. Medical Devices segment is involved in the worldwide sales of rhythm management, electrophysiology, heart failure, vascular, structural heart, neuromodulation and diabetes care products. It serves people in more than 160 countries.</v>
    <v>115000</v>
    <v>New York Stock Exchange</v>
    <v>XNYS</v>
    <v>XNYS</v>
    <v>100 Abbott Park Road, Abbot Park, ABBOTT PARK, IL, 60064-3500 US</v>
    <v>93.26</v>
    <v>Healthcare Equipment &amp; Supplies</v>
    <v>Stock</v>
    <v>46139.930081481252</v>
    <v>1236</v>
    <v>90.88</v>
    <v>161343123750</v>
    <v>ABBOTT LABORATORIES</v>
    <v>ABBOTT LABORATORIES</v>
    <v>91.62</v>
    <v>25.860600000000002</v>
    <v>91.13</v>
    <v>92.85</v>
    <v>93.01</v>
    <v>1737675000</v>
    <v>ABT</v>
    <v>ABBOTT LABORATORIES (XNYS:ABT)</v>
    <v>15198929</v>
    <v>14154067</v>
    <v>1900</v>
  </rv>
  <rv s="2">
    <v>1237</v>
  </rv>
  <rv s="0">
    <v>https://www.bing.com/financeapi/forcetrigger?t=ae96oc&amp;q=XPAR%3aMAU&amp;form=skydnc</v>
    <v>Learn more on Bing</v>
  </rv>
  <rv s="3">
    <v>6</v>
    <v>Etablissements Maurel et Prom SA (XPAR:MAU)</v>
    <v>2</v>
    <v>7</v>
    <v>Finance</v>
    <v>8</v>
    <v>en</v>
    <v>ae96oc</v>
    <v>268435456</v>
    <v>1</v>
    <v>Powered by Refinitiv</v>
    <v>11.44</v>
    <v>4.32</v>
    <v>0.29149999999999998</v>
    <v>0.06</v>
    <v>6.3690000000000005E-3</v>
    <v>EUR</v>
    <v>Etablissements Maurel et Prom SA (Maurel &amp; Prom) is a France-based company engaged in the energy industry. The Company is an independent oil company specialized in the extraction and production of hydrocarbons. Its activities are split into two segments: Production and Drilling. The Production segment focuses on the production of hydrocarbons in Gabon (oil) and Tanzania (gas). The Drilling segment is largely conducted by Caroil, its wholly owned subsidiary, which owns a fleet of eight drilling rigs outright and has an additional rig under management. Maurel &amp; Prom also directly owns a drilling rig in Colombia. The Company operates its business mainly in Africa, through the exploitation of already developed onshore assets (in Gabon and Tanzania) and through Seplat, in Nigeria. It is controlled by Pertamina Internasional Eksplorasi dan Produksi PT.</v>
    <v>810</v>
    <v>Euronext Paris</v>
    <v>XPAR</v>
    <v>XPAR</v>
    <v>51 rue d'Anjou, 75008 FR</v>
    <v>9.5950000000000006</v>
    <v>Oil &amp; Gas</v>
    <v>Stock</v>
    <v>46139.666666666664</v>
    <v>1239</v>
    <v>9.4049999999999994</v>
    <v>1220346000</v>
    <v>Etablissements Maurel et Prom SA</v>
    <v>Etablissements Maurel et Prom SA</v>
    <v>9.42</v>
    <v>5.3926999999999996</v>
    <v>9.42</v>
    <v>9.48</v>
    <v>201261600</v>
    <v>MAU</v>
    <v>Etablissements Maurel et Prom SA (XPAR:MAU)</v>
    <v>92997</v>
    <v>302940</v>
    <v>1957</v>
  </rv>
  <rv s="2">
    <v>1240</v>
  </rv>
  <rv s="0">
    <v>https://www.bing.com/financeapi/forcetrigger?t=a1y727&amp;q=XNAS%3aMXL&amp;form=skydnc</v>
    <v>Learn more on Bing</v>
  </rv>
  <rv s="1">
    <v>0</v>
    <v>MAXLINEAR, INC. (XNAS:MXL)</v>
    <v>2</v>
    <v>3</v>
    <v>Finance</v>
    <v>5</v>
    <v>en</v>
    <v>a1y727</v>
    <v>268435456</v>
    <v>1</v>
    <v>Powered by Refinitiv</v>
    <v>63.52</v>
    <v>9.5250000000000004</v>
    <v>3.3973</v>
    <v>-8.67</v>
    <v>-0.143733</v>
    <v>-0.12</v>
    <v>-2.323E-3</v>
    <v>USD</v>
    <v>MaxLinear, Inc. is a provider of radio frequency (RF), analog, digital and mixed-signal integrated circuits for access and connectivity, wired and wireless infrastructure, and industrial and multi-market applications. It is engaged in providing communications systems-on-chip (SoCs), used in broadband, mobile and wireline infrastructure, data center, and industrial and multi-market applications. Its customers include electronics distributors, module makers, original equipment manufacturers, and original design manufacturers, who incorporate its products in a range of electronic devices, such as radio transceivers and modems for 4G/5G base-station and backhaul infrastructure; optical transceivers targeting hyperscale data centers; Wi-Fi and wireline routers for home networking; broadband modems compliant with data over cable service interface specifications, passive optical fiber standards, and digital subscriber line; as well as power management and interface products used in markets.</v>
    <v>1115</v>
    <v>Nasdaq Stock Market</v>
    <v>XNAS</v>
    <v>XNAS</v>
    <v>5966 La Place Ct., CARLSBAD, CA, 92008 US</v>
    <v>61.89</v>
    <v>Semiconductors &amp; Semiconductor Equipment</v>
    <v>Stock</v>
    <v>46139.93515852969</v>
    <v>1242</v>
    <v>50.4</v>
    <v>3066375785</v>
    <v>MAXLINEAR, INC.</v>
    <v>MAXLINEAR, INC.</v>
    <v>60.935000000000002</v>
    <v>0</v>
    <v>60.32</v>
    <v>51.65</v>
    <v>51.53</v>
    <v>89545960</v>
    <v>MXL</v>
    <v>MAXLINEAR, INC. (XNAS:MXL)</v>
    <v>11749118</v>
    <v>3218519</v>
    <v>2003</v>
  </rv>
  <rv s="2">
    <v>1243</v>
  </rv>
  <rv s="0">
    <v>https://www.bing.com/financeapi/forcetrigger?t=bqrtfr&amp;q=XNAS%3aDKNG&amp;form=skydnc</v>
    <v>Learn more on Bing</v>
  </rv>
  <rv s="1">
    <v>0</v>
    <v>DRAFTKINGS INC. (XNAS:DKNG)</v>
    <v>2</v>
    <v>3</v>
    <v>Finance</v>
    <v>5</v>
    <v>en</v>
    <v>bqrtfr</v>
    <v>268435456</v>
    <v>1</v>
    <v>Powered by Refinitiv</v>
    <v>48.78</v>
    <v>20.46</v>
    <v>1.6738</v>
    <v>0.35</v>
    <v>1.5099E-2</v>
    <v>0.25</v>
    <v>1.0625000000000001E-2</v>
    <v>USD</v>
    <v>DraftKings Inc. is a digital sports entertainment and gaming company. It provides users with online and retail sports betting (together, Sportsbook), online casino (iGaming) and daily fantasy sports product offerings, as well as digital lottery courier, media, and other product offerings. Sportsbook is live with mobile and/or retail sports betting operations pursuant to regulations in 28 states, Washington, D.C., and in Ontario, Canada. It operates iGaming pursuant to regulations in five states and in Ontario, Canada under its DraftKings brand and pursuant to regulations in four states under its Golden Nugget Online Gaming brand. It owns Jackpocket, a digital lottery courier app in the United States. It is both an official daily fantasy and sports betting partner of the NFL, NHL, PGA TOUR, WNBA and UFC, as well as an official daily fantasy partner of NASCAR, an official sports betting partner of the NBA. It also owns and operates DraftKings Network, a multi-platform content ecosystem.</v>
    <v>5500</v>
    <v>Nasdaq Stock Market</v>
    <v>XNAS</v>
    <v>XNAS</v>
    <v>222 Berkeley Street, 5th Floor, BOSTON, MA, 02116 US</v>
    <v>23.97</v>
    <v>Hotels &amp; Entertainment Services</v>
    <v>Stock</v>
    <v>46139.934332522658</v>
    <v>1245</v>
    <v>22.95</v>
    <v>11664828084</v>
    <v>DRAFTKINGS INC.</v>
    <v>DRAFTKINGS INC.</v>
    <v>23.09</v>
    <v>0</v>
    <v>23.18</v>
    <v>23.53</v>
    <v>23.78</v>
    <v>495742800</v>
    <v>DKNG</v>
    <v>DRAFTKINGS INC. (XNAS:DKNG)</v>
    <v>14005950</v>
    <v>12951741</v>
    <v>2021</v>
  </rv>
  <rv s="2">
    <v>1246</v>
  </rv>
  <rv s="0">
    <v>https://www.bing.com/financeapi/forcetrigger?t=afm76h&amp;q=XFRA%3aTKA&amp;form=skydnc</v>
    <v>Learn more on Bing</v>
  </rv>
  <rv s="3">
    <v>6</v>
    <v>thyssenkrupp AG (XFRA:TKA)</v>
    <v>2</v>
    <v>7</v>
    <v>Finance</v>
    <v>8</v>
    <v>en</v>
    <v>afm76h</v>
    <v>268435456</v>
    <v>1</v>
    <v>Powered by Refinitiv</v>
    <v>26.33</v>
    <v>2.7650000000000001</v>
    <v>1.6252</v>
    <v>0.2</v>
    <v>2.2623999999999998E-2</v>
    <v>EUR</v>
    <v>thyssenkrupp AG is a Germany-based group of industrial and technology companies. It operates in five segments: Materials Services is engaged in the global distribution of materials and the provision of technical services for the production and manufacturing sector; Industrial Components manufactures forged components and system solutions for the resource, construction and mobility sectors, as well as slewing rings, antifriction bearings and seamless rolled rings for the wind energy and construction machinery sectors; Automotive Technology develops and manufactures high-tech components and systems for the automotive industry and develops automated production systems for the automotive industry; Steel Europe brings together the premium flat carbon steel activities, from intelligent materials solutions to finished parts; Marine Systems is a system provider in submarine and surface ship building and in the field of maritime electronics and security technology. It operates worldwide.</v>
    <v>92254</v>
    <v>Deutsche Boerse AG</v>
    <v>XFRA</v>
    <v>XFRA</v>
    <v>thyssenkrupp Allee 1, Essen, NORDRHEIN-WESTFALEN, 45143 DE</v>
    <v>9.0399999999999991</v>
    <v>Metals &amp; Mining</v>
    <v>Stock</v>
    <v>46139.836805555555</v>
    <v>1248</v>
    <v>8.7520000000000007</v>
    <v>6592611000</v>
    <v>thyssenkrupp AG</v>
    <v>thyssenkrupp AG</v>
    <v>8.7520000000000007</v>
    <v>34.769199999999998</v>
    <v>8.84</v>
    <v>9.0399999999999991</v>
    <v>622531700</v>
    <v>TKA</v>
    <v>thyssenkrupp AG (XFRA:TKA)</v>
    <v>1314</v>
    <v>2644420</v>
    <v>2001</v>
  </rv>
  <rv s="2">
    <v>1249</v>
  </rv>
  <rv s="0">
    <v>https://www.bing.com/financeapi/forcetrigger?t=a1mvm7&amp;q=XNYS%3aADM&amp;form=skydnc</v>
    <v>Learn more on Bing</v>
  </rv>
  <rv s="1">
    <v>0</v>
    <v>ARCHER-DANIELS-MIDLAND COMPANY. (XNYS:ADM)</v>
    <v>2</v>
    <v>3</v>
    <v>Finance</v>
    <v>4</v>
    <v>en</v>
    <v>a1mvm7</v>
    <v>268435456</v>
    <v>1</v>
    <v>Powered by Refinitiv</v>
    <v>74.19</v>
    <v>46.81</v>
    <v>0.52980000000000005</v>
    <v>1.31</v>
    <v>1.8922000000000001E-2</v>
    <v>0.01</v>
    <v>1.418E-4</v>
    <v>USD</v>
    <v>Archer-Daniels-Midland Company is a global agricultural supply chain manager and processor, providing food security by connecting local needs with global capabilities. It is a human and animal nutrition provider. Its Ag Services and Oilseeds segment includes global activities related to the origination, merchandising, transportation, and storage of agricultural raw materials, and the crushing and further processing of oilseeds, such as soybeans and soft seeds into vegetable oils and protein meals. Carbohydrate Solutions segment is engaged in corn and wheat wet and dry milling and other activities. Nutrition segment is engaged in the creation, manufacturing, sale, and distribution of a wide array of ingredients and solutions, including plant-based proteins, flavors and colors derived from nature, flavor systems, emulsifiers, soluble fiber, polyols, hydrocolloids, probiotics, prebiotics, postbiotics, enzymes, botanical extracts, and other specialty food and feed ingredients and systems.</v>
    <v>40798</v>
    <v>New York Stock Exchange</v>
    <v>XNYS</v>
    <v>XNYS</v>
    <v>77 W. Wacker Dr., CHICAGO, IL, 60601 US</v>
    <v>70.739999999999995</v>
    <v>Food &amp; Tobacco</v>
    <v>Stock</v>
    <v>46139.922333171096</v>
    <v>1251</v>
    <v>69.260099999999994</v>
    <v>33992880354</v>
    <v>ARCHER-DANIELS-MIDLAND COMPANY.</v>
    <v>ARCHER-DANIELS-MIDLAND COMPANY.</v>
    <v>69.510000000000005</v>
    <v>31.653600000000001</v>
    <v>69.23</v>
    <v>70.540000000000006</v>
    <v>70.55</v>
    <v>481895100</v>
    <v>ADM</v>
    <v>ARCHER-DANIELS-MIDLAND COMPANY. (XNYS:ADM)</v>
    <v>4207561</v>
    <v>3755127</v>
    <v>1923</v>
  </rv>
  <rv s="2">
    <v>1252</v>
  </rv>
  <rv s="0">
    <v>https://www.bing.com/financeapi/forcetrigger?t=a1qvp2&amp;q=XNYS%3aDECK&amp;form=skydnc</v>
    <v>Learn more on Bing</v>
  </rv>
  <rv s="1">
    <v>0</v>
    <v>DECKERS OUTDOOR CORPORATION (XNYS:DECK)</v>
    <v>2</v>
    <v>3</v>
    <v>Finance</v>
    <v>4</v>
    <v>en</v>
    <v>a1qvp2</v>
    <v>268435456</v>
    <v>1</v>
    <v>Powered by Refinitiv</v>
    <v>133.43</v>
    <v>78.91</v>
    <v>1.1986000000000001</v>
    <v>-1.76</v>
    <v>-1.6216999999999999E-2</v>
    <v>0.22</v>
    <v>2.0609999999999999E-3</v>
    <v>USD</v>
    <v>Deckers Outdoor Corporation designs, markets, and distributes footwear, apparel, and accessories developed for both everyday casual lifestyle use and high-performance activities. Its segments include UGG brand, HOKA brand and Other brands. The UGG brand segment provides premium footwear, apparel and accessories. The HOKA brand segment’s products include running, trail, hiking, fitness, and lifestyle footwear offerings, as well as select apparel and accessories. Its Other brands segment consists of Teva brand, AHNU brand, and Koolaburra brand. Its Teva brand includes a variety of footwear options, from classic sandals and shoes to boots. The Koolaburra brand is a casual footwear fashion line that uses plush materials. Its AHNU brand’s footwear products fuse high-performance technology for everyday wear. Its portfolio of brands includes UGG, HOKA, Teva, and AHNU. It sells its products through domestic and international retailers and international distributors in its wholesale channel.</v>
    <v>5500</v>
    <v>New York Stock Exchange</v>
    <v>XNYS</v>
    <v>XNYS</v>
    <v>250 Coromar Drive, GOLETA, CA, 93117 US</v>
    <v>109.15</v>
    <v>Textiles &amp; Apparel</v>
    <v>Stock</v>
    <v>46139.919787453124</v>
    <v>1254</v>
    <v>106.56</v>
    <v>15156001500</v>
    <v>DECKERS OUTDOOR CORPORATION</v>
    <v>DECKERS OUTDOOR CORPORATION</v>
    <v>108.7</v>
    <v>15.0854</v>
    <v>108.53</v>
    <v>106.77</v>
    <v>106.99</v>
    <v>141950000</v>
    <v>DECK</v>
    <v>DECKERS OUTDOOR CORPORATION (XNYS:DECK)</v>
    <v>1241443</v>
    <v>1863453</v>
    <v>1993</v>
  </rv>
  <rv s="2">
    <v>1255</v>
  </rv>
  <rv s="0">
    <v>https://www.bing.com/financeapi/forcetrigger?t=c1db2w&amp;q=XNAS%3aRXRX&amp;form=skydnc</v>
    <v>Learn more on Bing</v>
  </rv>
  <rv s="1">
    <v>0</v>
    <v>RECURSION PHARMACEUTICALS, INC. (XNAS:RXRX)</v>
    <v>2</v>
    <v>3</v>
    <v>Finance</v>
    <v>5</v>
    <v>en</v>
    <v>c1db2w</v>
    <v>268435456</v>
    <v>1</v>
    <v>Powered by Refinitiv</v>
    <v>7.18</v>
    <v>2.8</v>
    <v>1.0618000000000001</v>
    <v>-0.03</v>
    <v>-8.5470000000000008E-3</v>
    <v>0.02</v>
    <v>5.7469999999999995E-3</v>
    <v>USD</v>
    <v>Recursion Pharmaceuticals, Inc. is a clinical-stage TechBio company decoding biology and chemistry to industrialize drug discovery. Its Recursion Operating System (OS), a platform built across diverse technologies, enables the Company to map and navigate trillions of biological and chemical relationships within the Recursion Data Universe. The Company integrates physical and digital components as iterative loops of atoms and bits, scaling wet lab biology and chemistry data organized into virtuous cycles with computational tools to rapidly translate silico hypotheses into validated insights and novel chemistry. Its clinical programs in oncology and rare diseases include REC-617, REC-1245, REC-3565 and REC-4539. Its REC-617 is an orally bioavailable, cyclin-dependent kinase 7 (CDK7) inhibitor for the treatment of advanced solid tumors. Its REV102 program targets ectonucleotide pyrophosphatase/phosphodiesterase 1 (ENPP1), an enzyme implicated in the pathogenesis of HPP.</v>
    <v>600</v>
    <v>Nasdaq Stock Market</v>
    <v>XNAS</v>
    <v>XNAS</v>
    <v>41S Rio Grande Street, SALT LAKE CITY, UT, 84101 US</v>
    <v>3.59</v>
    <v>Biotechnology &amp; Medical Research</v>
    <v>Stock</v>
    <v>46139.932915253907</v>
    <v>1257</v>
    <v>3.44</v>
    <v>1835345040</v>
    <v>RECURSION PHARMACEUTICALS, INC.</v>
    <v>RECURSION PHARMACEUTICALS, INC.</v>
    <v>3.46</v>
    <v>0</v>
    <v>3.51</v>
    <v>3.48</v>
    <v>3.5</v>
    <v>527398000</v>
    <v>RXRX</v>
    <v>RECURSION PHARMACEUTICALS, INC. (XNAS:RXRX)</v>
    <v>10918705</v>
    <v>12421968</v>
    <v>2013</v>
  </rv>
  <rv s="2">
    <v>1258</v>
  </rv>
  <rv s="0">
    <v>https://www.bing.com/financeapi/forcetrigger?t=a237gh&amp;q=XNYS%3aSNA&amp;form=skydnc</v>
    <v>Learn more on Bing</v>
  </rv>
  <rv s="1">
    <v>0</v>
    <v>SNAP-ON INCORPORATED (XNYS:SNA)</v>
    <v>2</v>
    <v>3</v>
    <v>Finance</v>
    <v>4</v>
    <v>en</v>
    <v>a237gh</v>
    <v>268435456</v>
    <v>1</v>
    <v>Powered by Refinitiv</v>
    <v>400.88</v>
    <v>301.76</v>
    <v>0.73950000000000005</v>
    <v>6.05</v>
    <v>1.5987999999999999E-2</v>
    <v>-5.07</v>
    <v>-1.3186999999999999E-2</v>
    <v>USD</v>
    <v>Snap-On Inc is a manufacturer and marketer of tools, equipment, diagnostics, repair information, and systems solutions. The Company operates through four segments, which include the Commercial &amp; Industrial Group, the Snap-on Tools Group, the Repair Systems &amp; Information Group and Financial Services. The Commercial &amp; Industrial Group segment consists of business operations serving a range of industrial and commercial customers globally, including customers in the aerospace, natural resources, government, and military. The Snap-on Tools Group segment consists of business operations primarily serving vehicle service and repair technicians through the company's multinational mobile tool distribution channel. The Repair Systems &amp; Information Group segment consists of business operations serving other professional vehicle repair customers globally. The Financial Services segment consists of the business operations of Snap-on’s finance subsidiaries.</v>
    <v>13000</v>
    <v>New York Stock Exchange</v>
    <v>XNYS</v>
    <v>XNYS</v>
    <v>2801 80th St, KENOSHA, WI, 53143 US</v>
    <v>387.03</v>
    <v>Machinery, Equipment &amp; Components</v>
    <v>Stock</v>
    <v>46139.921842685158</v>
    <v>1260</v>
    <v>375.18</v>
    <v>19916284182</v>
    <v>SNAP-ON INCORPORATED</v>
    <v>SNAP-ON INCORPORATED</v>
    <v>378.93</v>
    <v>19.854800000000001</v>
    <v>378.42</v>
    <v>384.47</v>
    <v>379.4</v>
    <v>51801920</v>
    <v>SNA</v>
    <v>SNAP-ON INCORPORATED (XNYS:SNA)</v>
    <v>675611</v>
    <v>444539</v>
    <v>1930</v>
  </rv>
  <rv s="2">
    <v>1261</v>
  </rv>
  <rv s="0">
    <v>https://www.bing.com/financeapi/forcetrigger?t=axyhnm&amp;q=XNAS%3aPEP&amp;form=skydnc</v>
    <v>Learn more on Bing</v>
  </rv>
  <rv s="1">
    <v>0</v>
    <v>Pepsico, Inc. (XNAS:PEP)</v>
    <v>2</v>
    <v>3</v>
    <v>Finance</v>
    <v>5</v>
    <v>en</v>
    <v>axyhnm</v>
    <v>268435456</v>
    <v>1</v>
    <v>Powered by Refinitiv</v>
    <v>171.48</v>
    <v>127.6</v>
    <v>0.38279999999999997</v>
    <v>-1.34</v>
    <v>-8.6210000000000002E-3</v>
    <v>0.01</v>
    <v>6.4889999999999997E-5</v>
    <v>USD</v>
    <v>PepsiCo, Inc. is a global beverage and convenient food company. The Company’s segments include PepsiCo Foods North America (PFNA), PepsiCo Beverages North America (PBNA), International Beverages Franchise (IB Franchise), Europe, Middle East and Africa (EMEA), Latin America Foods (LatAm Foods), and Asia Pacific Foods. PFNA segment includes all of its convenient food businesses in the United States and Canada. PBNA segment includes all of its beverage businesses in the United States and Canada. IB Franchise segment includes its international franchise beverage businesses, as well as its SodaStream business. EMEA segment includes its convenient food businesses and beverage businesses with Company-owned bottlers in Europe, the Middle East and Africa. LatAm Foods segment includes all of its convenient food businesses in Latin America. Asia Pacific Foods segment consists of its convenient food businesses in Asia Pacific, including China, Australia and New Zealand, as well as India.</v>
    <v>306000</v>
    <v>Nasdaq Stock Market</v>
    <v>XNAS</v>
    <v>XNAS</v>
    <v>700 ANDERSON HILL RD, PURCHASE, NY, 10577 US</v>
    <v>156.65</v>
    <v>Beverages</v>
    <v>Stock</v>
    <v>46139.934315253908</v>
    <v>1263</v>
    <v>154</v>
    <v>210618948800</v>
    <v>Pepsico, Inc.</v>
    <v>Pepsico, Inc.</v>
    <v>155.53</v>
    <v>24.207100000000001</v>
    <v>155.44</v>
    <v>154.1</v>
    <v>154.11000000000001</v>
    <v>1366768000</v>
    <v>PEP</v>
    <v>Pepsico, Inc. (XNAS:PEP)</v>
    <v>4076572</v>
    <v>6592742</v>
    <v>1986</v>
  </rv>
  <rv s="2">
    <v>1264</v>
  </rv>
  <rv s="0">
    <v>https://www.bing.com/financeapi/forcetrigger?t=ae9vz2&amp;q=XPAR%3aRCO&amp;form=skydnc</v>
    <v>Learn more on Bing</v>
  </rv>
  <rv s="3">
    <v>6</v>
    <v>Remy Cointreau SA (XPAR:RCO)</v>
    <v>2</v>
    <v>7</v>
    <v>Finance</v>
    <v>8</v>
    <v>en</v>
    <v>ae9vz2</v>
    <v>268435456</v>
    <v>1</v>
    <v>Powered by Refinitiv</v>
    <v>62.35</v>
    <v>34.24</v>
    <v>0.83169999999999999</v>
    <v>-0.6</v>
    <v>-1.4771000000000001E-2</v>
    <v>EUR</v>
    <v>Remy Cointreau SA is a France-based company engaged in the production and distribution of wines and spirits. The Company's activities are divided into two segments. Cognac, which offers a range of products under the Remy Martin brand and Liqueurs and Spirits, distributing liquors under the Cointreau, Izarra and Passoa brand names, as well as spirits under such brand names as Mount Gay (rum), St Remy (brandy), Ponche Kuna (rum) and Metaxa (brandy). The Company is a sole distributor of the Piper-Heidsieck and Charles Heidsieck brands, as well as Piper Sonoma (the sparkling wine brand). The Company's subsidiaries include production companies, such as E. Remy Martin &amp; Cie, and distribution companies, such as Remy Cointreau USA Inc. It operates through Westland Distillery LLC.</v>
    <v>1856</v>
    <v>Euronext Paris</v>
    <v>XPAR</v>
    <v>XPAR</v>
    <v>. RUE JOSEPH PATAA ANCIENNE RUE DE LA CHAMPAG, NOUVELLE-AQUITAINE, 16100 FR</v>
    <v>40.799999999999997</v>
    <v>Beverages</v>
    <v>Stock</v>
    <v>46139.666666666664</v>
    <v>1266</v>
    <v>39.659999999999997</v>
    <v>2174066000</v>
    <v>Remy Cointreau SA</v>
    <v>Remy Cointreau SA</v>
    <v>40.56</v>
    <v>22.835599999999999</v>
    <v>40.619999999999997</v>
    <v>40.020000000000003</v>
    <v>52589880</v>
    <v>RCO</v>
    <v>Remy Cointreau SA (XPAR:RCO)</v>
    <v>61022</v>
    <v>55710</v>
    <v>1982</v>
  </rv>
  <rv s="2">
    <v>1267</v>
  </rv>
  <rv s="0">
    <v>https://www.bing.com/financeapi/forcetrigger?t=a25mu2&amp;q=XNAS%3aVUZI&amp;form=skydnc</v>
    <v>Learn more on Bing</v>
  </rv>
  <rv s="1">
    <v>0</v>
    <v>VUZIX CORPORATION (XNAS:VUZI)</v>
    <v>2</v>
    <v>3</v>
    <v>Finance</v>
    <v>5</v>
    <v>en</v>
    <v>a25mu2</v>
    <v>268435456</v>
    <v>1</v>
    <v>Powered by Refinitiv</v>
    <v>4.29</v>
    <v>1.71</v>
    <v>1.3923000000000001</v>
    <v>-0.13</v>
    <v>-5.2632000000000005E-2</v>
    <v>0.01</v>
    <v>4.274E-3</v>
    <v>USD</v>
    <v>Vuzix Corporation is engaged in designing, manufacturing and marketing of artificial intelligence (AI)-powered Smart Glasses, Waveguides and Augmented Reality (AR) technologies, components and products for the enterprise, medical, defense and consumer markets. The Company's products include head-mounted smart personal display and wearable computing devices that offer users a portable quality viewing experience, provide solutions for mobility, wearable displays and augmented reality, as well as original equipment manufacturers (OEM) waveguide optical components and display engines. It holds 425 patents and patents pending and numerous intellectual property (IP) licenses in the fields of optics, head-mounted displays, and the augmented reality wearables field. Its products include M400 and M4000 Smart Glasses (M series), Vuzix Blade Smart Glasses, Vuzix Shield Smart Glasses, Vuzix Z100 Smart Glasses and Mobilium Logistics Mobility Software.</v>
    <v>88</v>
    <v>Nasdaq Stock Market</v>
    <v>XNAS</v>
    <v>XNAS</v>
    <v>25 Hendrix Rd Ste A, WEST HENRIETTA, NY, 14586-9205 US</v>
    <v>2.4500000000000002</v>
    <v>Electronic Equipment &amp; Parts</v>
    <v>Stock</v>
    <v>46139.932304166403</v>
    <v>1269</v>
    <v>2.33</v>
    <v>194590328</v>
    <v>VUZIX CORPORATION</v>
    <v>VUZIX CORPORATION</v>
    <v>2.4300000000000002</v>
    <v>0</v>
    <v>2.4700000000000002</v>
    <v>2.34</v>
    <v>2.35</v>
    <v>83158260</v>
    <v>VUZI</v>
    <v>VUZIX CORPORATION (XNAS:VUZI)</v>
    <v>798731</v>
    <v>805571</v>
    <v>1997</v>
  </rv>
  <rv s="2">
    <v>1270</v>
  </rv>
  <rv s="0">
    <v>https://www.bing.com/financeapi/forcetrigger?t=a1tlpr&amp;q=XNYS%3aG&amp;form=skydnc</v>
    <v>Learn more on Bing</v>
  </rv>
  <rv s="1">
    <v>0</v>
    <v>GENPACT LIMITED (XNYS:G)</v>
    <v>2</v>
    <v>3</v>
    <v>Finance</v>
    <v>4</v>
    <v>en</v>
    <v>a1tlpr</v>
    <v>268435456</v>
    <v>1</v>
    <v>Powered by Refinitiv</v>
    <v>50.41</v>
    <v>33.67</v>
    <v>0.61850000000000005</v>
    <v>-0.49</v>
    <v>-1.4277E-2</v>
    <v>-0.33</v>
    <v>-9.7549999999999998E-3</v>
    <v>USD</v>
    <v>Genpact Limited is an agentic and advanced technology solutions company. The Company leverages process intelligence and artificial intelligence to deliver measurable outcomes. The Company's segments include Financial Services, Consumer and Healthcare, and High Tech and Manufacturing. Its Financial Services segment covers services the Company provides to clients in the banking, capital markets and insurance sectors. Its core operations services for these clients include customer onboarding, customer service, collections, and others. Its Consumer and Healthcare segment covers services it provides to clients in the consumer goods, retail, life sciences and healthcare sectors. The core operations services it provides to these clients include demand generation, sensing and planning, supply chain planning and management, and others. The Company's High Tech and Manufacturing segment covers services it provides to clients in the high-tech hardware, high-tech software and manufacturing sectors.</v>
    <v>146500</v>
    <v>New York Stock Exchange</v>
    <v>XNYS</v>
    <v>XNYS</v>
    <v>Canons Court 22 Victoria Street, HM 12 BM</v>
    <v>34.979999999999997</v>
    <v>Professional &amp; Commercial Services</v>
    <v>Stock</v>
    <v>46139.885356863284</v>
    <v>1272</v>
    <v>33.67</v>
    <v>5743072141</v>
    <v>GENPACT LIMITED</v>
    <v>GENPACT LIMITED</v>
    <v>34.33</v>
    <v>10.9693</v>
    <v>34.32</v>
    <v>33.83</v>
    <v>33.5</v>
    <v>169762700</v>
    <v>G</v>
    <v>GENPACT LIMITED (XNYS:G)</v>
    <v>2601073</v>
    <v>2371033</v>
    <v>2007</v>
  </rv>
  <rv s="2">
    <v>1273</v>
  </rv>
  <rv s="0">
    <v>https://www.bing.com/financeapi/forcetrigger?t=a25nf2&amp;q=XNYS%3aVVV&amp;form=skydnc</v>
    <v>Learn more on Bing</v>
  </rv>
  <rv s="1">
    <v>0</v>
    <v>VALVOLINE INC. (XNYS:VVV)</v>
    <v>2</v>
    <v>3</v>
    <v>Finance</v>
    <v>4</v>
    <v>en</v>
    <v>a25nf2</v>
    <v>268435456</v>
    <v>1</v>
    <v>Powered by Refinitiv</v>
    <v>41.33</v>
    <v>28.5</v>
    <v>1.0486</v>
    <v>-0.24</v>
    <v>-7.2219999999999993E-3</v>
    <v>-0.23</v>
    <v>-6.9720000000000008E-3</v>
    <v>USD</v>
    <v>Valvoline Inc. provides automotive preventive maintenance services, convenient and trusted services in its retail stores throughout the United States and Canada. The Company's service includes 15-minute stay-in-your-car oil changes; battery, bulb and wiper replacements; tire rotations, and other manufacturer-recommended maintenance services. It has 2,300 franchised and Company-operated service centers across the United States and Canada. The vehicle maintenance services offered by the Company include air filter replacement, battery replacement, differential fluid, fuel system cleaning, headlight and taillight replacement, radiator service, tire rotation, transmission service, air conditioning, and wiper blade replacement. The Company’s services are offered to a range of vehicle types, serving both consumers and commercial customers, such as hybrid electric vehicles, battery electric vehicles, medium duty and passenger car motor oil light duty.</v>
    <v>11400</v>
    <v>New York Stock Exchange</v>
    <v>XNYS</v>
    <v>XNYS</v>
    <v>100 VALVOLINE WAY, SUITE 100, LEXINGTON, KY, 40509 US</v>
    <v>33.89</v>
    <v>Personal &amp; Household Products &amp; Services</v>
    <v>Stock</v>
    <v>46139.911472673441</v>
    <v>1275</v>
    <v>32.950000000000003</v>
    <v>4200148242</v>
    <v>VALVOLINE INC.</v>
    <v>VALVOLINE INC.</v>
    <v>33.46</v>
    <v>47.7562</v>
    <v>33.229999999999997</v>
    <v>32.99</v>
    <v>32.76</v>
    <v>127315800</v>
    <v>VVV</v>
    <v>VALVOLINE INC. (XNYS:VVV)</v>
    <v>1865664</v>
    <v>1893036</v>
    <v>2016</v>
  </rv>
  <rv s="2">
    <v>1276</v>
  </rv>
  <rv s="0">
    <v>https://www.bing.com/financeapi/forcetrigger?t=a1saoc&amp;q=XNYS%3aETR&amp;form=skydnc</v>
    <v>Learn more on Bing</v>
  </rv>
  <rv s="1">
    <v>0</v>
    <v>ENTERGY CORPORATION (XNYS:ETR)</v>
    <v>2</v>
    <v>3</v>
    <v>Finance</v>
    <v>5</v>
    <v>en</v>
    <v>a1saoc</v>
    <v>268435456</v>
    <v>1</v>
    <v>Powered by Refinitiv</v>
    <v>117.80500000000001</v>
    <v>79.400000000000006</v>
    <v>0.50480000000000003</v>
    <v>-0.13</v>
    <v>-1.1440000000000001E-3</v>
    <v>0.25</v>
    <v>2.2040000000000002E-3</v>
    <v>USD</v>
    <v>Entergy Corporation is an integrated energy company engaged primarily in electric power production and retail distribution operations. The Company operates primarily through a single segment, Utility. The Utility segment includes the generation, transmission, distribution, and sale of electric power in portions of Arkansas, Mississippi, Texas, and Louisiana, including the City of New Orleans. The Utility segment includes five retail electric utility subsidiaries: Entergy Arkansas, LLC, Entergy Louisiana, LLC, Entergy Mississippi, LLC, Entergy New Orleans, LLC, and Entergy Texas, Inc. These companies generate, transmit, distribute, and sell electric power to retail and wholesale customers in Arkansas, Louisiana, Mississippi, and Texas. The Company owns and operates power plants with approximately 25,000 MW of electric generating capacity. It delivers electricity to approximately three million utility customers in Arkansas, Louisiana, Mississippi, and Texas.</v>
    <v>12000</v>
    <v>New York Stock Exchange</v>
    <v>XNYS</v>
    <v>XNYS</v>
    <v>639 Loyola Ave, NEW ORLEANS, LA, 70113 US</v>
    <v>114.62</v>
    <v>Electrical Utilities &amp; IPPs</v>
    <v>Stock</v>
    <v>46139.930590450778</v>
    <v>1278</v>
    <v>113.41</v>
    <v>51964719086</v>
    <v>ENTERGY CORPORATION</v>
    <v>ENTERGY CORPORATION</v>
    <v>114.17</v>
    <v>29.038499999999999</v>
    <v>113.64</v>
    <v>113.51</v>
    <v>113.69</v>
    <v>457798600</v>
    <v>ETR</v>
    <v>ENTERGY CORPORATION (XNYS:ETR)</v>
    <v>2625603</v>
    <v>3151230</v>
    <v>1992</v>
  </rv>
  <rv s="2">
    <v>1279</v>
  </rv>
  <rv s="0">
    <v>https://www.bing.com/financeapi/forcetrigger?t=b19h6h&amp;q=XNYS%3aSKY&amp;form=skydnc</v>
    <v>Learn more on Bing</v>
  </rv>
  <rv s="1">
    <v>0</v>
    <v>CHAMPION HOMES, INC (XNYS:SKY)</v>
    <v>2</v>
    <v>3</v>
    <v>Finance</v>
    <v>4</v>
    <v>en</v>
    <v>b19h6h</v>
    <v>268435456</v>
    <v>1</v>
    <v>Powered by Refinitiv</v>
    <v>99.165099999999995</v>
    <v>59.44</v>
    <v>1.1353</v>
    <v>-1.1000000000000001</v>
    <v>-1.3415E-2</v>
    <v>-0.08</v>
    <v>-9.8890000000000002E-4</v>
    <v>USD</v>
    <v>Champion Homes, Inc. is a producer of factory-built housing in North America. Its segments include U.S. Factory-built Housing, which includes manufacturing and retail housing operations, and Canadian Factory-built Housing. The Company has a portfolio of manufactured and modular homes, accessory dwelling units (ADUs), park-models and modular buildings for the single-family, multifamily, and hospitality sectors. In addition to its core home-building business, the Company provides construction services to install and set-up factory-built homes, operates a factory-direct retail business with 72 retail locations across the United States, and operates Star Fleet Trucking, providing transportation services to manufactured housing and other industries from several dispatch locations across the United States. It builds homes under brand names in the factory-built housing industry, including Champion Homes, Genesis Homes, Skyline Homes, Regional Homes, Athens Park, and Dutch Housing.</v>
    <v>9000</v>
    <v>New York Stock Exchange</v>
    <v>XNYS</v>
    <v>XNYS</v>
    <v>755 W Big Beaver Road, Suite 1000, TROY, MI, 48084 US</v>
    <v>82.95</v>
    <v>Homebuilding &amp; Construction Supplies</v>
    <v>Stock</v>
    <v>46139.885390751566</v>
    <v>1281</v>
    <v>80.84</v>
    <v>4473933418</v>
    <v>CHAMPION HOMES, INC</v>
    <v>CHAMPION HOMES, INC</v>
    <v>81.36</v>
    <v>21.585999999999999</v>
    <v>82</v>
    <v>80.900000000000006</v>
    <v>80.819999999999993</v>
    <v>55302020</v>
    <v>SKY</v>
    <v>CHAMPION HOMES, INC (XNYS:SKY)</v>
    <v>299845</v>
    <v>501148</v>
    <v>1959</v>
  </rv>
  <rv s="2">
    <v>1282</v>
  </rv>
  <rv s="0">
    <v>https://www.bing.com/financeapi/forcetrigger?t=bq8rqh&amp;q=XNAS%3aCRWD&amp;form=skydnc</v>
    <v>Learn more on Bing</v>
  </rv>
  <rv s="1">
    <v>0</v>
    <v>CROWDSTRIKE HOLDINGS, INC. (XNAS:CRWD)</v>
    <v>2</v>
    <v>3</v>
    <v>Finance</v>
    <v>5</v>
    <v>en</v>
    <v>bq8rqh</v>
    <v>268435456</v>
    <v>1</v>
    <v>Powered by Refinitiv</v>
    <v>566.9</v>
    <v>342.72</v>
    <v>1.069</v>
    <v>6.48</v>
    <v>1.4459999999999999E-2</v>
    <v>0.39</v>
    <v>8.5790000000000009E-4</v>
    <v>USD</v>
    <v>CrowdStrike Holdings, Inc. is a global cybersecurity company that provides cloud-delivered protection of endpoints, cloud workloads, identity and data. Its Falcon platform is designed for cybersecurity consolidation, purpose-built to stop breaches. The platforms collect and integrate data from across the enterprise, including endpoints, cloud workloads, identities, and third-party sources. It offers 29 cloud modules on its Falcon platform via a software as a service (SaaS) subscription-based model that spans multiple large markets, including corporate endpoint and cloud workload security, managed security services, security and vulnerability management, information technology (IT) operations management, identity protection, next-generation security information and event management (SIEM) and log management, threat intelligence services, data protection, SaaS security posture management, automation and response (SOAR) and artificial intelligence powered workflow automation, and others.</v>
    <v>10698</v>
    <v>Nasdaq Stock Market</v>
    <v>XNAS</v>
    <v>XNAS</v>
    <v>206 E. 9TH STREET, SUITE 1400, AUSTIN, TX, 78701 US</v>
    <v>457.98</v>
    <v>Software &amp; IT Services</v>
    <v>Stock</v>
    <v>46139.933538784375</v>
    <v>1284</v>
    <v>442.62</v>
    <v>115107706610</v>
    <v>CROWDSTRIKE HOLDINGS, INC.</v>
    <v>CROWDSTRIKE HOLDINGS, INC.</v>
    <v>453.55</v>
    <v>0</v>
    <v>448.13</v>
    <v>454.61</v>
    <v>455</v>
    <v>253201000</v>
    <v>CRWD</v>
    <v>CROWDSTRIKE HOLDINGS, INC. (XNAS:CRWD)</v>
    <v>2294609</v>
    <v>3842068</v>
    <v>2011</v>
  </rv>
  <rv s="2">
    <v>1285</v>
  </rv>
  <rv s="0">
    <v>https://www.bing.com/financeapi/forcetrigger?t=a1qq8m&amp;q=XNAS%3aDAKT&amp;form=skydnc</v>
    <v>Learn more on Bing</v>
  </rv>
  <rv s="1">
    <v>0</v>
    <v>DAKTRONICS, INC (XNAS:DAKT)</v>
    <v>2</v>
    <v>3</v>
    <v>Finance</v>
    <v>4</v>
    <v>en</v>
    <v>a1qq8m</v>
    <v>268435456</v>
    <v>1</v>
    <v>Powered by Refinitiv</v>
    <v>28.268899999999999</v>
    <v>12.35</v>
    <v>1.6971000000000001</v>
    <v>-0.28999999999999998</v>
    <v>-1.4522E-2</v>
    <v>0.32</v>
    <v>1.626E-2</v>
    <v>USD</v>
    <v>Daktronics, Inc. is a global designer and manufacturer of dynamic video communication displays and control systems for customers worldwide. Commercial segment consists of sales of its integrated video display systems, digital billboards, Galaxy and Fuelight product lines, and dynamic messaging systems. Live Events segment consists of sales of integrated scoring and video display systems, and sales of its mobile display technology to video rental organizations and other live event-type venues. High School Park and Recreation segment consists of sales of scoring systems, Galaxy displays and video display systems to primary and secondary education facilities and resellers. Transportation segment consists of sales of intelligent transportation systems, dynamic messaging signs for road management, mass transit, aviation applications and others. Its MicroLED fabrication offers advanced display solutions with pixel pitches for large-format video walls and medium-sized commercial displays.</v>
    <v>2422</v>
    <v>Nasdaq Stock Market</v>
    <v>XNAS</v>
    <v>XNAS</v>
    <v>Po Box 5128, 201 Daktronics Drive, BROOKINGS, SD, 57006 US</v>
    <v>20.190000000000001</v>
    <v>Electronic Equipment &amp; Parts</v>
    <v>Stock</v>
    <v>46139.91194289297</v>
    <v>1287</v>
    <v>19.670000000000002</v>
    <v>950506804</v>
    <v>DAKTRONICS, INC</v>
    <v>DAKTRONICS, INC</v>
    <v>19.97</v>
    <v>33.6066</v>
    <v>19.97</v>
    <v>19.68</v>
    <v>20</v>
    <v>48298110</v>
    <v>DAKT</v>
    <v>DAKTRONICS, INC (XNAS:DAKT)</v>
    <v>297385</v>
    <v>392880</v>
    <v>2025</v>
  </rv>
  <rv s="2">
    <v>1288</v>
  </rv>
  <rv s="0">
    <v>https://www.bing.com/financeapi/forcetrigger?t=c2i1cw&amp;q=XNAS%3aCFLT&amp;form=skydnc</v>
    <v>Learn more on Bing</v>
  </rv>
  <rv s="27">
    <v>57</v>
    <v>CONFLUENT, INC. (XNAS:CFLT)</v>
    <v>2</v>
    <v>58</v>
    <v>Finance</v>
    <v>59</v>
    <v>en</v>
    <v>c2i1cw</v>
    <v>268435456</v>
    <v>1</v>
    <v>1</v>
    <v>Powered by Refinitiv</v>
    <v>31</v>
    <v>15.64</v>
    <v>0.93779999999999997</v>
    <v>0</v>
    <v>0</v>
    <v>USD</v>
    <v>Confluent, Inc. provides a data streaming platform that enables customers to connect their applications, systems, and data layers and can be deployed as a fully-managed cloud-native software-as-a-service (SaaS) offering, Confluent Cloud, as a self-managed software offering, Confluent Platform, or as a Bring Your Own Cloud (BYOC) managed service offering where the raw data resides inside a customer’s own cloud environment, WarpStream. The Company also offers professional services and educational services. The Company is focused on developing a category of data infrastructure focused on data in motion for developers and enterprises. Its cloud-native offering works across multi-cloud and hybrid infrastructures and supports a variety of deployment models to support diverse customer requirements, delivering massive scalability, elasticity, security, and global interconnectedness, enabling agile development. WarpStream offers a lower-cost option for relaxed latency use cases for customers.</v>
    <v>3241</v>
    <v>Nasdaq Stock Market</v>
    <v>XNAS</v>
    <v>XNAS</v>
    <v>899 W. Evelyn Avenue, Suite 111, MOUNTAIN VIEW, CA, 94041 US</v>
    <v>31</v>
    <v>Software &amp; IT Services</v>
    <v>Stock</v>
    <v>46097.992174883591</v>
    <v>1290</v>
    <v>30.67</v>
    <v>11133730815</v>
    <v>CONFLUENT, INC.</v>
    <v>CONFLUENT, INC.</v>
    <v>30.68</v>
    <v>0</v>
    <v>30.67</v>
    <v>30.99</v>
    <v>359268500</v>
    <v>CFLT</v>
    <v>CONFLUENT, INC. (XNAS:CFLT)</v>
    <v>18393291</v>
    <v>9641109</v>
    <v>2014</v>
  </rv>
  <rv s="2">
    <v>1291</v>
  </rv>
  <rv s="0">
    <v>https://www.bing.com/financeapi/forcetrigger?t=bv6iar&amp;q=XNYS%3aBFLY&amp;form=skydnc</v>
    <v>Learn more on Bing</v>
  </rv>
  <rv s="6">
    <v>14</v>
    <v>BUTTERFLY NETWORK, INC. (XNYS:BFLY)</v>
    <v>2</v>
    <v>15</v>
    <v>Finance</v>
    <v>4</v>
    <v>en</v>
    <v>bv6iar</v>
    <v>268435456</v>
    <v>1</v>
    <v>Powered by Refinitiv</v>
    <v>5.72</v>
    <v>1.32</v>
    <v>2.3906000000000001</v>
    <v>0.15</v>
    <v>2.8142999999999998E-2</v>
    <v>-0.01</v>
    <v>-1.825E-3</v>
    <v>USD</v>
    <v>Butterfly Network, Inc. is a healthcare company focused on medical imaging with its Ultrasound-on-Chip semiconductor technology and ultrasound software solutions. The Company's solution, leveraging its Ultrasound-on-Chip technology, enables the practical application of ultrasound information into the clinical workflow. Its product portfolio includes a combination of hardware and software, including Butterfly iQ3, Butterfly iQ+, Butterfly iQ+ Bladder, and Butterfly iQ+ Vet devices, software subscriptions, and professional services. It offers cloud-based software solutions to healthcare systems, teleguidance, in-app educational tutorials as well as its ScanLab education-only app, formal education programs through its Butterfly Academy software and Butterfly Certified courses, as well as professional services for large scale deployments. Its devices are commercially available to trained healthcare practitioners in areas including, but not limited to, parts of Africa, Asia, and Australia.</v>
    <v>220</v>
    <v>New York Stock Exchange</v>
    <v>XNYS</v>
    <v>XNYS</v>
    <v>1600 District Avenue, BURLINGTON, MA, 01803 US</v>
    <v>5.5949999999999998</v>
    <v>Healthcare Equipment &amp; Supplies</v>
    <v>Stock</v>
    <v>46139.91714717578</v>
    <v>1293</v>
    <v>5.2949999999999999</v>
    <v>1395388292</v>
    <v>BUTTERFLY NETWORK, INC.</v>
    <v>BUTTERFLY NETWORK, INC.</v>
    <v>5.3</v>
    <v>5.33</v>
    <v>5.48</v>
    <v>5.47</v>
    <v>254632900</v>
    <v>BFLY</v>
    <v>BUTTERFLY NETWORK, INC. (XNYS:BFLY)</v>
    <v>4492045</v>
    <v>4798442</v>
    <v>2020</v>
  </rv>
  <rv s="2">
    <v>1294</v>
  </rv>
  <rv s="0">
    <v>https://www.bing.com/financeapi/forcetrigger?t=a1xap2&amp;q=XNAS%3aMASI&amp;form=skydnc</v>
    <v>Learn more on Bing</v>
  </rv>
  <rv s="1">
    <v>0</v>
    <v>MASIMO CORPORATION (XNAS:MASI)</v>
    <v>2</v>
    <v>3</v>
    <v>Finance</v>
    <v>4</v>
    <v>en</v>
    <v>a1xap2</v>
    <v>268435456</v>
    <v>1</v>
    <v>Powered by Refinitiv</v>
    <v>179</v>
    <v>125.94</v>
    <v>1.1402000000000001</v>
    <v>0.03</v>
    <v>1.6789999999999999E-4</v>
    <v>-0.66</v>
    <v>-3.6940000000000002E-3</v>
    <v>USD</v>
    <v>Masimo Corporation is a global medical technology company that develops and produces a wide range of monitoring technologies, including measurements, sensors, patient monitors, automation and connectivity solutions. The Company’s healthcare products and patient monitoring solutions generally incorporate a monitor or circuit board, proprietary single-patient use or reusable sensors, software and/or cables. It primarily sells its healthcare products to hospitals, emergency medical service providers, home care providers, physician offices, veterinarians, long-term care facilities. Its measurement technologies include Measure-through Motion and Low Perfusion pulse oximetry, known as Masimo Signal Extraction Technology (SET) pulse oximetry, and advanced rainbow Pulse CO-Oximetry parameters such as noninvasive hemoglobin (SpHb), alongside many other modalities, including brain function monitoring, hemodynamic monitoring, regional oximetry, capnography and gas monitoring, and others.</v>
    <v>2200</v>
    <v>Nasdaq Stock Market</v>
    <v>XNAS</v>
    <v>XNAS</v>
    <v>52 Discovery, IRVINE, CA, 92618 US</v>
    <v>178.76</v>
    <v>Healthcare Equipment &amp; Supplies</v>
    <v>Stock</v>
    <v>46139.921490300781</v>
    <v>1296</v>
    <v>178.52</v>
    <v>6990870592</v>
    <v>MASIMO CORPORATION</v>
    <v>MASIMO CORPORATION</v>
    <v>178.59</v>
    <v>46.105800000000002</v>
    <v>178.63</v>
    <v>178.66</v>
    <v>178</v>
    <v>52362810</v>
    <v>MASI</v>
    <v>MASIMO CORPORATION (XNAS:MASI)</v>
    <v>523514</v>
    <v>945827</v>
    <v>1996</v>
  </rv>
  <rv s="2">
    <v>1297</v>
  </rv>
  <rv s="0">
    <v>https://www.bing.com/financeapi/forcetrigger?t=ayux5r&amp;q=XNYS%3aWHD&amp;form=skydnc</v>
    <v>Learn more on Bing</v>
  </rv>
  <rv s="1">
    <v>0</v>
    <v>CACTUS, INC. (XNYS:WHD)</v>
    <v>2</v>
    <v>3</v>
    <v>Finance</v>
    <v>4</v>
    <v>en</v>
    <v>ayux5r</v>
    <v>268435456</v>
    <v>1</v>
    <v>Powered by Refinitiv</v>
    <v>59.25</v>
    <v>33.200000000000003</v>
    <v>1.4019999999999999</v>
    <v>0.16</v>
    <v>2.8179999999999998E-3</v>
    <v>-0.19</v>
    <v>-3.3370000000000001E-3</v>
    <v>USD</v>
    <v>Cactus, Inc. is a holding company. The Company operates through two segments. The Pressure Control segment designs, manufactures, sells and rents a range of wellheads and pressure control equipment under the Cactus Wellhead brand. The segment’s products are sold and rented principally for onshore unconventional oil and gas wells and are utilized during the drilling, completion and production phases of its customers' wells. In addition, it provides field services for all of its products and rental items to assist with the installation, maintenance and handling of the equipment. The Spoolable Technologies segment designs, manufactures and sells spoolable pipe and associated end fittings under the FlexSteel brand. Its customers use these products primarily as production, gathering and takeaway pipelines to transport oil, gas or other liquids. In addition, it also provides field services and rental items to assist its customers with the installation of these products.</v>
    <v>1500</v>
    <v>New York Stock Exchange</v>
    <v>XNYS</v>
    <v>XNYS</v>
    <v>920 Memorial City Way Ste 300, HOUSTON, TX, 77024-2653 US</v>
    <v>57.56</v>
    <v>Oil &amp; Gas Related Equipment and Services</v>
    <v>Stock</v>
    <v>46139.880285925785</v>
    <v>1299</v>
    <v>56.57</v>
    <v>4565099588</v>
    <v>CACTUS, INC.</v>
    <v>CACTUS, INC.</v>
    <v>57.14</v>
    <v>23.6111</v>
    <v>56.78</v>
    <v>56.94</v>
    <v>56.75</v>
    <v>80173860</v>
    <v>WHD</v>
    <v>CACTUS, INC. (XNYS:WHD)</v>
    <v>695609</v>
    <v>931926</v>
    <v>2017</v>
  </rv>
  <rv s="2">
    <v>1300</v>
  </rv>
  <rv s="0">
    <v>https://www.bing.com/financeapi/forcetrigger?t=ae9wmw&amp;q=XPAR%3aRNO&amp;form=skydnc</v>
    <v>Learn more on Bing</v>
  </rv>
  <rv s="3">
    <v>6</v>
    <v>Renault SA (XPAR:RNO)</v>
    <v>2</v>
    <v>7</v>
    <v>Finance</v>
    <v>8</v>
    <v>en</v>
    <v>ae9wmw</v>
    <v>268435456</v>
    <v>1</v>
    <v>Powered by Refinitiv</v>
    <v>49.74</v>
    <v>26.87</v>
    <v>1.3320000000000001</v>
    <v>0.87</v>
    <v>2.9234E-2</v>
    <v>EUR</v>
    <v>Renault SA is a France-based company that designs, manufactures, and sells passenger cars and light commercial vehicles and related services. Its brand portfolio consists of Renault, Dacia (both operating globally), Alpine (active in Europe, Japan and Australia), Renault Samsung Motors (operates only in South Korea) and Lada (operates only in Russia). The Group’s activities have been organized into three main types of operating activities: Automotive, with the design, manufacture and distribution of products through its sales network (including its Renault Retail Group subsidiary): New vehicles, with marketed under four brands that include Renault, Dacia, Alpine and Mobilize; Sales Financing operated by RCI Banque S.A. and its subsidiaries under the trade name Mobilize Financial Services (sales financing, rental, maintenance and service contracts); and Mobility Services under the Mobilize Beyond Automotive brand (flexible mobility and energy solutions for electric vehicle users).</v>
    <v>93035</v>
    <v>Euronext Paris</v>
    <v>XPAR</v>
    <v>XPAR</v>
    <v>122-122 bis avenue du General Leclerc, BOULOGNE-BILLANCOURT, 92100 FR</v>
    <v>31.09</v>
    <v>Automobiles &amp; Auto Parts</v>
    <v>Stock</v>
    <v>46139.666666666664</v>
    <v>1302</v>
    <v>29.64</v>
    <v>9885996000</v>
    <v>Renault SA</v>
    <v>Renault SA</v>
    <v>29.7</v>
    <v>0</v>
    <v>29.76</v>
    <v>30.63</v>
    <v>295722300</v>
    <v>RNO</v>
    <v>Renault SA (XPAR:RNO)</v>
    <v>1123707</v>
    <v>1216270</v>
    <v>2002</v>
  </rv>
  <rv s="2">
    <v>1303</v>
  </rv>
  <rv s="0">
    <v>https://www.bing.com/financeapi/forcetrigger?t=c3bvmw&amp;q=XNAS%3aFRSH&amp;form=skydnc</v>
    <v>Learn more on Bing</v>
  </rv>
  <rv s="1">
    <v>0</v>
    <v>FRESHWORKS INC. (XNAS:FRSH)</v>
    <v>2</v>
    <v>3</v>
    <v>Finance</v>
    <v>5</v>
    <v>en</v>
    <v>c3bvmw</v>
    <v>268435456</v>
    <v>1</v>
    <v>Powered by Refinitiv</v>
    <v>16.14</v>
    <v>6.79</v>
    <v>0.86850000000000005</v>
    <v>-0.12</v>
    <v>-1.4184E-2</v>
    <v>7.0000000000000007E-2</v>
    <v>8.3930000000000012E-3</v>
    <v>USD</v>
    <v>Freshworks Inc. provides people-first AI service software that organizations use to deliver employee and customer experience. The Company's employee experience (EX) products include Freshservice, Freshservice for Business Teams, Device42 and FireHydrant. Its customer experience (CX) products include its Freshdesk suite of products. Its AI offerings include Freddy AI Agents, Freddy AI Copilot, and Freddy AI Insights. Freshservice is its unified IT and enterprise service management platform that brings together IT Service Management, IT Operations Management, and IT Infrastructure Management. Freshservice for Business Teams extends these capabilities to departments such as HR, Facilities, Finance, and Legal and can be used independently by individual business units. Device42 adds advanced discovery, inventory, and dependency mapping across complex IT environments. FireHydrant unifies alerting, on-call coordination, major-incident response, and post-incident analytics in a single system.</v>
    <v>4500</v>
    <v>Nasdaq Stock Market</v>
    <v>XNAS</v>
    <v>XNAS</v>
    <v>2950 S. Delaware St., Suite 201, SAN MATEO, CA, 94403 US</v>
    <v>8.5449999999999999</v>
    <v>Software &amp; IT Services</v>
    <v>Stock</v>
    <v>46139.933793124997</v>
    <v>1305</v>
    <v>8.33</v>
    <v>2326486368</v>
    <v>FRESHWORKS INC.</v>
    <v>FRESHWORKS INC.</v>
    <v>8.41</v>
    <v>13.5176</v>
    <v>8.4600000000000009</v>
    <v>8.34</v>
    <v>8.41</v>
    <v>278955200</v>
    <v>FRSH</v>
    <v>FRESHWORKS INC. (XNAS:FRSH)</v>
    <v>6127522</v>
    <v>8991277</v>
    <v>2010</v>
  </rv>
  <rv s="2">
    <v>1306</v>
  </rv>
  <rv s="0">
    <v>https://www.bing.com/financeapi/forcetrigger?t=bn8gur&amp;q=XNAS%3aSIBN&amp;form=skydnc</v>
    <v>Learn more on Bing</v>
  </rv>
  <rv s="1">
    <v>0</v>
    <v>SI-BONE, INC. (XNAS:SIBN)</v>
    <v>2</v>
    <v>3</v>
    <v>Finance</v>
    <v>4</v>
    <v>en</v>
    <v>bn8gur</v>
    <v>268435456</v>
    <v>1</v>
    <v>Powered by Refinitiv</v>
    <v>21.89</v>
    <v>12.15</v>
    <v>0.74319999999999997</v>
    <v>-0.37</v>
    <v>-2.7366999999999999E-2</v>
    <v>0</v>
    <v>0</v>
    <v>USD</v>
    <v>SI-BONE, Inc. is a medical device company dedicated to solving musculoskeletal disorders of sacropelvic anatomy. The Company specializes in minimally invasive surgical implant systems to address sacroiliac joint dysfunction as well as address unmet clinical needs in pelvic fixation and management of pelvic fractures. The Company's products include a series of patented titanium implants, and the instruments used to implant them, as well as implantable bone products. Its products include iFuse, iFuse-3D, iFuse-TORQ and iFuse Bedrock Granite. Within the United States, iFuse, iFuse-3D and iFuse-TORQ have clearances for applications across sacroiliac joint dysfunction and fusion, adult spinal deformity and degeneration, and pelvic trauma. Its first-generation iFuse, a machined triangular titanium implant, has a triangular cross section that resists twisting or rotation of the implant. The Company's second generation iFuse product, the iFuse-3D implant, is a patented titanium implant.</v>
    <v>376</v>
    <v>Nasdaq Stock Market</v>
    <v>XNAS</v>
    <v>XNAS</v>
    <v>471 El Camino Real, Suite 101, SANTA CLARA, CA, 95050 US</v>
    <v>13.67</v>
    <v>Healthcare Equipment &amp; Supplies</v>
    <v>Stock</v>
    <v>46139.840334849221</v>
    <v>1308</v>
    <v>13.15</v>
    <v>581804918</v>
    <v>SI-BONE, INC.</v>
    <v>SI-BONE, INC.</v>
    <v>13.67</v>
    <v>0</v>
    <v>13.52</v>
    <v>13.15</v>
    <v>13.15</v>
    <v>44243720</v>
    <v>SIBN</v>
    <v>SI-BONE, INC. (XNAS:SIBN)</v>
    <v>436604</v>
    <v>647530</v>
    <v>2008</v>
  </rv>
  <rv s="2">
    <v>1309</v>
  </rv>
  <rv s="0">
    <v>https://www.bing.com/financeapi/forcetrigger?t=ae8177&amp;q=XPAR%3aCAP&amp;form=skydnc</v>
    <v>Learn more on Bing</v>
  </rv>
  <rv s="3">
    <v>6</v>
    <v>Capgemini SE (XPAR:CAP)</v>
    <v>2</v>
    <v>7</v>
    <v>Finance</v>
    <v>8</v>
    <v>en</v>
    <v>ae8177</v>
    <v>268435456</v>
    <v>1</v>
    <v>Powered by Refinitiv</v>
    <v>156.55000000000001</v>
    <v>94.88</v>
    <v>0.89610000000000001</v>
    <v>2.5</v>
    <v>2.5226999999999999E-2</v>
    <v>EUR</v>
    <v>Capgemini SE is a France-based company specialized in consulting, technology services and digital transformation. It operates through four segments: Application services, Technology and Engineering services, Consulting services and Other Managed services. Application services designs and develops technological solutions and help customers optimize their applications, among others. Technology and Engineering services assists and supports internal information technology (IT) and engineering teams within client companies. Consulting focuses on strategy, technology, data science, and creative design to support customers in creating new models and new products and services within the digital economy. Other Managed services integrates, manages, and/or develops clients’ IT infrastructure systems, among others.</v>
    <v>423405</v>
    <v>Euronext Paris</v>
    <v>XPAR</v>
    <v>XPAR</v>
    <v>11 RUE DE TILSITT, 75017 FR</v>
    <v>102.35</v>
    <v>Software &amp; IT Services</v>
    <v>Stock</v>
    <v>46139.666666666664</v>
    <v>1311</v>
    <v>99.4</v>
    <v>24962520000</v>
    <v>Capgemini SE</v>
    <v>Capgemini SE</v>
    <v>99.54</v>
    <v>10.4787</v>
    <v>99.1</v>
    <v>101.6</v>
    <v>169928700</v>
    <v>CAP</v>
    <v>Capgemini SE (XPAR:CAP)</v>
    <v>450076</v>
    <v>608300</v>
    <v>1984</v>
  </rv>
  <rv s="2">
    <v>1312</v>
  </rv>
  <rv s="0">
    <v>https://www.bing.com/financeapi/forcetrigger?t=a235c7&amp;q=XNYS%3aSMG&amp;form=skydnc</v>
    <v>Learn more on Bing</v>
  </rv>
  <rv s="1">
    <v>0</v>
    <v>THE SCOTTS MIRACLE-GRO COMPANY (XNYS:SMG)</v>
    <v>2</v>
    <v>3</v>
    <v>Finance</v>
    <v>4</v>
    <v>en</v>
    <v>a235c7</v>
    <v>268435456</v>
    <v>1</v>
    <v>Powered by Refinitiv</v>
    <v>72.349999999999994</v>
    <v>45.61</v>
    <v>1.9315</v>
    <v>0.57999999999999996</v>
    <v>8.6309999999999998E-3</v>
    <v>1.22</v>
    <v>1.7999000000000001E-2</v>
    <v>USD</v>
    <v>The Scotts Miracle-Gro Company is engaged in the manufacturing, marketing, and sale of products for lawn and garden care and indoor and hydroponic gardening. The Company’s products are primarily sold in North America. The U.S. Consumer segment consists of its consumer lawn and garden business in the United States. Its consumer lawn and garden brands include Scotts, Turf Builder, lawn fertilizer and Scotts, grass seed products; Miracle-Gro soil, plant food, and gardening products; Ortho herbicide and pesticide products, and Tomcat rodent control and animal repellent products. The Other segment consists of its consumer lawn and garden business in Canada. Its products include Turf Builder Halts Crabgrass Preventer with Lawn Food, Turf Builder Weed &amp; Feed5, Turf Builder SummerGuard Lawn Food with Insect Control, Turf Builder Southern Lawn Food, Turf Builder EdgeGuard Mini Broadcast Spreader, Turf Builder Bonus S Southern Weed &amp; Feed₂ Turf Builder Lawn Food and others.</v>
    <v>2100</v>
    <v>New York Stock Exchange</v>
    <v>XNYS</v>
    <v>XNYS</v>
    <v>14111 Scottslawn Rd, MARYSVILLE, OH, 43040-7800 US</v>
    <v>68.599999999999994</v>
    <v>Chemicals</v>
    <v>Stock</v>
    <v>46139.912194409379</v>
    <v>1314</v>
    <v>66.680000000000007</v>
    <v>3933934255</v>
    <v>THE SCOTTS MIRACLE-GRO COMPANY</v>
    <v>THE SCOTTS MIRACLE-GRO COMPANY</v>
    <v>67.489999999999995</v>
    <v>24.2669</v>
    <v>67.2</v>
    <v>67.78</v>
    <v>69</v>
    <v>58039750</v>
    <v>SMG</v>
    <v>THE SCOTTS MIRACLE-GRO COMPANY (XNYS:SMG)</v>
    <v>845409</v>
    <v>949435</v>
    <v>2004</v>
  </rv>
  <rv s="2">
    <v>1315</v>
  </rv>
  <rv s="0">
    <v>https://www.bing.com/financeapi/forcetrigger?t=aea3a2&amp;q=XPAR%3aSOP&amp;form=skydnc</v>
    <v>Learn more on Bing</v>
  </rv>
  <rv s="3">
    <v>6</v>
    <v>Sopra Steria Group SA (XPAR:SOP)</v>
    <v>2</v>
    <v>7</v>
    <v>Finance</v>
    <v>8</v>
    <v>en</v>
    <v>aea3a2</v>
    <v>268435456</v>
    <v>1</v>
    <v>Powered by Refinitiv</v>
    <v>210.6</v>
    <v>109.4</v>
    <v>0.88500000000000001</v>
    <v>0.7</v>
    <v>6.2220000000000001E-3</v>
    <v>EUR</v>
    <v>Sopra Steria Group SA, formerly Sopra Group SA is a France-based consultancy, digital services and software development, systems integration, and application outsourcing company. The Company guides businesses through conversion projects, from the development phase to the implementation phase. Its services include consulting, enterprise resource planning integration (ERP), customer relationship management (CRM), site software engineering, global testing, and business intelligence (BI), among others. Sopra Steira Group SA’s activities are targeted at the customers operating in different sectors, such as banking, insurance, manufacturing, distribution, public sector, telecommunications, and real estate. The Company is present in France, the Benelux, Morocco, Germany, India, Ireland, Spain, Portugal, the Scandinavian region, Italy, the United Kingdom, and Switzerland. The Company has such subsidiaries as Cassiopae MEA, COR&amp;FJA AG, HR Access Service Line, Steria SA and Kentor, among others.</v>
    <v>51275</v>
    <v>Euronext Paris</v>
    <v>XPAR</v>
    <v>XPAR</v>
    <v>Pae Des Glaisins, 3 Rue Du Pre Faucon, ANNECY, AUVERGNE-RHONE-ALPES, 74940 FR</v>
    <v>114.1</v>
    <v>Software &amp; IT Services</v>
    <v>Stock</v>
    <v>46139.666666666664</v>
    <v>1317</v>
    <v>112.4</v>
    <v>3256811000</v>
    <v>Sopra Steria Group SA</v>
    <v>Sopra Steria Group SA</v>
    <v>113.3</v>
    <v>7.3864000000000001</v>
    <v>112.5</v>
    <v>113.2</v>
    <v>20547700</v>
    <v>SOP</v>
    <v>Sopra Steria Group SA (XPAR:SOP)</v>
    <v>90632</v>
    <v>51310</v>
    <v>1993</v>
  </rv>
  <rv s="2">
    <v>1318</v>
  </rv>
  <rv s="0">
    <v>https://www.bing.com/financeapi/forcetrigger?t=afra7w&amp;q=XETR%3aDUE&amp;form=skydnc</v>
    <v>Learn more on Bing</v>
  </rv>
  <rv s="3">
    <v>6</v>
    <v>Duerr AG (XETR:DUE)</v>
    <v>2</v>
    <v>7</v>
    <v>Finance</v>
    <v>8</v>
    <v>en</v>
    <v>afra7w</v>
    <v>268435456</v>
    <v>1</v>
    <v>Powered by Refinitiv</v>
    <v>25.1</v>
    <v>17.2</v>
    <v>1.7507999999999999</v>
    <v>-0.2</v>
    <v>-9.3460000000000001E-3</v>
    <v>EUR</v>
    <v>Duerr AG is a Germany-based management holding company, which provides equipment, systems, and services mainly for automobile and aircraft industries. The Company operates through four business divisions: Paint and Assembly Systems; Application Technology; Measuring and Process Systems, and Wood Processing Systems. The paint and assembly systems segment includes planning and building paint shops and assembly lines for the automobile industry as well as painting and assembling systems for aircraft construction. The Application Technology segment focuses on solutions for automated spray application of paint. The Measuring and Process Systems, comprise balancing and diagnostics systems, among others. The Company's wood-processing technology is included in the wood-processing systems division.</v>
    <v>17881</v>
    <v>Xetra</v>
    <v>XETR</v>
    <v>XETR</v>
    <v>Carl-Benz-Str. 34, BIETIGHEIM-BISSINGEN, BADEN-WUERTTEMBERG, 74321 DE</v>
    <v>21.75</v>
    <v>Machinery, Equipment &amp; Components</v>
    <v>Stock</v>
    <v>46139.895995370367</v>
    <v>1320</v>
    <v>21</v>
    <v>1598568000</v>
    <v>Duerr AG</v>
    <v>Duerr AG</v>
    <v>21.55</v>
    <v>0</v>
    <v>21.4</v>
    <v>21.2</v>
    <v>69202080</v>
    <v>DUE</v>
    <v>Duerr AG (XETR:DUE)</v>
    <v>73330</v>
    <v>95360</v>
    <v>1989</v>
  </rv>
  <rv s="2">
    <v>1321</v>
  </rv>
  <rv s="0">
    <v>https://www.bing.com/financeapi/forcetrigger?t=c2clh7&amp;q=XNYS%3aCXM&amp;form=skydnc</v>
    <v>Learn more on Bing</v>
  </rv>
  <rv s="1">
    <v>0</v>
    <v>SPRINKLR, INC. (XNYS:CXM)</v>
    <v>2</v>
    <v>3</v>
    <v>Finance</v>
    <v>4</v>
    <v>en</v>
    <v>c2clh7</v>
    <v>268435456</v>
    <v>1</v>
    <v>Powered by Refinitiv</v>
    <v>9.4</v>
    <v>4.7149999999999999</v>
    <v>0.57130000000000003</v>
    <v>0.08</v>
    <v>1.5935999999999999E-2</v>
    <v>0</v>
    <v>0</v>
    <v>USD</v>
    <v>Sprinklr, Inc. is an enterprise software company for customer-facing functions. The Company's artificial intelligence (AI) platform, Unified Customer Experience Management (Unified-CXM), enables customer-facing teams, from customer service to marketing, to collaborate across internal silos, communicate across digital channels, and leverage AI to deliver better customer experience. Its platform enables organizations to connect to approximately 30 digital channels, including messaging, live chat, text, social media and hundreds of millions of forums, blogs, news and review sites, as well as traditional channels such as voice and email. Its single-codebase platform is designed to handle unstructured data. Its Unified-CXM platform enables listening, seamless collaboration across the entire customer journey, skills-based workflow, customer-led governance, and timely decision-making.</v>
    <v>3258</v>
    <v>New York Stock Exchange</v>
    <v>XNYS</v>
    <v>XNYS</v>
    <v>441 9Th Ave, 12Th Floor, NEW YORK, NY, 10001 US</v>
    <v>5.2549999999999999</v>
    <v>Software &amp; IT Services</v>
    <v>Stock</v>
    <v>46139.892870578122</v>
    <v>1323</v>
    <v>4.9749999999999996</v>
    <v>1269207930</v>
    <v>SPRINKLR, INC.</v>
    <v>SPRINKLR, INC.</v>
    <v>4.99</v>
    <v>56.404499999999999</v>
    <v>5.0199999999999996</v>
    <v>5.0999999999999996</v>
    <v>5.0999999999999996</v>
    <v>248864300</v>
    <v>CXM</v>
    <v>SPRINKLR, INC. (XNYS:CXM)</v>
    <v>5106035</v>
    <v>4314328</v>
    <v>2011</v>
  </rv>
  <rv s="2">
    <v>1324</v>
  </rv>
  <rv s="0">
    <v>https://www.bing.com/financeapi/forcetrigger?t=a21z6h&amp;q=XNYS%3aRH&amp;form=skydnc</v>
    <v>Learn more on Bing</v>
  </rv>
  <rv s="1">
    <v>0</v>
    <v>RH (XNYS:RH)</v>
    <v>2</v>
    <v>3</v>
    <v>Finance</v>
    <v>4</v>
    <v>en</v>
    <v>a21z6h</v>
    <v>268435456</v>
    <v>1</v>
    <v>Powered by Refinitiv</v>
    <v>257</v>
    <v>106.30370000000001</v>
    <v>1.9399</v>
    <v>-1.46</v>
    <v>-1.0617000000000001E-2</v>
    <v>0.89</v>
    <v>6.5420000000000001E-3</v>
    <v>USD</v>
    <v>RH is a retailer and luxury lifestyle brand operating primarily in the home furnishings market. The Company offers collections through its retail galleries, sourcebooks, and online at RH.com, RHModern.RH.com, RHBabyandChild.RH.com, RHTEEN.RH.com and Waterworks.com. The Company offers merchandise assortments across a number of categories, including furniture, lighting, textiles, bathware, decor, outdoor and garden, and baby, child and teen furnishings. Its segments include RH Segment, Waterworks and Real Estate. The RH Segment and Waterworks segments include all sales channels accessed by its customers, including sales through retail locations and outlets, including hospitality, websites, sourcebooks, and the trade and contract channels. The Real Estate segment represents operations associated with certain of its equity method investments and consolidated variable interest entities that are non-wholly owned subsidiaries and have operations that are not directly related to its segments.</v>
    <v>6510</v>
    <v>New York Stock Exchange</v>
    <v>XNYS</v>
    <v>XNYS</v>
    <v>15 Koch Road, Suite K, CORTE MADERA, CA, 94925 US</v>
    <v>139.82239999999999</v>
    <v>Specialty Retailers</v>
    <v>Stock</v>
    <v>46139.900302939066</v>
    <v>1326</v>
    <v>135</v>
    <v>2562444609</v>
    <v>RH</v>
    <v>RH</v>
    <v>136.86000000000001</v>
    <v>21.5456</v>
    <v>137.51</v>
    <v>136.05000000000001</v>
    <v>136.94</v>
    <v>18834580</v>
    <v>RH</v>
    <v>RH (XNYS:RH)</v>
    <v>745247</v>
    <v>1672485</v>
    <v>2011</v>
  </rv>
  <rv s="2">
    <v>1327</v>
  </rv>
  <rv s="0">
    <v>https://www.bing.com/financeapi/forcetrigger?t=a1nqw7&amp;q=XNYS%3aHWM&amp;form=skydnc</v>
    <v>Learn more on Bing</v>
  </rv>
  <rv s="1">
    <v>0</v>
    <v>HOWMET AEROSPACE INC. (XNYS:HWM)</v>
    <v>2</v>
    <v>3</v>
    <v>Finance</v>
    <v>4</v>
    <v>en</v>
    <v>a1nqw7</v>
    <v>268435456</v>
    <v>1</v>
    <v>Powered by Refinitiv</v>
    <v>267.31</v>
    <v>134.81</v>
    <v>1.1999</v>
    <v>-0.74</v>
    <v>-3.0520000000000005E-3</v>
    <v>-0.7</v>
    <v>-2.8960000000000001E-3</v>
    <v>USD</v>
    <v>Howmet Aerospace Inc. is a global provider of advanced engineered solutions for the aerospace and transportation industries. The Company’s primary business focus is on jet engine components, aerospace fastening systems, and airframe structural components. Its Engine Products segment produces investment castings, including airfoils, and seamless rolled rings primarily for aircraft engines and industrial gas turbine applications. Its Fastening Systems segment produces aerospace fastening systems, as well as commercial transportation, industrial and other fasteners. Its Engineered Structures segment produces titanium ingots and mill products for aerospace and defense applications and is vertically integrated to produce titanium forgings, titanium extrusions, and machining services for airframe, wing, aero-engine, and landing gear components. Its Forged Wheels segment provides forged aluminum wheels and related products for heavy-duty trucks and the commercial transportation market.</v>
    <v>25430</v>
    <v>New York Stock Exchange</v>
    <v>XNYS</v>
    <v>XNYS</v>
    <v>201 Isabella Street, Suite 200, PITTSBURGH, PA, 15212-5872 US</v>
    <v>242.46</v>
    <v>Aerospace &amp; Defense</v>
    <v>Stock</v>
    <v>46139.914593020316</v>
    <v>1329</v>
    <v>238.01</v>
    <v>96852477120</v>
    <v>HOWMET AEROSPACE INC.</v>
    <v>HOWMET AEROSPACE INC.</v>
    <v>241.93</v>
    <v>65.213300000000004</v>
    <v>242.44</v>
    <v>241.7</v>
    <v>241</v>
    <v>400713600</v>
    <v>HWM</v>
    <v>HOWMET AEROSPACE INC. (XNYS:HWM)</v>
    <v>1862913</v>
    <v>2098762</v>
    <v>2017</v>
  </rv>
  <rv s="2">
    <v>1330</v>
  </rv>
  <rv s="0">
    <v>https://www.bing.com/financeapi/forcetrigger?t=c1cbp2&amp;q=XNAS%3aEWTX&amp;form=skydnc</v>
    <v>Learn more on Bing</v>
  </rv>
  <rv s="1">
    <v>0</v>
    <v>EDGEWISE THERAPEUTICS INC. (XNAS:EWTX)</v>
    <v>2</v>
    <v>3</v>
    <v>Finance</v>
    <v>4</v>
    <v>en</v>
    <v>c1cbp2</v>
    <v>268435456</v>
    <v>1</v>
    <v>Powered by Refinitiv</v>
    <v>35</v>
    <v>12.15</v>
    <v>0.27260000000000001</v>
    <v>-0.94</v>
    <v>-2.9766000000000001E-2</v>
    <v>-0.14000000000000001</v>
    <v>-4.5690000000000001E-3</v>
    <v>USD</v>
    <v>Edgewise Therapeutics, Inc. is a muscle disease biopharmaceutical company developing novel therapeutics for muscular dystrophies and serious cardiac conditions. The Company’s lead product candidate, sevasemten (EDG-5506), is an orally administered skeletal myosin inhibitor in late-stage clinical trials in Becker and Duchenne muscular dystrophies. Its EDG-7500 is a novel cardiac sarcomere modulator for the treatment of hypertrophic cardiomyopathy and other diseases of diastolic dysfunction, which is in Phase II clinical development. The Company is using its proprietary drug discovery platform to develop a pipeline of precision medicine product candidates that target key muscle proteins and modulators to address a broad array of serious muscle disorders. Its platform utilizes custom-built high throughput and translatable systems that measure integrated muscle function in whole organ extracts to identify small molecule precision medicines regulating key proteins in muscle tissue.</v>
    <v>146</v>
    <v>Nasdaq Stock Market</v>
    <v>XNAS</v>
    <v>XNAS</v>
    <v>1715 38Th St, BOULDER, CO, 80301 US</v>
    <v>32.74</v>
    <v>Biotechnology &amp; Medical Research</v>
    <v>Stock</v>
    <v>46139.884556793753</v>
    <v>1332</v>
    <v>30.35</v>
    <v>3294786608</v>
    <v>EDGEWISE THERAPEUTICS INC.</v>
    <v>EDGEWISE THERAPEUTICS INC.</v>
    <v>31.56</v>
    <v>0</v>
    <v>31.58</v>
    <v>30.64</v>
    <v>30.5</v>
    <v>107532200</v>
    <v>EWTX</v>
    <v>EDGEWISE THERAPEUTICS INC. (XNAS:EWTX)</v>
    <v>1056840</v>
    <v>829053</v>
    <v>2017</v>
  </rv>
  <rv s="2">
    <v>1333</v>
  </rv>
  <rv s="0">
    <v>https://www.bing.com/financeapi/forcetrigger?t=a25xjc&amp;q=XNYS%3aWM&amp;form=skydnc</v>
    <v>Learn more on Bing</v>
  </rv>
  <rv s="1">
    <v>0</v>
    <v>WASTE MANAGEMENT, INC. (XNYS:WM)</v>
    <v>2</v>
    <v>3</v>
    <v>Finance</v>
    <v>5</v>
    <v>en</v>
    <v>a25xjc</v>
    <v>268435456</v>
    <v>1</v>
    <v>Powered by Refinitiv</v>
    <v>248.13</v>
    <v>194.11</v>
    <v>0.49049999999999999</v>
    <v>-3.31</v>
    <v>-1.4421E-2</v>
    <v>1.38</v>
    <v>6.1009999999999997E-3</v>
    <v>USD</v>
    <v>Waste Management, Inc. is a provider of environmental solutions. The Company provides collection, recycling, and disposal services to millions of residential, commercial, industrial, and municipal customers throughout the United States and Canada. Its segments include East Tier, West Tier, Recycling Processing and Sales, WM Renewable Energy, and WM Healthcare Solutions. East Tier primarily consists of geographic areas located in the Eastern U.S., the Great Lakes region and all of Canada. The West Tier primarily includes geographic areas located in the Western U.S., including the upper Midwest region and British Columbia, Canada. Recycling Processing and Sales includes the processing and sales of materials collected from residential, commercial, and industrial customers. WM Renewable Energy develops, operates, and promotes projects for the beneficial use of landfill gas. WM Healthcare Solutions includes Regulated Waste and Compliance Services and Secure Information Destruction services.</v>
    <v>60500</v>
    <v>New York Stock Exchange</v>
    <v>XNYS</v>
    <v>XNYS</v>
    <v>800 Capitol Street, Suite 3000, HOUSTON, TX, 77002 US</v>
    <v>230.37</v>
    <v>Professional &amp; Commercial Services</v>
    <v>Stock</v>
    <v>46139.932646411718</v>
    <v>1335</v>
    <v>225.71</v>
    <v>91147091970</v>
    <v>WASTE MANAGEMENT, INC.</v>
    <v>WASTE MANAGEMENT, INC.</v>
    <v>228.97</v>
    <v>34.272100000000002</v>
    <v>229.53</v>
    <v>226.22</v>
    <v>227.58</v>
    <v>402913500</v>
    <v>WM</v>
    <v>WASTE MANAGEMENT, INC. (XNYS:WM)</v>
    <v>1748816</v>
    <v>1886496</v>
    <v>1995</v>
  </rv>
  <rv s="2">
    <v>1336</v>
  </rv>
  <rv s="0">
    <v>https://www.bing.com/financeapi/forcetrigger?t=a1si77&amp;q=XNAS%3aEXLS&amp;form=skydnc</v>
    <v>Learn more on Bing</v>
  </rv>
  <rv s="1">
    <v>0</v>
    <v>EXLSERVICE HOLDINGS, INC. (XNAS:EXLS)</v>
    <v>2</v>
    <v>3</v>
    <v>Finance</v>
    <v>5</v>
    <v>en</v>
    <v>a1si77</v>
    <v>268435456</v>
    <v>1</v>
    <v>Powered by Refinitiv</v>
    <v>48.79</v>
    <v>26.94</v>
    <v>0.83750000000000002</v>
    <v>-0.02</v>
    <v>-6.579E-4</v>
    <v>0.39</v>
    <v>1.2837000000000001E-2</v>
    <v>USD</v>
    <v>ExlService Holdings, Inc. is a global data and artificial intelligence (AI) company. The Company provides data and AI-led and digital operations services to its clients. Its segments include Insurance; Healthcare and Life Sciences; Banking, Capital Markets and Diversified Industries; and International Growth Markets (IGM). The Company provides services to insurers in the areas of property and casualty, life, disability, annuity, and retirement services. It offers pre-and post-pay auditing services, payment analytics, payment integrity, a care management platform and services and patient navigation for healthcare payers. Its Banking and Capital Markets and Diversified Industries deliver solutions across retail and commercial banking, credit card services, payment services, fintech, banking infrastructure services, capital markets, mortgage services, utilities, and other business services industries. Its IGM is focused on global reach in growth markets outside North America.</v>
    <v>65000</v>
    <v>Nasdaq Stock Market</v>
    <v>XNAS</v>
    <v>XNAS</v>
    <v>320 PARK AVENUE, 29TH FLOOR, NEW YORK, NY, 10022 US</v>
    <v>30.88</v>
    <v>Professional &amp; Commercial Services</v>
    <v>Stock</v>
    <v>46139.930002464847</v>
    <v>1338</v>
    <v>30.24</v>
    <v>4750936806</v>
    <v>EXLSERVICE HOLDINGS, INC.</v>
    <v>EXLSERVICE HOLDINGS, INC.</v>
    <v>30.5</v>
    <v>19.6736</v>
    <v>30.4</v>
    <v>30.38</v>
    <v>30.77</v>
    <v>156383700</v>
    <v>EXLS</v>
    <v>EXLSERVICE HOLDINGS, INC. (XNAS:EXLS)</v>
    <v>1860187</v>
    <v>2089836</v>
    <v>2002</v>
  </rv>
  <rv s="2">
    <v>1339</v>
  </rv>
  <rv s="7">
    <v>16</v>
    <v>RXO, INC. (XNYS:RXO)</v>
    <v>17</v>
    <v>15</v>
    <v>Finance</v>
    <v>4</v>
    <v>en</v>
    <v>c7qfp2</v>
    <v>268435456</v>
    <v>1</v>
    <v>Powered by Refinitiv</v>
    <v>20.184999999999999</v>
    <v>10.425000000000001</v>
    <v>1.7942</v>
    <v>0.05</v>
    <v>2.5800000000000003E-3</v>
    <v>0</v>
    <v>0</v>
    <v>USD</v>
    <v>RXO, Inc. is a provider of asset-light transportation solutions. The Company offers tech-enabled truck brokerage services together with complementary solutions, including managed transportation and last-mile delivery. It combines massive capacity and cutting-edge technology to move freight through supply chains across North America. Its self-learning RXO Connect digital brokerage platform encompasses Freight Optimizer, as well as its mobile app, application programming interface (API) integrations, self-service dashboards and real-time functionality for transacting and tracking freight shipments. Its managed transportation service provides asset-light solutions for shippers who outsource their freight transportation. Its control tower solution leverages the expertise of a dedicated team focused on continuous improvement, and digital, door-to-door visibility into order status and freight in transit. Its last mile offering is an asset-light service that facilitates consumer deliveries.</v>
    <v>6906</v>
    <v>New York Stock Exchange</v>
    <v>XNYS</v>
    <v>XNYS</v>
    <v>11215 North Community House Road, CHARLOTTE, NC, 28277 US</v>
    <v>19.8</v>
    <v>Freight &amp; Logistics Services</v>
    <v>Stock</v>
    <v>46139.840334745313</v>
    <v>19.36</v>
    <v>3200338616</v>
    <v>RXO, INC.</v>
    <v>RXO, INC.</v>
    <v>19.37</v>
    <v>19.38</v>
    <v>19.43</v>
    <v>19.43</v>
    <v>164711200</v>
    <v>RXO</v>
    <v>RXO, INC. (XNYS:RXO)</v>
    <v>1922653</v>
    <v>1777140</v>
    <v>2022</v>
  </rv>
  <rv s="2">
    <v>1341</v>
  </rv>
  <rv s="0">
    <v>https://www.bing.com/financeapi/forcetrigger?t=af55zr&amp;q=XFRA%3aBAS&amp;form=skydnc</v>
    <v>Learn more on Bing</v>
  </rv>
  <rv s="3">
    <v>6</v>
    <v>BASF SE (XFRA:BAS)</v>
    <v>2</v>
    <v>7</v>
    <v>Finance</v>
    <v>8</v>
    <v>en</v>
    <v>af55zr</v>
    <v>268435456</v>
    <v>1</v>
    <v>Powered by Refinitiv</v>
    <v>95.7</v>
    <v>37.409999999999997</v>
    <v>0.86439999999999995</v>
    <v>0</v>
    <v>0</v>
    <v>EUR</v>
    <v>BASF SE is a Germany-based chemical company. The Company operates through six segments, which include Chemicals, Materials, Industrial Solutions, Surface Technologies, Nutrition &amp; Care and Agricultural Solutions. The Chemicals segment consists of the Petrochemicals and Intermediates divisions. The Materials segment consists of Performance Materials and Monomers divisions. The Industrial Solutions segment consists of Dispersions, Resins, Additives and Performance Chemicals divisions. The Surface Technologies segment consists of Catalysts and Coatings solution divisions. The Nutrition &amp; Care segment consists of Care Chemicals and Nutrition and Health divisions. The Agricultural Solutions segment consists of Agricultural Solutions division, which focuses on provision of crop protection products and Seed Treatment solutions and plant growth regulators.</v>
    <v>111822</v>
    <v>Deutsche Boerse AG</v>
    <v>XFRA</v>
    <v>XFRA</v>
    <v>Carl-Bosch-Str. 38, LUDWIGSHAFEN AM RHEIN, RHEINLAND-PFALZ, 67056 DE</v>
    <v>54.73</v>
    <v>Chemicals</v>
    <v>Stock</v>
    <v>46139.836805555555</v>
    <v>1343</v>
    <v>54.01</v>
    <v>39788640000</v>
    <v>BASF SE</v>
    <v>BASF SE</v>
    <v>54.3</v>
    <v>31.43</v>
    <v>54.01</v>
    <v>54.01</v>
    <v>892522200</v>
    <v>BAS</v>
    <v>BASF SE (XFRA:BAS)</v>
    <v>17047</v>
    <v>2803290</v>
    <v>2008</v>
  </rv>
  <rv s="2">
    <v>1344</v>
  </rv>
  <rv s="0">
    <v>https://www.bing.com/financeapi/forcetrigger?t=a1q4u2&amp;q=XNAS%3aCOLM&amp;form=skydnc</v>
    <v>Learn more on Bing</v>
  </rv>
  <rv s="1">
    <v>0</v>
    <v>COLUMBIA SPORTSWEAR COMPANY (XNAS:COLM)</v>
    <v>2</v>
    <v>3</v>
    <v>Finance</v>
    <v>4</v>
    <v>en</v>
    <v>a1q4u2</v>
    <v>268435456</v>
    <v>1</v>
    <v>Powered by Refinitiv</v>
    <v>71.680000000000007</v>
    <v>47.47</v>
    <v>0.9032</v>
    <v>0.82</v>
    <v>1.3608E-2</v>
    <v>0</v>
    <v>0</v>
    <v>USD</v>
    <v>Columbia Sportswear Company is a multi-brand global in outdoor, active and lifestyle products, including apparel, footwear, accessories, and equipment. It provides products through four brands: Columbia, SOREL, Mountain Hardwear and prAna. Its Columbia brand offers authentic, high-value outdoor apparel, footwear, accessories and equipment products suited for hiking, trail running, snow, and fishing and hunting activities, as well as everyday outdoor activities. SOREL brand offers footwear. Its Mountain Hardwear brand continues to offer essential, premium apparel, accessories and equipment products for climbers, mountaineers, skiers, snowboarders, and trail athletes. Its prAna brand offers apparel and accessories. Its products are designed to be used for all seasons, activities and locations. It sells its products in more than 110 countries and operate in four reportable segments: United States, Latin America and Asia Pacific (LAAP), Europe, Middle East and Africa (EMEA), and Canada.</v>
    <v>9620</v>
    <v>Nasdaq Stock Market</v>
    <v>XNAS</v>
    <v>XNAS</v>
    <v>14375 NW Science Park Dr, PORTLAND, OR, 97229 US</v>
    <v>61.47</v>
    <v>Textiles &amp; Apparel</v>
    <v>Stock</v>
    <v>46139.840332615626</v>
    <v>1346</v>
    <v>60.35</v>
    <v>3197632674</v>
    <v>COLUMBIA SPORTSWEAR COMPANY</v>
    <v>COLUMBIA SPORTSWEAR COMPANY</v>
    <v>60.35</v>
    <v>18.5046</v>
    <v>60.26</v>
    <v>61.08</v>
    <v>61.08</v>
    <v>52351550</v>
    <v>COLM</v>
    <v>COLUMBIA SPORTSWEAR COMPANY (XNAS:COLM)</v>
    <v>918151</v>
    <v>599463</v>
    <v>1961</v>
  </rv>
  <rv s="2">
    <v>1347</v>
  </rv>
  <rv s="0">
    <v>https://www.bing.com/financeapi/forcetrigger?t=a1p55r&amp;q=XNYS%3aCAG&amp;form=skydnc</v>
    <v>Learn more on Bing</v>
  </rv>
  <rv s="1">
    <v>0</v>
    <v>CONAGRA BRANDS, INC. (XNYS:CAG)</v>
    <v>2</v>
    <v>3</v>
    <v>Finance</v>
    <v>5</v>
    <v>en</v>
    <v>a1p55r</v>
    <v>268435456</v>
    <v>1</v>
    <v>Powered by Refinitiv</v>
    <v>24.8</v>
    <v>14.04</v>
    <v>-3.1600000000000003E-2</v>
    <v>-5.5E-2</v>
    <v>-3.8809999999999999E-3</v>
    <v>5.0099999999999999E-2</v>
    <v>3.5479999999999999E-3</v>
    <v>USD</v>
    <v>Conagra Brands, Inc. is a branded food company. The Company’s segments include Grocery &amp; Snacks, Refrigerated &amp; Frozen, International, and Foodservice. The Grocery &amp; Snacks segment includes branded, shelf-stable food products sold in various retail channels in the United States. The Refrigerated &amp; Frozen segment includes branded, temperature-controlled food products sold in various retail channels in the United States. The International segment includes branded food products in various temperature states, sold in various retail and foodservice channels outside the United States. The Foodservice segment includes branded and customized food products, including meals, entrees, sauces, and a variety of custom-manufactured culinary products that are packaged for sale to restaurants and other foodservice establishments primarily in the United States. Its brands include Birds Eye, Duncan Hines, Healthy Choice, Marie Callender's, Reddi-wip, Slim Jim, Angie's BOOMCHICKAPOP, and others.</v>
    <v>18300</v>
    <v>New York Stock Exchange</v>
    <v>XNYS</v>
    <v>XNYS</v>
    <v>222 W. Merchandise Mart Plaza, Suite 1300, CHICAGO, IL, 60654 US</v>
    <v>14.31</v>
    <v>Food &amp; Tobacco</v>
    <v>Stock</v>
    <v>46139.934928506249</v>
    <v>1349</v>
    <v>14.09</v>
    <v>6753141078</v>
    <v>CONAGRA BRANDS, INC.</v>
    <v>CONAGRA BRANDS, INC.</v>
    <v>14.2</v>
    <v>0</v>
    <v>14.17</v>
    <v>14.115</v>
    <v>14.1701</v>
    <v>478437200</v>
    <v>CAG</v>
    <v>CONAGRA BRANDS, INC. (XNYS:CAG)</v>
    <v>16515909</v>
    <v>15752071</v>
    <v>1975</v>
  </rv>
  <rv s="2">
    <v>1350</v>
  </rv>
  <rv s="0">
    <v>https://www.bing.com/financeapi/forcetrigger?t=bwvf1h&amp;q=XNAS%3aPUBM&amp;form=skydnc</v>
    <v>Learn more on Bing</v>
  </rv>
  <rv s="1">
    <v>0</v>
    <v>PUBMATIC, INC. (XNAS:PUBM)</v>
    <v>2</v>
    <v>3</v>
    <v>Finance</v>
    <v>4</v>
    <v>en</v>
    <v>bwvf1h</v>
    <v>268435456</v>
    <v>1</v>
    <v>Powered by Refinitiv</v>
    <v>13.88</v>
    <v>6.15</v>
    <v>1.5238</v>
    <v>0.11</v>
    <v>1.1434999999999999E-2</v>
    <v>2.0000000000000001E-4</v>
    <v>2.0549999999999998E-5</v>
    <v>USD</v>
    <v>PubMatic, Inc. is an artificial intelligence-powered advertising technology company that delivers digital advertising performance. The Company's integrated technology platform connects buyers, publishers, data providers, and commerce media networks on a single, unified platform to deliver advertising (ad) performance, control and transparency. Its platform allows publishers to sell, in real time, ad impressions to buyers and provides automated inventory management and monetization tools to publishers across various device types and digital ad formats. Its cloud infrastructure is designed for the processing of real-time, programmatic ad transactions and the aggregation and analysis of the significant data accompanying each transaction. The Company's omni channel platform supports a range of ad formats and digital device types, including mobile apps, mobile Web, desktops, displays, video, over-the-top (OTT), connected television (CTV), and rich media.</v>
    <v>1030</v>
    <v>Nasdaq Stock Market</v>
    <v>XNAS</v>
    <v>XNAS</v>
    <v>601 Marshall Street, REDWOOD CITY, CA, 94063 US</v>
    <v>9.9</v>
    <v>Software &amp; IT Services</v>
    <v>Stock</v>
    <v>46139.907908575784</v>
    <v>1352</v>
    <v>9.5299999999999994</v>
    <v>454141230</v>
    <v>PUBMATIC, INC.</v>
    <v>PUBMATIC, INC.</v>
    <v>9.5299999999999994</v>
    <v>0</v>
    <v>9.6199999999999992</v>
    <v>9.73</v>
    <v>9.7302</v>
    <v>46674330</v>
    <v>PUBM</v>
    <v>PUBMATIC, INC. (XNAS:PUBM)</v>
    <v>689032</v>
    <v>659816</v>
    <v>2006</v>
  </rv>
  <rv s="2">
    <v>1353</v>
  </rv>
  <rv s="0">
    <v>https://www.bing.com/financeapi/forcetrigger?t=a1ygoc&amp;q=XNAS%3aNFLX&amp;form=skydnc</v>
    <v>Learn more on Bing</v>
  </rv>
  <rv s="1">
    <v>0</v>
    <v>NETFLIX, INC. (XNAS:NFLX)</v>
    <v>2</v>
    <v>3</v>
    <v>Finance</v>
    <v>5</v>
    <v>en</v>
    <v>a1ygoc</v>
    <v>268435456</v>
    <v>1</v>
    <v>Powered by Refinitiv</v>
    <v>134.11500000000001</v>
    <v>75.010000000000005</v>
    <v>1.5573999999999999</v>
    <v>-1.085</v>
    <v>-1.1736999999999999E-2</v>
    <v>0.1</v>
    <v>1.0939999999999999E-3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16000</v>
    <v>Nasdaq Stock Market</v>
    <v>XNAS</v>
    <v>XNAS</v>
    <v>121 Albright Way, LOS GATOS, CA, 95032 US</v>
    <v>92.84</v>
    <v>Software &amp; IT Services</v>
    <v>Stock</v>
    <v>46139.935311805471</v>
    <v>1355</v>
    <v>91.3</v>
    <v>384677451290</v>
    <v>NETFLIX, INC.</v>
    <v>NETFLIX, INC.</v>
    <v>92.05</v>
    <v>29.8703</v>
    <v>92.44</v>
    <v>91.355000000000004</v>
    <v>91.47</v>
    <v>4210798000</v>
    <v>NFLX</v>
    <v>NETFLIX, INC. (XNAS:NFLX)</v>
    <v>29614344</v>
    <v>43618083</v>
    <v>1997</v>
  </rv>
  <rv s="2">
    <v>1356</v>
  </rv>
  <rv s="0">
    <v>https://www.bing.com/financeapi/forcetrigger?t=a245u2&amp;q=XNYS%3aTFX&amp;form=skydnc</v>
    <v>Learn more on Bing</v>
  </rv>
  <rv s="1">
    <v>0</v>
    <v>TELEFLEX INCORPORATED (XNYS:TFX)</v>
    <v>2</v>
    <v>3</v>
    <v>Finance</v>
    <v>4</v>
    <v>en</v>
    <v>a245u2</v>
    <v>268435456</v>
    <v>1</v>
    <v>Powered by Refinitiv</v>
    <v>139.66999999999999</v>
    <v>100.18</v>
    <v>0.89729999999999999</v>
    <v>-1.49</v>
    <v>-1.0910999999999999E-2</v>
    <v>-7.0000000000000007E-2</v>
    <v>-5.1820000000000002E-4</v>
    <v>USD</v>
    <v>Teleflex Incorporated is a global provider of medical technologies. The Company offers a diverse portfolio with solutions in the therapy areas of anesthesia, emergency medicine, interventional cardiology and radiology, surgical, vascular access, and urology. It primarily designs, develops, manufactures and supplies single-use medical devices used by hospitals and healthcare providers for common diagnostic and therapeutic procedures in critical care and surgical applications. It operates in three segments: the Americas, EMEA (Europe, the Middle East and Africa) and Asia (Asia Pacific). Its vascular access product portfolio includes Arrow branded catheters, catheter navigation and tip positioning systems, and intraosseous (bone access) systems. Its interventional product offerings consist of a portfolio of Arrow branded intra-aortic balloon pumps and catheters, GuideLiner, Turnpike and TrapLiner catheters, Pulsar-18 T3 Self-Expanding 4F Stent and Orsiro Mission Drug Eluting Stent.</v>
    <v>15500</v>
    <v>New York Stock Exchange</v>
    <v>XNYS</v>
    <v>XNYS</v>
    <v>550 E Swedesford Rd, Suite 400, WAYNE, PA, 19087 US</v>
    <v>137.75</v>
    <v>Healthcare Equipment &amp; Supplies</v>
    <v>Stock</v>
    <v>46139.881100474217</v>
    <v>1358</v>
    <v>134.72999999999999</v>
    <v>5978924876</v>
    <v>TELEFLEX INCORPORATED</v>
    <v>TELEFLEX INCORPORATED</v>
    <v>136.25</v>
    <v>110.1388</v>
    <v>136.56</v>
    <v>135.07</v>
    <v>135</v>
    <v>44265380</v>
    <v>TFX</v>
    <v>TELEFLEX INCORPORATED (XNYS:TFX)</v>
    <v>776516</v>
    <v>948906</v>
    <v>1943</v>
  </rv>
  <rv s="2">
    <v>1359</v>
  </rv>
  <rv s="0">
    <v>https://www.bing.com/financeapi/forcetrigger?t=bq2a8m&amp;q=XNYS%3aKTB&amp;form=skydnc</v>
    <v>Learn more on Bing</v>
  </rv>
  <rv s="1">
    <v>0</v>
    <v>Kontoor Brands, Inc. (XNYS:KTB)</v>
    <v>2</v>
    <v>3</v>
    <v>Finance</v>
    <v>5</v>
    <v>en</v>
    <v>bq2a8m</v>
    <v>268435456</v>
    <v>1</v>
    <v>Powered by Refinitiv</v>
    <v>87</v>
    <v>53.55</v>
    <v>0.93469999999999998</v>
    <v>-3.23</v>
    <v>-4.4423000000000004E-2</v>
    <v>0.19</v>
    <v>2.7329999999999998E-3</v>
    <v>USD</v>
    <v>Kontoor Brands, Inc. is a global lifestyle apparel company. The Company designs, manufactures, procures, sells and licenses apparel, footwear and accessories. Its lifestyle, outdoor and workwear brands include Wrangler, Lee, and Helly Hansen. The Wrangler brand offers multiple sub-brands, collections and product lines within the Wrangler brand to target specific consumer demographics and consumer end-users, including 20X, Aura from the Women at Wrangler, Cowboy Cut, Premium Patch, Riggs Workwear, Rock 47, Rustler, Wrangler Retro, Wrangler Rugged Wear and Wrangler All Terrain Gear. The Lee segment offers denim, apparel, footwear and accessories for adults and children. The Lee brand offers multiple sub-brands, collections and product lines, including Lee101, Riders, Storm Rider, Lee MVP and Lee X. The Helly Hansen brand is an outdoor and workwear brand. Helly Hansen offers sub-brands, including Helly Hansen Sport and Helly Hansen Workwear.</v>
    <v>10600</v>
    <v>New York Stock Exchange</v>
    <v>XNYS</v>
    <v>XNYS</v>
    <v>400 N Elm St, Greensboro, NC, 27401-2143 US</v>
    <v>73.349999999999994</v>
    <v>Textiles &amp; Apparel</v>
    <v>Stock</v>
    <v>46139.933514803124</v>
    <v>1361</v>
    <v>68.209999999999994</v>
    <v>3839057647</v>
    <v>Kontoor Brands, Inc.</v>
    <v>Kontoor Brands, Inc.</v>
    <v>72.569999999999993</v>
    <v>17.139500000000002</v>
    <v>72.709999999999994</v>
    <v>69.48</v>
    <v>69.7</v>
    <v>55254140</v>
    <v>KTB</v>
    <v>Kontoor Brands, Inc. (XNYS:KTB)</v>
    <v>970031</v>
    <v>648225</v>
    <v>2018</v>
  </rv>
  <rv s="2">
    <v>1362</v>
  </rv>
  <rv s="0">
    <v>https://www.bing.com/financeapi/forcetrigger?t=a1p5k2&amp;q=XNYS%3aCAL&amp;form=skydnc</v>
    <v>Learn more on Bing</v>
  </rv>
  <rv s="6">
    <v>14</v>
    <v>CALERES, INC. (XNYS:CAL)</v>
    <v>2</v>
    <v>15</v>
    <v>Finance</v>
    <v>4</v>
    <v>en</v>
    <v>a1p5k2</v>
    <v>268435456</v>
    <v>1</v>
    <v>Powered by Refinitiv</v>
    <v>18.27</v>
    <v>8.8000000000000007</v>
    <v>0.74150000000000005</v>
    <v>-0.12</v>
    <v>-8.8629999999999994E-3</v>
    <v>0</v>
    <v>0</v>
    <v>USD</v>
    <v>Caleres, Inc. is a global footwear company. The Company offers a portfolio of global footwear brands that includes Famous Footwear, Sam Edelman, Stuart Weitzman, Allen Edmonds, Naturalizer, Vionic, and more. Its products are available virtually in the nearly 1,000 retail stores it operates, in major department and specialty stores, on its branded e-commerce sites, and on many additional third-party retail platforms. Its Famous Footwear segment is comprised of its Famous Footwear retail stores, famousfootwear.com and famousfootwear.ca. Its Brand Portfolio segment offers retailers and consumers a carefully cultivated portfolio of brands. This segment is comprised of wholesale operations that designs, develops, sources, manufactures, markets and distributes branded, licensed and private-label footwear primarily to online retailers, national chains, department stores, independent retailers and mass merchandisers, as well as Company-owned stores and e-commerce businesses.</v>
    <v>5000</v>
    <v>New York Stock Exchange</v>
    <v>XNYS</v>
    <v>XNYS</v>
    <v>8300 Maryland Ave, ST. LOUIS, MO, 63105-3645 US</v>
    <v>13.555</v>
    <v>Specialty Retailers</v>
    <v>Stock</v>
    <v>46139.840332441403</v>
    <v>1364</v>
    <v>13.16</v>
    <v>452801804</v>
    <v>CALERES, INC.</v>
    <v>CALERES, INC.</v>
    <v>13.48</v>
    <v>13.54</v>
    <v>13.42</v>
    <v>13.42</v>
    <v>33740820</v>
    <v>CAL</v>
    <v>CALERES, INC. (XNYS:CAL)</v>
    <v>440067</v>
    <v>675929</v>
    <v>1913</v>
  </rv>
  <rv s="2">
    <v>1365</v>
  </rv>
  <rv s="0">
    <v>https://www.bing.com/financeapi/forcetrigger?t=c2mc52&amp;q=XNAS%3aHTZ&amp;form=skydnc</v>
    <v>Learn more on Bing</v>
  </rv>
  <rv s="1">
    <v>0</v>
    <v>HERTZ GLOBAL HOLDINGS, INC. (XNAS:HTZ)</v>
    <v>2</v>
    <v>3</v>
    <v>Finance</v>
    <v>4</v>
    <v>en</v>
    <v>c2mc52</v>
    <v>268435456</v>
    <v>1</v>
    <v>Powered by Refinitiv</v>
    <v>8.64</v>
    <v>3.7749999999999999</v>
    <v>2.1013999999999999</v>
    <v>-0.12</v>
    <v>-2.1016E-2</v>
    <v>0.01</v>
    <v>1.789E-3</v>
    <v>USD</v>
    <v>Hertz Global Holdings, Inc. is a car rental and mobility solutions provider. The Company's subsidiaries and licensees operate the Hertz, Dollar, Thrifty and Firefly vehicle rental brands with more than 11,000 rental locations in 160 countries around the globe, as well as the Hertz Car Sales brand, which offers a range of used cars for sale online and at locations across the United States, and the Hertz 24/7 car sharing business in Europe. The Company's segments include Americas RAC and International RAC. Its Americas RAC segment includes rental of vehicles, as well as sales of vehicles and value-added services, in the United States, Canada, Latin America and the Caribbean. The Company's International RAC segment includes rental of vehicles, as well as sales of vehicles and value-added services, in locations other than the United States, Canada, Latin America and the Caribbean. The Company has franchisees and partners that operate rental locations under its brands.</v>
    <v>26000</v>
    <v>Nasdaq Stock Market</v>
    <v>XNAS</v>
    <v>XNAS</v>
    <v>8501 Williams Road, 3Rd Floor, ESTERO, FL, 33928 US</v>
    <v>5.8662000000000001</v>
    <v>Passenger Transportation Services</v>
    <v>Stock</v>
    <v>46139.915787719532</v>
    <v>1367</v>
    <v>5.55</v>
    <v>1761146270</v>
    <v>HERTZ GLOBAL HOLDINGS, INC.</v>
    <v>HERTZ GLOBAL HOLDINGS, INC.</v>
    <v>5.7050000000000001</v>
    <v>0</v>
    <v>5.71</v>
    <v>5.59</v>
    <v>5.6</v>
    <v>315053000</v>
    <v>HTZ</v>
    <v>HERTZ GLOBAL HOLDINGS, INC. (XNAS:HTZ)</v>
    <v>10594340</v>
    <v>13992381</v>
    <v>2015</v>
  </rv>
  <rv s="2">
    <v>1368</v>
  </rv>
  <rv s="0">
    <v>https://www.bing.com/financeapi/forcetrigger?t=a25jqh&amp;q=XNAS%3aVRSN&amp;form=skydnc</v>
    <v>Learn more on Bing</v>
  </rv>
  <rv s="1">
    <v>0</v>
    <v>VERISIGN, INC. (XNAS:VRSN)</v>
    <v>2</v>
    <v>3</v>
    <v>Finance</v>
    <v>4</v>
    <v>en</v>
    <v>a25jqh</v>
    <v>268435456</v>
    <v>1</v>
    <v>Powered by Refinitiv</v>
    <v>310.60000000000002</v>
    <v>208.86009999999999</v>
    <v>0.68500000000000005</v>
    <v>-1.3</v>
    <v>-4.829E-3</v>
    <v>-2.5</v>
    <v>-9.332E-3</v>
    <v>USD</v>
    <v>VeriSign, Inc. is a provider of critical internet infrastructure and domain name registry services, enabling internet navigation for various domain names. The Company helps to enable the security, stability, and resiliency of the domain name system (DNS) and the Internet by providing root zone maintainer services, operating two of the 13 global Internet root servers, and providing registration services and authoritative resolution. It operates the authoritative directory for all .com, .net, and .name domain names (generic top-level domains or gTLDs), as well as for certain transliterations of .com and .net in a number of different native languages and scripts (internationalized). It also operates the authoritative directory for all .cc domain names (country code top-level domain or ccTLD). The Company operates the technical or back-end systems for the .edu top-level domain. Its operations infrastructure includes distributed servers, networking, and disaster recovery plans.</v>
    <v>926</v>
    <v>Nasdaq Stock Market</v>
    <v>XNAS</v>
    <v>XNAS</v>
    <v>ATTN: GENERAL COUNSEL, 12061 BLUEMONT WAY, RESTON, VA, 20190 US</v>
    <v>271.9699</v>
    <v>Software &amp; IT Services</v>
    <v>Stock</v>
    <v>46139.874224767969</v>
    <v>1370</v>
    <v>264.36</v>
    <v>24378899999</v>
    <v>VERISIGN, INC.</v>
    <v>VERISIGN, INC.</v>
    <v>267.38499999999999</v>
    <v>29.795300000000001</v>
    <v>269.2</v>
    <v>267.89999999999998</v>
    <v>265.39999999999998</v>
    <v>91000000</v>
    <v>VRSN</v>
    <v>VERISIGN, INC. (XNAS:VRSN)</v>
    <v>916725</v>
    <v>970138</v>
    <v>1995</v>
  </rv>
  <rv s="2">
    <v>1371</v>
  </rv>
  <rv s="0">
    <v>https://www.bing.com/financeapi/forcetrigger?t=a1qga2&amp;q=XNAS%3aCSX&amp;form=skydnc</v>
    <v>Learn more on Bing</v>
  </rv>
  <rv s="1">
    <v>0</v>
    <v>CSX Corporation (XNAS:CSX)</v>
    <v>2</v>
    <v>3</v>
    <v>Finance</v>
    <v>4</v>
    <v>en</v>
    <v>a1qga2</v>
    <v>268435456</v>
    <v>1</v>
    <v>Powered by Refinitiv</v>
    <v>46.55</v>
    <v>27.515000000000001</v>
    <v>1.2445999999999999</v>
    <v>0.05</v>
    <v>1.101E-3</v>
    <v>-0.08</v>
    <v>-1.7599999999999998E-3</v>
    <v>USD</v>
    <v>CSX Corporation is a transportation company. The Company provides rail, intermodal and rail-to-truck transload services and solutions to customers across an array of markets, including energy, industrial, construction, agricultural and consumer products. It provides rail-based freight transportation services, including traditional rail service, the transport of intermodal containers and trailers, as well as other transportation services such as rail-to-truck transfers and bulk commodity operations. Through its subsidiary, CSX Transportation, Inc. (CSXT), it provides a link to the transportation supply chain through its approximately 20,000 route-mile rail network and serves major population centers in 26 states east of the Mississippi River, the District of Columbia and the Canadian provinces of Ontario and Quebec. CSXT is also engaged in real estate sales, leasing, acquisition and management and development activities. It serves merchandise, intermodal, coal, and trucking businesses.</v>
    <v>22200</v>
    <v>Nasdaq Stock Market</v>
    <v>XNAS</v>
    <v>XNAS</v>
    <v>500 Water Street, 15th Floor, JACKSONVILLE, FL, 32202 US</v>
    <v>45.77</v>
    <v>Freight &amp; Logistics Services</v>
    <v>Stock</v>
    <v>46139.916830890623</v>
    <v>1373</v>
    <v>45.06</v>
    <v>84470998940</v>
    <v>CSX Corporation</v>
    <v>CSX Corporation</v>
    <v>45.33</v>
    <v>27.8094</v>
    <v>45.41</v>
    <v>45.46</v>
    <v>45.38</v>
    <v>1858139000</v>
    <v>CSX</v>
    <v>CSX Corporation (XNAS:CSX)</v>
    <v>10648151</v>
    <v>13457307</v>
    <v>1978</v>
  </rv>
  <rv s="2">
    <v>1374</v>
  </rv>
  <rv s="0">
    <v>https://www.bing.com/financeapi/forcetrigger?t=afcqvh&amp;q=XFRA%3aIFX&amp;form=skydnc</v>
    <v>Learn more on Bing</v>
  </rv>
  <rv s="3">
    <v>6</v>
    <v>Infineon Technologies AG (XFRA:IFX)</v>
    <v>2</v>
    <v>7</v>
    <v>Finance</v>
    <v>8</v>
    <v>en</v>
    <v>afcqvh</v>
    <v>268435456</v>
    <v>1</v>
    <v>Powered by Refinitiv</v>
    <v>55.38</v>
    <v>10.220000000000001</v>
    <v>1.9871000000000001</v>
    <v>-0.42</v>
    <v>-7.7619999999999998E-3</v>
    <v>EUR</v>
    <v>Infineon Technologies AG is a Germany based Company. The Company is a developer and manufacturer of semiconductors and related system solutions. The Company operates through four divisions: Automotive, Green Industrial Power, Power &amp; Sensor Systems and Connected Secure Systems. Automotive division designs, develops, manufactures and markets semiconductors to support automotive applications like electromobility, automated driving, connectivity, and advanced security. Industrial Power Control division provides products, solutions and services for energy generation, transmission, storage, and use. Power &amp; Sensor Systems provides semiconductors and power and connectivity devices like chargers, servers, mainboards, power tools, and lighting systems. Connected Secure Systems provides Internet of Things (IoT) technologies like computing, wireless connectivity, and technologies that provide secure connections.</v>
    <v>57280</v>
    <v>Deutsche Boerse AG</v>
    <v>XFRA</v>
    <v>XFRA</v>
    <v>Am Campeon 1-15, BAYERN, 85579 DE</v>
    <v>55.38</v>
    <v>Semiconductors &amp; Semiconductor Equipment</v>
    <v>Stock</v>
    <v>46139.836805555555</v>
    <v>1376</v>
    <v>53.31</v>
    <v>55547360000</v>
    <v>Infineon Technologies AG</v>
    <v>Infineon Technologies AG</v>
    <v>54.04</v>
    <v>68.709999999999994</v>
    <v>54.11</v>
    <v>53.69</v>
    <v>1305921000</v>
    <v>IFX</v>
    <v>Infineon Technologies AG (XFRA:IFX)</v>
    <v>13984</v>
    <v>4968280</v>
    <v>1999</v>
  </rv>
  <rv s="2">
    <v>1377</v>
  </rv>
  <rv s="0">
    <v>https://www.bing.com/financeapi/forcetrigger?t=a1wj9c&amp;q=XNYS%3aKKR&amp;form=skydnc</v>
    <v>Learn more on Bing</v>
  </rv>
  <rv s="1">
    <v>0</v>
    <v>KKR &amp; CO. INC. (XNYS:KKR)</v>
    <v>2</v>
    <v>3</v>
    <v>Finance</v>
    <v>5</v>
    <v>en</v>
    <v>a1wj9c</v>
    <v>268435456</v>
    <v>1</v>
    <v>Powered by Refinitiv</v>
    <v>153.87</v>
    <v>82.67</v>
    <v>1.8439000000000001</v>
    <v>-1.1000000000000001</v>
    <v>-1.0802000000000001E-2</v>
    <v>0.1</v>
    <v>9.9299999999999996E-4</v>
    <v>USD</v>
    <v>KKR &amp; Co. Inc. is a global investment firm that offers alternative asset management as well as capital markets and insurance solutions. The Company’s segments include Asset Management, Insurance and Strategic Holdings. Asset Management segment offers a range of investment management services to investment funds, vehicles and accounts and provides capital markets services to portfolio companies and third parties. Asset Management segment includes five business lines: Private Equity, Real Assets, Credit and Liquid Strategies, Capital Markets and Principal Activities. Insurance segment is operated by Global Atlantic, which is a United States retirement and life insurance company that provides a suite of protection, legacy and savings products and reinsurance solutions to clients across individual and institutional markets. Global Atlantic offers individuals fixed-rate annuities and others. Strategic Holdings segment represents its participation in its core private equity strategy.</v>
    <v>5043</v>
    <v>New York Stock Exchange</v>
    <v>XNYS</v>
    <v>XNYS</v>
    <v>30 Hudson Yards, NEW YORK, NY, 10001 US</v>
    <v>103.26</v>
    <v>Investment Banking &amp; Investment Services</v>
    <v>Stock</v>
    <v>46139.934157742966</v>
    <v>1379</v>
    <v>99.900099999999995</v>
    <v>89805922157</v>
    <v>KKR &amp; CO. INC.</v>
    <v>KKR &amp; CO. INC.</v>
    <v>100.36</v>
    <v>43.3157</v>
    <v>101.83</v>
    <v>100.73</v>
    <v>100.8</v>
    <v>891550900</v>
    <v>KKR</v>
    <v>KKR &amp; CO. INC. (XNYS:KKR)</v>
    <v>3896932</v>
    <v>5818875</v>
    <v>2021</v>
  </rv>
  <rv s="2">
    <v>1380</v>
  </rv>
</rvData>
</file>

<file path=xl/richData/rdrichvaluestructure.xml><?xml version="1.0" encoding="utf-8"?>
<rvStructures xmlns="http://schemas.microsoft.com/office/spreadsheetml/2017/richdata" count="2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37">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Shares outstanding</v>
      <v t="s">Description</v>
      <v t="s">Employees</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ExchangeID</v>
      <v t="s">%ProviderInfo</v>
    </a>
    <a count="37">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52 week high</v>
      <v t="s">52 week low</v>
      <v t="s">Volume</v>
      <v t="s">Volume average</v>
      <v t="s">Market cap</v>
      <v t="s">Beta</v>
      <v t="s">Shares outstanding</v>
      <v t="s">Description</v>
      <v t="s">Employees</v>
      <v t="s">Headquarters</v>
      <v t="s">Industry</v>
      <v t="s">Instrument type</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v t="s">%OutdatedReason</v>
    </a>
  </spbArrays>
  <spbData count="6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GMT</v>
    </spb>
    <spb s="0">
      <v>2</v>
      <v>Name</v>
      <v>LearnMoreOnLink</v>
    </spb>
    <spb s="7">
      <v>10</v>
      <v>2</v>
      <v>10</v>
      <v>3</v>
      <v>10</v>
      <v>10</v>
      <v>10</v>
      <v>4</v>
      <v>4</v>
      <v>5</v>
      <v>11</v>
      <v>10</v>
      <v>10</v>
      <v>10</v>
      <v>4</v>
      <v>7</v>
      <v>8</v>
      <v>9</v>
      <v>4</v>
    </spb>
    <spb s="0">
      <v>3</v>
      <v>Name</v>
      <v>LearnMoreOnLink</v>
    </spb>
    <spb s="8">
      <v>10</v>
      <v>2</v>
      <v>2</v>
      <v>10</v>
      <v>3</v>
      <v>10</v>
      <v>10</v>
      <v>10</v>
      <v>4</v>
      <v>4</v>
      <v>5</v>
      <v>11</v>
      <v>10</v>
      <v>10</v>
      <v>10</v>
      <v>4</v>
      <v>7</v>
      <v>9</v>
      <v>4</v>
    </spb>
    <spb s="9">
      <v>Delayed 15 minutes</v>
      <v>from previous close</v>
      <v>from previous close</v>
      <v>Borsa Italia</v>
      <v>GMT</v>
    </spb>
    <spb s="0">
      <v>4</v>
      <v>Name</v>
      <v>LearnMoreOnLink</v>
    </spb>
    <spb s="10">
      <v>1</v>
      <v>2</v>
      <v>1</v>
      <v>3</v>
      <v>1</v>
      <v>1</v>
      <v>1</v>
      <v>4</v>
      <v>4</v>
      <v>5</v>
      <v>6</v>
      <v>1</v>
      <v>1</v>
      <v>1</v>
      <v>4</v>
      <v>7</v>
      <v>8</v>
      <v>9</v>
      <v>4</v>
      <v>1</v>
      <v>1</v>
      <v>5</v>
    </spb>
    <spb s="11">
      <v>5</v>
      <v>Name</v>
    </spb>
    <spb s="12">
      <v>1</v>
      <v>1</v>
      <v>1</v>
    </spb>
    <spb s="11">
      <v>6</v>
      <v>Name</v>
    </spb>
    <spb s="13">
      <v>10</v>
      <v>10</v>
      <v>3</v>
      <v>10</v>
      <v>10</v>
      <v>10</v>
      <v>4</v>
      <v>4</v>
      <v>5</v>
      <v>11</v>
      <v>10</v>
      <v>4</v>
      <v>7</v>
      <v>8</v>
      <v>9</v>
      <v>4</v>
    </spb>
    <spb s="0">
      <v>7</v>
      <v>Name</v>
      <v>LearnMoreOnLink</v>
    </spb>
    <spb s="14">
      <v>10</v>
      <v>2</v>
      <v>2</v>
      <v>10</v>
      <v>3</v>
      <v>10</v>
      <v>10</v>
      <v>10</v>
      <v>4</v>
      <v>4</v>
      <v>5</v>
      <v>11</v>
      <v>10</v>
      <v>4</v>
      <v>7</v>
      <v>8</v>
      <v>9</v>
      <v>4</v>
    </spb>
    <spb s="0">
      <v>8</v>
      <v>Name</v>
      <v>LearnMoreOnLink</v>
    </spb>
    <spb s="15">
      <v>10</v>
      <v>2</v>
      <v>10</v>
      <v>3</v>
      <v>10</v>
      <v>10</v>
      <v>10</v>
      <v>4</v>
      <v>4</v>
      <v>5</v>
      <v>11</v>
      <v>10</v>
      <v>10</v>
      <v>10</v>
      <v>4</v>
      <v>7</v>
      <v>9</v>
      <v>4</v>
    </spb>
    <spb s="11">
      <v>9</v>
      <v>Name</v>
    </spb>
    <spb s="16">
      <v>10</v>
      <v>2</v>
      <v>10</v>
      <v>3</v>
      <v>10</v>
      <v>10</v>
      <v>10</v>
      <v>4</v>
      <v>4</v>
      <v>5</v>
      <v>11</v>
      <v>10</v>
      <v>10</v>
      <v>10</v>
      <v>4</v>
      <v>7</v>
      <v>8</v>
      <v>9</v>
      <v>4</v>
    </spb>
    <spb s="11">
      <v>10</v>
      <v>Name</v>
    </spb>
    <spb s="11">
      <v>11</v>
      <v>Name</v>
    </spb>
    <spb s="17">
      <v>10</v>
      <v>2</v>
      <v>10</v>
      <v>3</v>
      <v>10</v>
      <v>10</v>
      <v>10</v>
      <v>4</v>
      <v>4</v>
      <v>5</v>
      <v>11</v>
      <v>10</v>
      <v>4</v>
      <v>7</v>
      <v>8</v>
      <v>9</v>
      <v>4</v>
    </spb>
    <spb s="11">
      <v>12</v>
      <v>Name</v>
    </spb>
    <spb s="11">
      <v>13</v>
      <v>Name</v>
    </spb>
    <spb s="10">
      <v>10</v>
      <v>2</v>
      <v>10</v>
      <v>3</v>
      <v>10</v>
      <v>10</v>
      <v>10</v>
      <v>4</v>
      <v>4</v>
      <v>5</v>
      <v>11</v>
      <v>10</v>
      <v>10</v>
      <v>10</v>
      <v>4</v>
      <v>7</v>
      <v>8</v>
      <v>9</v>
      <v>4</v>
      <v>10</v>
      <v>10</v>
      <v>5</v>
    </spb>
    <spb s="18">
      <v>at close</v>
      <v>from previous close</v>
      <v>from previous close</v>
      <v>GMT</v>
      <v>Delayed 15 minutes</v>
      <v>from close</v>
      <v>from close</v>
    </spb>
    <spb s="0">
      <v>14</v>
      <v>Name</v>
      <v>LearnMoreOnLink</v>
    </spb>
    <spb s="19">
      <v>10</v>
      <v>2</v>
      <v>2</v>
      <v>10</v>
      <v>3</v>
      <v>10</v>
      <v>10</v>
      <v>10</v>
      <v>4</v>
      <v>4</v>
      <v>5</v>
      <v>11</v>
      <v>10</v>
      <v>10</v>
      <v>10</v>
      <v>4</v>
      <v>7</v>
      <v>9</v>
      <v>4</v>
      <v>10</v>
      <v>10</v>
      <v>5</v>
    </spb>
    <spb s="3">
      <v>10</v>
      <v>2</v>
      <v>2</v>
      <v>10</v>
      <v>3</v>
      <v>10</v>
      <v>10</v>
      <v>10</v>
      <v>4</v>
      <v>4</v>
      <v>5</v>
      <v>11</v>
      <v>10</v>
      <v>10</v>
      <v>10</v>
      <v>4</v>
      <v>7</v>
      <v>8</v>
      <v>9</v>
      <v>4</v>
      <v>10</v>
      <v>10</v>
      <v>5</v>
    </spb>
    <spb s="5">
      <v>10</v>
      <v>2</v>
      <v>2</v>
      <v>10</v>
      <v>3</v>
      <v>10</v>
      <v>10</v>
      <v>10</v>
      <v>4</v>
      <v>4</v>
      <v>5</v>
      <v>12</v>
      <v>10</v>
      <v>10</v>
      <v>10</v>
      <v>4</v>
      <v>7</v>
      <v>8</v>
      <v>9</v>
      <v>4</v>
    </spb>
    <spb s="11">
      <v>15</v>
      <v>Name</v>
    </spb>
    <spb s="0">
      <v>16</v>
      <v>Name</v>
      <v>LearnMoreOnLink</v>
    </spb>
    <spb s="20">
      <v>0</v>
      <v>0</v>
    </spb>
    <spb s="21">
      <v>39</v>
      <v>1</v>
      <v>1</v>
      <v>1</v>
      <v>1</v>
    </spb>
    <spb s="22">
      <v>1</v>
      <v>2</v>
      <v>2</v>
      <v>1</v>
      <v>3</v>
      <v>1</v>
      <v>13</v>
      <v>1</v>
      <v>1</v>
      <v>4</v>
      <v>4</v>
      <v>5</v>
      <v>6</v>
      <v>1</v>
      <v>1</v>
      <v>1</v>
      <v>4</v>
      <v>7</v>
      <v>8</v>
      <v>9</v>
      <v>4</v>
      <v>1</v>
      <v>1</v>
      <v>5</v>
    </spb>
    <spb s="23">
      <v>Powered by Refinitiv</v>
    </spb>
    <spb s="0">
      <v>17</v>
      <v>Name</v>
      <v>LearnMoreOnLink</v>
    </spb>
    <spb s="24">
      <v>1</v>
      <v>2</v>
      <v>1</v>
      <v>3</v>
      <v>1</v>
      <v>1</v>
      <v>1</v>
      <v>4</v>
      <v>4</v>
      <v>5</v>
      <v>6</v>
      <v>1</v>
      <v>1</v>
      <v>1</v>
      <v>4</v>
      <v>7</v>
      <v>8</v>
      <v>9</v>
      <v>4</v>
      <v>1</v>
      <v>1</v>
      <v>5</v>
    </spb>
    <spb s="9">
      <v>Delayed 15 minutes</v>
      <v>from previous close</v>
      <v>from previous close</v>
      <v>Source: Nasdaq Nordic</v>
      <v>GMT</v>
    </spb>
    <spb s="14">
      <v>10</v>
      <v>2</v>
      <v>2</v>
      <v>10</v>
      <v>3</v>
      <v>10</v>
      <v>10</v>
      <v>10</v>
      <v>4</v>
      <v>4</v>
      <v>5</v>
      <v>11</v>
      <v>10</v>
      <v>4</v>
      <v>14</v>
      <v>8</v>
      <v>9</v>
      <v>4</v>
    </spb>
    <spb s="11">
      <v>18</v>
      <v>Name</v>
    </spb>
    <spb s="25">
      <v>1</v>
      <v>1</v>
    </spb>
    <spb s="26">
      <v>1</v>
      <v>1</v>
      <v>3</v>
      <v>1</v>
      <v>1</v>
      <v>1</v>
      <v>5</v>
      <v>1</v>
      <v>1</v>
      <v>1</v>
      <v>7</v>
      <v>9</v>
    </spb>
    <spb s="27">
      <v>GMT</v>
    </spb>
    <spb s="26">
      <v>10</v>
      <v>10</v>
      <v>3</v>
      <v>10</v>
      <v>10</v>
      <v>10</v>
      <v>5</v>
      <v>10</v>
      <v>10</v>
      <v>10</v>
      <v>7</v>
      <v>9</v>
    </spb>
    <spb s="11">
      <v>19</v>
      <v>Name</v>
    </spb>
    <spb s="19">
      <v>1</v>
      <v>2</v>
      <v>2</v>
      <v>1</v>
      <v>3</v>
      <v>1</v>
      <v>1</v>
      <v>1</v>
      <v>4</v>
      <v>4</v>
      <v>5</v>
      <v>6</v>
      <v>1</v>
      <v>1</v>
      <v>1</v>
      <v>4</v>
      <v>7</v>
      <v>9</v>
      <v>4</v>
      <v>1</v>
      <v>1</v>
      <v>5</v>
    </spb>
    <spb s="0">
      <v>20</v>
      <v>Name</v>
      <v>LearnMoreOnLink</v>
    </spb>
    <spb s="28">
      <v>2</v>
      <v>3</v>
      <v>10</v>
      <v>10</v>
      <v>4</v>
      <v>4</v>
      <v>5</v>
      <v>11</v>
      <v>10</v>
      <v>10</v>
      <v>10</v>
      <v>4</v>
      <v>7</v>
      <v>9</v>
      <v>4</v>
    </spb>
    <spb s="9">
      <v>Delayed 15 minutes</v>
      <v>from previous close</v>
      <v>from previous close</v>
      <v>LSE</v>
      <v>GMT</v>
    </spb>
    <spb s="0">
      <v>21</v>
      <v>Name</v>
      <v>LearnMoreOnLink</v>
    </spb>
    <spb s="5">
      <v>1</v>
      <v>2</v>
      <v>2</v>
      <v>1</v>
      <v>3</v>
      <v>1</v>
      <v>1</v>
      <v>1</v>
      <v>4</v>
      <v>4</v>
      <v>5</v>
      <v>6</v>
      <v>1</v>
      <v>1</v>
      <v>1</v>
      <v>4</v>
      <v>7</v>
      <v>8</v>
      <v>9</v>
      <v>4</v>
    </spb>
    <spb s="9">
      <v>Delayed 15 minutes</v>
      <v>from previous close</v>
      <v>from previous close</v>
      <v>Source: Nasdaq</v>
      <v>GMT</v>
    </spb>
    <spb s="11">
      <v>22</v>
      <v>Name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Order" t="spba"/>
    <k n="TitleProperty" t="s"/>
  </s>
  <s>
    <k n="ExchangeID" t="spb"/>
    <k n="UniqueName" t="spb"/>
    <k n="`%ProviderInfo" t="spb"/>
  </s>
  <s>
    <k n="Low"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s>
  <s>
    <k n="Low" t="i"/>
    <k n="High" t="i"/>
    <k n="Name" t="i"/>
    <k n="Open" t="i"/>
    <k n="Price" t="i"/>
    <k n="Change" t="i"/>
    <k n="Change (%)" t="i"/>
    <k n="52 week low" t="i"/>
    <k n="52 week high" t="i"/>
    <k n="Previous close" t="i"/>
    <k n="Last trade time" t="i"/>
    <k n="`%EntityServiceId" t="i"/>
  </s>
  <s>
    <k n="Last trade time" t="s"/>
  </s>
  <s>
    <k n="Beta" t="i"/>
    <k n="Name" t="i"/>
    <k n="Price" t="i"/>
    <k n="Change" t="i"/>
    <k n="Volume" t="i"/>
    <k n="Employees" t="i"/>
    <k n="Change (%)" t="i"/>
    <k n="Market cap" t="i"/>
    <k n="52 week low" t="i"/>
    <k n="52 week high" t="i"/>
    <k n="Previous close" t="i"/>
    <k n="Volume average" t="i"/>
    <k n="Last trade time"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m/yy\ h:mm"/>
    </x:dxf>
    <x:dxf>
      <x:numFmt numFmtId="14" formatCode="0.00%"/>
    </x:dxf>
    <x:dxf>
      <x:numFmt numFmtId="3" formatCode="#,##0"/>
    </x:dxf>
    <x:dxf>
      <x:numFmt numFmtId="4" formatCode="#,##0.00"/>
    </x:dxf>
    <x:dxf>
      <x:numFmt numFmtId="1" formatCode="0"/>
    </x:dxf>
    <x:dxf>
      <x:numFmt numFmtId="19" formatCode="d/m/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_([$€-x-euro2] * #,##0.00_);_([$€-x-euro2] * (#,##0.00);_([$€-x-euro2] * "-"??_);_(@_)</rpv>
    </rSty>
    <rSty dxfid="1">
      <rpv i="0">_([$€-x-euro2] * #,##0_);_([$€-x-euro2] * (#,##0);_([$€-x-euro2] * "-"_);_(@_)</rpv>
    </rSty>
    <rSty dxfid="1">
      <rpv i="0">_([$£-en-GB]* #,##0_);_([$£-en-GB]* (#,##0);_([$£-en-GB]* "-"_);_(@_)</rpv>
    </rSty>
    <rSty>
      <rpv i="2">1</rpv>
    </rSty>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9203AC-2646-7D40-B930-723610928C48}" name="Tabla2" displayName="Tabla2" ref="A11:AU211" totalsRowCount="1">
  <autoFilter ref="A11:AU210" xr:uid="{B69203AC-2646-7D40-B930-723610928C48}"/>
  <sortState xmlns:xlrd2="http://schemas.microsoft.com/office/spreadsheetml/2017/richdata2" ref="A12:AU210">
    <sortCondition ref="E11:E210"/>
  </sortState>
  <tableColumns count="47">
    <tableColumn id="1" xr3:uid="{C3C4D5D6-47FC-0E4E-A306-57E8A7411E26}" name="valor" totalsRowDxfId="40"/>
    <tableColumn id="2" xr3:uid="{E7629CA8-FD44-D248-BB08-0591CF9D89D8}" name="TCKR" dataDxfId="241" totalsRowDxfId="39">
      <calculatedColumnFormula array="1">_FV(A12,"Ticker symbol",TRUE)</calculatedColumnFormula>
    </tableColumn>
    <tableColumn id="9" xr3:uid="{F3031BED-A33C-C642-9E71-BEF98E274DE6}" name="% Hoy" dataDxfId="240" totalsRowDxfId="38" dataCellStyle="Porcentaje">
      <calculatedColumnFormula array="1">_FV(A12,"Change (%)",TRUE)</calculatedColumnFormula>
    </tableColumn>
    <tableColumn id="3" xr3:uid="{E0877575-FABB-2347-A44C-FE8D5D154296}" name="price" dataDxfId="239" totalsRowDxfId="37">
      <calculatedColumnFormula array="1">_FV(A12,"Price")</calculatedColumnFormula>
    </tableColumn>
    <tableColumn id="43" xr3:uid="{F4DAD455-EBA0-2449-BB2E-A544A27F5531}" name="Difer. Obje 1" dataDxfId="238" totalsRowDxfId="36" dataCellStyle="Porcentaje">
      <calculatedColumnFormula>AE12</calculatedColumnFormula>
    </tableColumn>
    <tableColumn id="44" xr3:uid="{C626AF81-047E-174C-9934-5233361BD326}" name="Rent. D." dataDxfId="237" totalsRowDxfId="35" dataCellStyle="Porcentaje">
      <calculatedColumnFormula>+Tabla2[[#This Row],[Rentab. Parcial]]</calculatedColumnFormula>
    </tableColumn>
    <tableColumn id="46" xr3:uid="{C4530593-A918-F547-8BDA-5A4C0057D79F}" name="R. Sin D." dataDxfId="236" totalsRowDxfId="34" dataCellStyle="Porcentaje">
      <calculatedColumnFormula>+Tabla2[[#This Row],[Rentab. Parcial2]]</calculatedColumnFormula>
    </tableColumn>
    <tableColumn id="45" xr3:uid="{64391813-4A0D-0A4F-BA43-9F8BD3B32BD2}" name="Investing" dataDxfId="235" totalsRowDxfId="33" dataCellStyle="Porcentaje">
      <calculatedColumnFormula>+Tabla2[[#This Row],[Difer. Investing]]</calculatedColumnFormula>
    </tableColumn>
    <tableColumn id="47" xr3:uid="{5EDE4C59-F674-1E45-A699-543F629D2A28}" name="Objetivo div" dataDxfId="234" totalsRowDxfId="32" dataCellStyle="Porcentaje">
      <calculatedColumnFormula>+Tabla2[[#This Row],[Objetivo div2]]</calculatedColumnFormula>
    </tableColumn>
    <tableColumn id="28" xr3:uid="{F018739C-86B0-EF42-9FC1-473B71B75CC2}" name="Máx" dataDxfId="233" totalsRowDxfId="31"/>
    <tableColumn id="27" xr3:uid="{C2D9C62A-E75A-4E46-BD51-FDEBE5118D28}" name="Min" dataDxfId="232" totalsRowDxfId="30">
      <calculatedColumnFormula array="1">_FV(A12,"Low")</calculatedColumnFormula>
    </tableColumn>
    <tableColumn id="30" xr3:uid="{8B0F6E6A-2096-4F4E-AD08-B07EAFBC8C96}" name="52 high" dataDxfId="231" totalsRowDxfId="29">
      <calculatedColumnFormula array="1">_FV(Tabla2[[#This Row],[valor]],"52 week high",TRUE)</calculatedColumnFormula>
    </tableColumn>
    <tableColumn id="36" xr3:uid="{E689A0BC-6610-EF4F-949E-8469F5F8048D}" name="HIGH 10%" dataDxfId="230" totalsRowDxfId="28">
      <calculatedColumnFormula>+Tabla2[[#This Row],[52 high]]*0.9</calculatedColumnFormula>
    </tableColumn>
    <tableColumn id="37" xr3:uid="{2D92FF7A-1777-0649-AEF7-955FA2690234}" name="HIGH 5%" dataDxfId="229" totalsRowDxfId="27">
      <calculatedColumnFormula>+Tabla2[[#This Row],[52 high]]*0.95</calculatedColumnFormula>
    </tableColumn>
    <tableColumn id="31" xr3:uid="{0B140B9C-FECB-6F42-BF1B-FD4EDF300A88}" name="52  low" dataDxfId="228" totalsRowDxfId="26">
      <calculatedColumnFormula array="1">_FV(Tabla2[[#This Row],[valor]],"52 week low",TRUE)</calculatedColumnFormula>
    </tableColumn>
    <tableColumn id="42" xr3:uid="{523D7252-99A0-FF49-B1DA-7BA3EE41E6EB}" name="Días cartera" dataDxfId="227" totalsRowDxfId="25">
      <calculatedColumnFormula>+TODAY()-Tabla2[[#This Row],[F. compra]]</calculatedColumnFormula>
    </tableColumn>
    <tableColumn id="34" xr3:uid="{6C007C23-39D8-2341-A088-21983E417687}" name="MAX 10%" dataDxfId="226" totalsRowDxfId="24">
      <calculatedColumnFormula>GESTEP(Tabla2[[#This Row],[price]],Tabla2[[#This Row],[HIGH 10%]])</calculatedColumnFormula>
    </tableColumn>
    <tableColumn id="38" xr3:uid="{296A6276-93B5-7242-B5A4-A9FE196DDE5F}" name="MAX 5%" dataDxfId="225" totalsRowDxfId="23">
      <calculatedColumnFormula>GESTEP(Tabla2[[#This Row],[price]],Tabla2[[#This Row],[HIGH 5%]])</calculatedColumnFormula>
    </tableColumn>
    <tableColumn id="4" xr3:uid="{1386CA3E-7A52-1641-B929-8B2CB922D135}" name="Cartera" dataDxfId="224" totalsRowDxfId="22"/>
    <tableColumn id="5" xr3:uid="{91C27F96-80BC-7946-983D-ADBE07410662}" name="Recomendación" dataDxfId="223" totalsRowDxfId="21"/>
    <tableColumn id="6" xr3:uid="{8BB4A728-08ED-7A4D-B36A-D55660F49D99}" name="Banco" dataDxfId="222" totalsRowDxfId="20"/>
    <tableColumn id="7" xr3:uid="{08AF4D25-C08B-7645-B12D-8FB0F8972979}" name="F. publicación" dataDxfId="221" totalsRowDxfId="19"/>
    <tableColumn id="8" xr3:uid="{D6A7CE2A-BC27-8C41-9C7A-54629DC0BF69}" name="F. compra" dataDxfId="220" totalsRowDxfId="18"/>
    <tableColumn id="10" xr3:uid="{B449C605-CA4C-B34D-96FB-C82403D3E468}" name="P. condición" totalsRowDxfId="17"/>
    <tableColumn id="12" xr3:uid="{835BD2CF-F573-1B4A-A504-CCEBC262C785}" name="Precio Max." dataDxfId="219" totalsRowDxfId="16"/>
    <tableColumn id="13" xr3:uid="{38E0E7AE-6788-1242-9506-63E573EA43D8}" name="Precio compra" dataDxfId="218" totalsRowDxfId="15"/>
    <tableColumn id="14" xr3:uid="{AE451C8C-C34E-6844-A464-6DFD71EE7CC3}" name="Precio compra2" dataDxfId="217" totalsRowDxfId="14"/>
    <tableColumn id="15" xr3:uid="{640555D8-04A9-2D46-AA8B-AEC6FF8C0715}" name="Div." totalsRowFunction="sum" dataDxfId="216" totalsRowDxfId="13"/>
    <tableColumn id="16" xr3:uid="{147DB0C7-49BC-504D-8EB2-D68E8EEA167D}" name="Objetivo div2" dataDxfId="215" totalsRowDxfId="12"/>
    <tableColumn id="32" xr3:uid="{292F2DE0-C556-EA49-ADC6-6686CE75BD9B}" name="Objetivo sin" dataDxfId="214" totalsRowDxfId="11">
      <calculatedColumnFormula>+Tabla2[[#This Row],[Objetivo div2]]+Tabla2[[#This Row],[Div.]]</calculatedColumnFormula>
    </tableColumn>
    <tableColumn id="17" xr3:uid="{8A605C08-D604-EF49-A41F-D13DA961FF28}" name="Difer. Obje 12" dataDxfId="213" totalsRowDxfId="10" dataCellStyle="Porcentaje">
      <calculatedColumnFormula>IF(Z12="-",+AC12/Y12-1,AC12/D12-1)</calculatedColumnFormula>
    </tableColumn>
    <tableColumn id="18" xr3:uid="{E3946B9F-4727-EB43-9C5D-99B92CAB076D}" name="Investing2" dataDxfId="212" totalsRowDxfId="9" dataCellStyle="Millares"/>
    <tableColumn id="19" xr3:uid="{62B44B49-5F44-E841-A9B6-EAF3A8EAB1AD}" name="Difer. Investing" dataDxfId="211" totalsRowDxfId="8" dataCellStyle="Porcentaje"/>
    <tableColumn id="20" xr3:uid="{728CA9A1-8C13-5341-B427-D9D4B1EA1CBC}" name="Stop Loss" dataDxfId="210" totalsRowDxfId="7" dataCellStyle="Millares"/>
    <tableColumn id="21" xr3:uid="{651BEF97-49DA-5441-AD30-4B63BE1C291D}" name="Difer. stop" dataDxfId="209" totalsRowDxfId="6" dataCellStyle="Porcentaje">
      <calculatedColumnFormula>IF(Z12="-",AH12/Y12-1,+AH12/D12-1)</calculatedColumnFormula>
    </tableColumn>
    <tableColumn id="23" xr3:uid="{272DFB61-058A-2C41-96E8-00519F678378}" name="Rentab. Parcial" dataDxfId="208" totalsRowDxfId="5" dataCellStyle="Porcentaje">
      <calculatedColumnFormula>IF(Z12="-","-",+(D12/Z12)-1)</calculatedColumnFormula>
    </tableColumn>
    <tableColumn id="24" xr3:uid="{BC2FCF18-4D46-5F4F-AE8B-B0D14508DAF0}" name="Rentab. Parcial2" dataDxfId="207" totalsRowDxfId="4" dataCellStyle="Porcentaje">
      <calculatedColumnFormula>IF(AA12="-","-",+(D12/AA12)-1)</calculatedColumnFormula>
    </tableColumn>
    <tableColumn id="25" xr3:uid="{7E816CBA-FBF2-3C4E-8761-9A28EA855A0C}" name="Precio venta" dataDxfId="206" totalsRowDxfId="3"/>
    <tableColumn id="26" xr3:uid="{8A05A458-BD14-C843-9329-CFCEC672F9E7}" name="Rentabilidad" dataDxfId="205" totalsRowDxfId="2" dataCellStyle="Porcentaje">
      <calculatedColumnFormula>IF(AL12=0,"-",+AL12/Z12-1)</calculatedColumnFormula>
    </tableColumn>
    <tableColumn id="29" xr3:uid="{20CD1373-35B4-D640-AF9F-2570D6F2260C}" name="Diferencia con Vta" dataDxfId="204" totalsRowDxfId="1" dataCellStyle="Porcentaje">
      <calculatedColumnFormula>+D12/Y12-1</calculatedColumnFormula>
    </tableColumn>
    <tableColumn id="11" xr3:uid="{2E162C71-21C6-CD43-A9C9-C11EBCC40792}" name="Titulos2" dataDxfId="203">
      <calculatedColumnFormula>VLOOKUP(Tabla2[[#This Row],[TCKR]],'2026'!$D$5:$AH$257,8,FALSE)</calculatedColumnFormula>
    </tableColumn>
    <tableColumn id="33" xr3:uid="{B8565E7E-FF45-CB4A-ADC9-A33CDE6B9EAE}" name="Ganancia" dataDxfId="202" totalsRowDxfId="0" dataCellStyle="Millares">
      <calculatedColumnFormula>VLOOKUP(Tabla2[[#This Row],[TCKR]],'2026'!$D$5:$AH$257,26,FALSE)</calculatedColumnFormula>
    </tableColumn>
    <tableColumn id="35" xr3:uid="{0B68E483-5916-424E-ADCB-3B47BCDE75C0}" name="P/E" dataDxfId="201" dataCellStyle="Millares">
      <calculatedColumnFormula array="1">_FV(Tabla2[[#This Row],[valor]],"P/E",TRUE)</calculatedColumnFormula>
    </tableColumn>
    <tableColumn id="22" xr3:uid="{60CED66A-221A-3C4E-9DCD-A42237AC4B7C}" name="Dividendos" dataDxfId="200"/>
    <tableColumn id="39" xr3:uid="{AE9A8409-CCEC-0846-8D4C-F5C3C7A3AB6B}" name="Neto" dataDxfId="199" dataCellStyle="Millares"/>
    <tableColumn id="40" xr3:uid="{94ED2EDE-7D81-0649-9F9D-5DFE96689F9B}" name="Total" dataDxfId="198" dataCellStyle="Millares">
      <calculatedColumnFormula>+Tabla2[[#This Row],[Titulos2]]*Tabla2[[#This Row],[Neto]]</calculatedColumnFormula>
    </tableColumn>
    <tableColumn id="41" xr3:uid="{D4B2E4A2-4073-B24E-A228-314AD085BDA9}" name="%" dataDxfId="197">
      <calculatedColumnFormula>+Tabla2[[#This Row],[Neto]]/Tabla2[[#This Row],[Precio compra2]]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30" dT="2025-08-01T07:58:28.10" personId="{11888C3C-36D9-B34E-A311-8037CF59BFE7}" id="{E6335FD1-AD2E-0A47-B823-F4EC7C483CEC}">
    <text>Alta por canje</text>
  </threadedComment>
  <threadedComment ref="L31" dT="2025-08-01T07:58:14.47" personId="{11888C3C-36D9-B34E-A311-8037CF59BFE7}" id="{45F45E2F-7F60-2F46-8648-E06FB4DEA389}">
    <text>Alta por canje</text>
  </threadedComment>
  <threadedComment ref="B108" dT="2025-10-21T14:15:17.70" personId="{11888C3C-36D9-B34E-A311-8037CF59BFE7}" id="{B8B14C19-3C77-404F-8EB4-BE27936DB316}">
    <text>Cambiado los valores dados por chatgpt el 21 de octubre del 25 solo en la pagina de investing de EEUU. En el general siguen los valores antiguos. Aqui en el excel tambien cambiados. Guardo pdf expicación en icloud.</text>
  </threadedComment>
  <threadedComment ref="B111" dT="2026-03-24T14:56:01.96" personId="{11888C3C-36D9-B34E-A311-8037CF59BFE7}" id="{9A55B52C-B0A1-D345-9F65-EF460324CBDB}">
    <text>contrasplit 1 a 12. De 1200 acciones pasan a 100. y de valor 1,46$ a 17,52$</text>
  </threadedComment>
  <threadedComment ref="B112" dT="2026-03-24T15:01:07.34" personId="{11888C3C-36D9-B34E-A311-8037CF59BFE7}" id="{DFDE107E-DE51-B143-ADF9-D327C30AD2F1}">
    <text>contrasplit misma fecha comentario de 12x1. Pasan de 400 acciones a 33,33</text>
  </threadedComment>
  <threadedComment ref="B120" dT="2025-11-18T08:31:58.98" personId="{11888C3C-36D9-B34E-A311-8037CF59BFE7}" id="{4DC58D2D-0C0F-C141-8AC3-FAB227900F6F}">
    <text>contrasplit 10:1 el 17 de noviembre 2025</text>
  </threadedComment>
  <threadedComment ref="B142" dT="2025-12-15T15:59:58.10" personId="{11888C3C-36D9-B34E-A311-8037CF59BFE7}" id="{1D31306E-BF56-D546-B61E-FC24171620C8}">
    <text>Descontado devolucion de capital, hoja dividendos referencias</text>
  </threadedComment>
  <threadedComment ref="B173" dT="2024-11-19T12:47:51.25" personId="{11888C3C-36D9-B34E-A311-8037CF59BFE7}" id="{9528BE21-ED33-744F-95DA-C549B43915FE}">
    <text>Descontado devolución de capital por importe de 14,5€/título</text>
  </threadedComment>
  <threadedComment ref="B173" dT="2024-11-19T12:48:14.17" personId="{11888C3C-36D9-B34E-A311-8037CF59BFE7}" id="{50A1D9BF-AB48-0045-9BFF-5C73C7D16B44}" parentId="{9528BE21-ED33-744F-95DA-C549B43915FE}">
    <text>Sobre el importe de compra</text>
  </threadedComment>
  <threadedComment ref="B173" dT="2025-09-11T16:20:26.33" personId="{11888C3C-36D9-B34E-A311-8037CF59BFE7}" id="{80E9BE68-4BCB-5346-BD47-D88E9B488484}" parentId="{9528BE21-ED33-744F-95DA-C549B43915FE}">
    <text>descuento otro 2€ por titulo por devolución de capital septiembre de 2025</text>
  </threadedComment>
  <threadedComment ref="B173" dT="2025-12-15T12:34:51.16" personId="{11888C3C-36D9-B34E-A311-8037CF59BFE7}" id="{68913E5E-5B48-6347-B14A-F3D9FAB0ECC4}" parentId="{9528BE21-ED33-744F-95DA-C549B43915FE}">
    <text>devolución capital de 4,22€ por título el 14 de abril</text>
  </threadedComment>
  <threadedComment ref="B173" dT="2025-12-15T15:58:25.96" personId="{11888C3C-36D9-B34E-A311-8037CF59BFE7}" id="{C60843EC-FEB2-1A4D-B983-C6265B33CFB0}" parentId="{9528BE21-ED33-744F-95DA-C549B43915FE}">
    <text>Hoja dividendos abajo referencias valor</text>
  </threadedComment>
  <threadedComment ref="B188" dT="2023-09-12T11:54:36.80" personId="{11888C3C-36D9-B34E-A311-8037CF59BFE7}" id="{62AD120F-DA45-BA45-968A-2C544F130C9F}">
    <text xml:space="preserve">Mediolanum
</text>
  </threadedComment>
  <threadedComment ref="B189" dT="2023-09-12T11:54:27.64" personId="{11888C3C-36D9-B34E-A311-8037CF59BFE7}" id="{56DC8C7C-7A4B-0A41-87F5-8736672A6872}">
    <text>Ing</text>
  </threadedComment>
  <threadedComment ref="B189" dT="2026-03-31T09:46:41.21" personId="{11888C3C-36D9-B34E-A311-8037CF59BFE7}" id="{D6B349B9-7DB9-7E40-BAD4-F6BD244AA891}" parentId="{56DC8C7C-7A4B-0A41-87F5-8736672A6872}">
    <text>Vendidas 474 el 31/3/26 a 24,3€</text>
  </threadedComment>
  <threadedComment ref="B190" dT="2023-09-12T11:54:20.27" personId="{11888C3C-36D9-B34E-A311-8037CF59BFE7}" id="{1D6ED009-3537-4A48-85F3-15389EA8D673}">
    <text>Ing</text>
  </threadedComment>
  <threadedComment ref="B191" dT="2023-09-12T11:06:38.91" personId="{11888C3C-36D9-B34E-A311-8037CF59BFE7}" id="{263731D3-6196-CB4A-8648-982F33C15282}">
    <text>Script dividend agrupado desde 2016</text>
  </threadedComment>
  <threadedComment ref="B243" dT="2025-12-03T18:14:01.66" personId="{11888C3C-36D9-B34E-A311-8037CF59BFE7}" id="{E0B5F4F1-754E-0349-B1D0-9773AE6FE9F9}">
    <text>Revisar venta VERI en ibkr</text>
  </threadedComment>
  <threadedComment ref="B245" dT="2023-12-03T09:35:10.63" personId="{11888C3C-36D9-B34E-A311-8037CF59BFE7}" id="{62468F1C-1E4B-414F-83A3-49DEB158907E}">
    <text xml:space="preserve">Ing, </text>
  </threadedComment>
  <threadedComment ref="Z262" dT="2026-01-09T11:51:24.68" personId="{11888C3C-36D9-B34E-A311-8037CF59BFE7}" id="{7D2D8420-8B83-D548-A452-0B34A70B9B0B}">
    <text>Transferido a Revolut</text>
  </threadedComment>
  <threadedComment ref="Y273" dT="2026-02-05T18:45:57.72" personId="{11888C3C-36D9-B34E-A311-8037CF59BFE7}" id="{3AE0D1B4-D568-FA42-A2DB-245607F77BE8}">
    <text>Transferido Revolut 5 febrero</text>
  </threadedComment>
  <threadedComment ref="B292" dT="2023-09-12T11:54:27.64" personId="{11888C3C-36D9-B34E-A311-8037CF59BFE7}" id="{3ECEB072-A1BE-F147-82D0-0919C6559530}">
    <text>Ing</text>
  </threadedComment>
  <threadedComment ref="Z303" dT="2026-04-27T15:58:37.77" personId="{11888C3C-36D9-B34E-A311-8037CF59BFE7}" id="{626B2B17-2F66-CB46-88F0-55DD04BBA514}">
    <text>Transferido 27/4 a revolut</text>
  </threadedComment>
  <threadedComment ref="B309" dT="2023-09-12T12:47:26.69" personId="{11888C3C-36D9-B34E-A311-8037CF59BFE7}" id="{87CE3A1C-72FC-4740-A17E-A23EA3EC892D}">
    <text>Ing</text>
  </threadedComment>
  <threadedComment ref="B330" dT="2025-06-16T18:34:11.33" personId="{11888C3C-36D9-B34E-A311-8037CF59BFE7}" id="{56515C69-D5C0-8743-9EEE-91928A3346B7}">
    <text>OPA de CVC lanzada a 22 euros. -no se ha podido hacer nada</text>
  </threadedComment>
</ThreadedComments>
</file>

<file path=xl/threadedComments/threadedComment2.xml><?xml version="1.0" encoding="utf-8"?>
<ThreadedComments xmlns="http://schemas.microsoft.com/office/spreadsheetml/2018/threadedcomments" xmlns:x="http://schemas.openxmlformats.org/spreadsheetml/2006/main">
  <threadedComment ref="B13" dT="2026-03-31T09:13:51.86" personId="{11888C3C-36D9-B34E-A311-8037CF59BFE7}" id="{337E7650-4878-DF42-A0DD-B9FF3CC926A2}">
    <text>Venta parcial 474 de ING a 24,3€</text>
  </threadedComment>
  <threadedComment ref="A14" dT="2024-04-02T08:37:13.31" personId="{11888C3C-36D9-B34E-A311-8037CF59BFE7}" id="{9FED45CB-9723-B64C-83EB-0A8AE1C14258}">
    <text>Descontado dividendo del 7%</text>
  </threadedComment>
  <threadedComment ref="A14" dT="2024-04-02T08:37:36.82" personId="{11888C3C-36D9-B34E-A311-8037CF59BFE7}" id="{E25D87BA-747A-9A46-828A-359AA35B8C6C}" parentId="{9FED45CB-9723-B64C-83EB-0A8AE1C14258}">
    <text>Intro vendió antes del dividendo</text>
  </threadedComment>
  <threadedComment ref="I14" dT="2024-05-16T14:02:27.45" personId="{11888C3C-36D9-B34E-A311-8037CF59BFE7}" id="{EB7EA266-08A9-554B-B73F-697B3A0FBA61}">
    <text xml:space="preserve">Dividendos descontado
</text>
  </threadedComment>
  <threadedComment ref="AC14" dT="2024-05-16T14:02:27.45" personId="{11888C3C-36D9-B34E-A311-8037CF59BFE7}" id="{D3DD46DE-0EC4-844E-904E-8F2CA5E81CAF}">
    <text xml:space="preserve">Dividendos descontado
</text>
  </threadedComment>
  <threadedComment ref="B20" dT="2026-02-20T09:43:27.86" personId="{11888C3C-36D9-B34E-A311-8037CF59BFE7}" id="{8AA7C688-D272-1045-8210-F9F28D92D73E}">
    <text>62 títulos a 249€. Venta parcial R4. Quedan los de ING</text>
  </threadedComment>
  <threadedComment ref="B21" dT="2026-02-20T09:36:32.23" personId="{11888C3C-36D9-B34E-A311-8037CF59BFE7}" id="{279C6C36-441E-F14F-AEC0-C0FB6874D583}">
    <text>79,9€ R4</text>
  </threadedComment>
  <threadedComment ref="B21" dT="2026-02-25T19:44:58.66" personId="{11888C3C-36D9-B34E-A311-8037CF59BFE7}" id="{BE092E70-7B72-2A45-9601-BCE871A1CE76}" parentId="{279C6C36-441E-F14F-AEC0-C0FB6874D583}">
    <text>vendidas el 50% 125 acciones</text>
  </threadedComment>
  <threadedComment ref="B29" dT="2026-02-20T14:45:10.03" personId="{11888C3C-36D9-B34E-A311-8037CF59BFE7}" id="{32B027B6-5AA4-F340-817F-91DDAEF227DA}">
    <text>38,7$ IBKR</text>
  </threadedComment>
  <threadedComment ref="B29" dT="2026-04-23T14:10:34.77" personId="{11888C3C-36D9-B34E-A311-8037CF59BFE7}" id="{1DF083B3-23EE-C949-9BE5-EA21ADA4AE20}" parentId="{32B027B6-5AA4-F340-817F-91DDAEF227DA}">
    <text>se canceló la orden automáticamente. Suerte</text>
  </threadedComment>
  <threadedComment ref="B61" dT="2026-04-23T14:20:45.44" personId="{11888C3C-36D9-B34E-A311-8037CF59BFE7}" id="{AC9EEB02-A832-9448-9929-86537EDAD230}">
    <text>orden vta. 41,9$ R4 e IBKR</text>
  </threadedComment>
  <threadedComment ref="B75" dT="2026-02-07T08:25:23.94" personId="{11888C3C-36D9-B34E-A311-8037CF59BFE7}" id="{31DE2651-A799-A640-AB6C-BAD4E8A13F27}">
    <text>13,94$ IBKR</text>
  </threadedComment>
  <threadedComment ref="B88" dT="2026-01-07T14:51:04.67" personId="{11888C3C-36D9-B34E-A311-8037CF59BFE7}" id="{6AD529F4-7008-B64C-86DC-3685AF0BC058}">
    <text>4,99</text>
  </threadedComment>
  <threadedComment ref="B88" dT="2026-01-22T17:40:08.35" personId="{11888C3C-36D9-B34E-A311-8037CF59BFE7}" id="{E69DEC7F-26CE-FD49-AA01-262A5C04A47B}" parentId="{6AD529F4-7008-B64C-86DC-3685AF0BC058}">
    <text>cancelado el 22 de enero</text>
  </threadedComment>
  <threadedComment ref="I103" dT="2024-05-14T21:11:03.77" personId="{11888C3C-36D9-B34E-A311-8037CF59BFE7}" id="{1833B373-CDC6-DA46-A8B0-80A61276A350}">
    <text xml:space="preserve">Descontado dividendos </text>
  </threadedComment>
  <threadedComment ref="AC103" dT="2024-05-14T21:11:03.77" personId="{11888C3C-36D9-B34E-A311-8037CF59BFE7}" id="{88A6245D-3315-3948-99FA-9BADC1C86604}">
    <text xml:space="preserve">Descontado dividendos </text>
  </threadedComment>
  <threadedComment ref="I167" dT="2024-05-14T07:39:50.58" personId="{11888C3C-36D9-B34E-A311-8037CF59BFE7}" id="{6CBD8B87-A1EC-5149-A023-9022107AAC9F}">
    <text>Dividendo mayo 24</text>
  </threadedComment>
  <threadedComment ref="AC167" dT="2024-05-14T07:39:50.58" personId="{11888C3C-36D9-B34E-A311-8037CF59BFE7}" id="{10499ADD-1E23-FE4F-AA5D-566A5D3103C2}">
    <text>Dividendo mayo 24</text>
  </threadedComment>
  <threadedComment ref="X194" dT="2024-01-23T15:42:09.15" personId="{11888C3C-36D9-B34E-A311-8037CF59BFE7}" id="{8EBA48DA-4391-A94F-ACF3-88231D8CE582}">
    <text>3,74 diario o 3,67 semanal</text>
  </threadedComment>
  <threadedComment ref="B225" dT="2026-01-05T09:31:16.11" personId="{11888C3C-36D9-B34E-A311-8037CF59BFE7}" id="{98944DE2-1E90-0048-BA24-ACBF5F5260F5}">
    <text>153,8</text>
  </threadedComment>
  <threadedComment ref="B226" dT="2026-01-05T11:14:31.85" personId="{11888C3C-36D9-B34E-A311-8037CF59BFE7}" id="{837A815C-C14A-EE44-863D-44C3E1F3C29C}">
    <text>20,3</text>
  </threadedComment>
  <threadedComment ref="B227" dT="2026-01-07T11:20:43.24" personId="{11888C3C-36D9-B34E-A311-8037CF59BFE7}" id="{FF6A835F-DC4D-9044-B618-B675F3B8F22C}">
    <text>46,8</text>
  </threadedComment>
  <threadedComment ref="B227" dT="2026-01-07T14:54:21.36" personId="{11888C3C-36D9-B34E-A311-8037CF59BFE7}" id="{2095B3B9-8977-244B-9FF5-BF9B66737269}" parentId="{FF6A835F-DC4D-9044-B618-B675F3B8F22C}">
    <text>modificada venta a 46,43</text>
  </threadedComment>
  <threadedComment ref="B228" dT="2026-01-08T17:15:31.19" personId="{11888C3C-36D9-B34E-A311-8037CF59BFE7}" id="{6940894F-C90A-0745-B903-C6672E3C19D4}">
    <text>118,81</text>
  </threadedComment>
  <threadedComment ref="B230" dT="2025-11-25T18:12:41.68" personId="{11888C3C-36D9-B34E-A311-8037CF59BFE7}" id="{38EC4612-88E2-5844-9F36-0C89CB460B74}">
    <text>53,44</text>
  </threadedComment>
  <threadedComment ref="B230" dT="2026-01-22T16:39:14.71" personId="{11888C3C-36D9-B34E-A311-8037CF59BFE7}" id="{A49D5E76-9956-D547-A3D6-F3537F5528DC}" parentId="{38EC4612-88E2-5844-9F36-0C89CB460B74}">
    <text>53,9</text>
  </threadedComment>
  <threadedComment ref="B232" dT="2026-02-06T15:34:50.11" personId="{11888C3C-36D9-B34E-A311-8037CF59BFE7}" id="{3E36263E-01E1-8A4F-A36D-E9CF293E2BB9}">
    <text>6,89$</text>
  </threadedComment>
  <threadedComment ref="B233" dT="2026-02-07T08:22:23.28" personId="{11888C3C-36D9-B34E-A311-8037CF59BFE7}" id="{47D02DAB-F2AF-AF48-8165-66A5F1B7FBFA}">
    <text>61,69$ IBKR</text>
  </threadedComment>
  <threadedComment ref="B234" dT="2025-11-25T18:13:45.16" personId="{11888C3C-36D9-B34E-A311-8037CF59BFE7}" id="{18804345-DF60-B841-801D-F7DE97D6BBC4}">
    <text>142,5</text>
  </threadedComment>
  <threadedComment ref="B235" dT="2026-02-06T15:38:11.77" personId="{11888C3C-36D9-B34E-A311-8037CF59BFE7}" id="{FECC56AE-C755-204F-A0B7-EEA61640C329}">
    <text>117,09$</text>
  </threadedComment>
  <threadedComment ref="B236" dT="2026-02-20T09:36:32.23" personId="{11888C3C-36D9-B34E-A311-8037CF59BFE7}" id="{F8DFB0D4-7291-C74E-A22C-98B2777E390C}">
    <text>79,9€ R4</text>
  </threadedComment>
  <threadedComment ref="B238" dT="2026-02-10T15:00:18.80" personId="{11888C3C-36D9-B34E-A311-8037CF59BFE7}" id="{4C9C7913-0E3F-D544-8A51-575AC5CEFE70}">
    <text>62,57$ IBKR</text>
  </threadedComment>
  <threadedComment ref="B240" dT="2026-03-18T20:39:56.94" personId="{11888C3C-36D9-B34E-A311-8037CF59BFE7}" id="{CE56939B-ACE6-C946-9BE8-058792214F32}">
    <text>Revolut 7,46$</text>
  </threadedComment>
  <threadedComment ref="B241" dT="2026-03-10T17:51:35.50" personId="{11888C3C-36D9-B34E-A311-8037CF59BFE7}" id="{EDBC7908-EAF0-024D-94AA-DB78CB1AC0D9}">
    <text>Orden 32,10$ ibkr</text>
  </threadedComment>
  <threadedComment ref="B242" dT="2026-03-31T09:13:51.86" personId="{11888C3C-36D9-B34E-A311-8037CF59BFE7}" id="{A71D4727-53E5-8A43-9FF4-1C3E1BA038DB}">
    <text>Venta parcial 474 de ING a 24,3€</text>
  </threadedComment>
  <threadedComment ref="B245" dT="2026-01-08T17:16:52.25" personId="{11888C3C-36D9-B34E-A311-8037CF59BFE7}" id="{121A9502-7BE0-1748-9974-F0E553BF959B}">
    <text>20,17</text>
  </threadedComment>
  <threadedComment ref="B245" dT="2026-01-21T09:57:53.74" personId="{11888C3C-36D9-B34E-A311-8037CF59BFE7}" id="{0E94AA4C-7D60-2B45-952B-91F4B751E3A6}" parentId="{121A9502-7BE0-1748-9974-F0E553BF959B}">
    <text>precio venta desactivado</text>
  </threadedComment>
  <threadedComment ref="B245" dT="2026-04-08T13:56:23.04" personId="{11888C3C-36D9-B34E-A311-8037CF59BFE7}" id="{466FFBC7-C05E-8846-AAE7-DEFFBBA53EB6}" parentId="{121A9502-7BE0-1748-9974-F0E553BF959B}">
    <text>8/4 venta total 24,10$ R4</text>
  </threadedComment>
  <threadedComment ref="B250" dT="2026-04-10T13:03:40.40" personId="{11888C3C-36D9-B34E-A311-8037CF59BFE7}" id="{D2CD104F-0670-424A-86D9-10ACCA893119}">
    <text>Vta R4 3,22$</text>
  </threadedComment>
  <threadedComment ref="B250" dT="2026-04-20T20:13:54.07" personId="{11888C3C-36D9-B34E-A311-8037CF59BFE7}" id="{64FFFC97-1E96-1944-BC76-1A323C042436}" parentId="{D2CD104F-0670-424A-86D9-10ACCA893119}">
    <text>3,23$</text>
  </threadedComment>
  <threadedComment ref="B251" dT="2026-04-08T13:57:08.36" personId="{11888C3C-36D9-B34E-A311-8037CF59BFE7}" id="{6F4D96C3-B8E3-D543-887F-267838713AAC}">
    <text>Vta a 50,83$ Revolut</text>
  </threadedComment>
  <threadedComment ref="B251" dT="2026-04-27T15:18:31.70" personId="{11888C3C-36D9-B34E-A311-8037CF59BFE7}" id="{4E082488-8EEA-774C-B98D-569B3BC1E794}" parentId="{6F4D96C3-B8E3-D543-887F-267838713AAC}">
    <text>cambiado precio de venta a 50,5$</text>
  </threadedComment>
  <threadedComment ref="A273" dT="2024-04-02T08:37:13.31" personId="{11888C3C-36D9-B34E-A311-8037CF59BFE7}" id="{ABB54099-DDEF-194D-940F-6F0E7A9F378C}">
    <text>Descontado dividendo del 7%</text>
  </threadedComment>
  <threadedComment ref="A273" dT="2024-04-02T08:37:36.82" personId="{11888C3C-36D9-B34E-A311-8037CF59BFE7}" id="{8C0245C0-AD07-AD43-ACF0-3506219D5CA6}" parentId="{ABB54099-DDEF-194D-940F-6F0E7A9F378C}">
    <text>Intro vendió antes del dividendo</text>
  </threadedComment>
  <threadedComment ref="I273" dT="2024-05-16T14:02:27.45" personId="{11888C3C-36D9-B34E-A311-8037CF59BFE7}" id="{6E1ABDE6-92AC-004B-9A9A-B6F12495B3CF}">
    <text xml:space="preserve">Dividendos descontado
</text>
  </threadedComment>
  <threadedComment ref="AC273" dT="2024-05-16T14:02:27.45" personId="{11888C3C-36D9-B34E-A311-8037CF59BFE7}" id="{50496C59-E177-CF48-8A40-07D93F6A8171}">
    <text xml:space="preserve">Dividendos descontado
</text>
  </threadedComment>
  <threadedComment ref="AF288" dT="2025-04-29T12:06:35.35" personId="{11888C3C-36D9-B34E-A311-8037CF59BFE7}" id="{621EDC07-9B12-F34A-80EB-23CB414784D7}">
    <text>Nuevo precio introsfera en la segunda compra tras el fiasco 1ª venta. Yo mantengo la 1ª</text>
  </threadedComment>
  <threadedComment ref="B336" dT="2025-11-25T18:11:59.70" personId="{11888C3C-36D9-B34E-A311-8037CF59BFE7}" id="{8BD858A7-DD12-BE49-8156-0A993A4095C1}">
    <text>108,94</text>
  </threadedComment>
  <threadedComment ref="B339" dT="2025-12-05T16:24:07.69" personId="{11888C3C-36D9-B34E-A311-8037CF59BFE7}" id="{51152D23-75DB-AC4A-AE92-955DDC96DF12}">
    <text>271</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416CA-1C99-4E44-9D6D-F7113250109A}">
  <sheetPr codeName="Hoja2">
    <tabColor theme="5" tint="0.39997558519241921"/>
  </sheetPr>
  <dimension ref="A1:AN562"/>
  <sheetViews>
    <sheetView tabSelected="1" zoomScale="96" zoomScaleNormal="96" workbookViewId="0">
      <pane xSplit="2" ySplit="4" topLeftCell="K287" activePane="bottomRight" state="frozen"/>
      <selection pane="topRight" activeCell="C1" sqref="C1"/>
      <selection pane="bottomLeft" activeCell="A5" sqref="A5"/>
      <selection pane="bottomRight" activeCell="Z303" sqref="Z303"/>
    </sheetView>
  </sheetViews>
  <sheetFormatPr baseColWidth="10" defaultColWidth="10.83203125" defaultRowHeight="16" x14ac:dyDescent="0.2"/>
  <cols>
    <col min="1" max="1" width="10.83203125" style="1"/>
    <col min="2" max="2" width="55.5" style="1" bestFit="1" customWidth="1"/>
    <col min="3" max="3" width="13.1640625" style="1" hidden="1" customWidth="1"/>
    <col min="4" max="4" width="12.33203125" style="1" customWidth="1"/>
    <col min="5" max="7" width="13.1640625" style="1" customWidth="1"/>
    <col min="8" max="8" width="9.33203125" style="1" customWidth="1"/>
    <col min="9" max="9" width="10.83203125" style="4"/>
    <col min="10" max="10" width="14.83203125" style="8" customWidth="1"/>
    <col min="11" max="11" width="10.83203125" style="1"/>
    <col min="12" max="12" width="13.6640625" style="10" bestFit="1" customWidth="1"/>
    <col min="13" max="13" width="17" style="5" bestFit="1" customWidth="1"/>
    <col min="14" max="14" width="17.1640625" style="5" bestFit="1" customWidth="1"/>
    <col min="15" max="15" width="13.1640625" style="1" customWidth="1"/>
    <col min="16" max="16" width="3.5" style="1" customWidth="1"/>
    <col min="17" max="17" width="12.33203125" style="4" bestFit="1" customWidth="1"/>
    <col min="18" max="18" width="16.33203125" style="8" bestFit="1" customWidth="1"/>
    <col min="19" max="19" width="13.33203125" style="1" bestFit="1" customWidth="1"/>
    <col min="20" max="20" width="12.33203125" style="5" customWidth="1"/>
    <col min="21" max="21" width="17.5" style="5" bestFit="1" customWidth="1"/>
    <col min="22" max="22" width="17.1640625" style="5" bestFit="1" customWidth="1"/>
    <col min="23" max="23" width="10.83203125" style="1"/>
    <col min="24" max="24" width="4" customWidth="1"/>
    <col min="25" max="25" width="21.5" style="5" bestFit="1" customWidth="1"/>
    <col min="26" max="26" width="16" style="5" customWidth="1"/>
    <col min="27" max="27" width="7.33203125" style="1" customWidth="1"/>
    <col min="28" max="28" width="17.33203125" style="168" customWidth="1"/>
    <col min="29" max="29" width="12.5" style="168" customWidth="1"/>
    <col min="30" max="30" width="11.1640625" style="28" bestFit="1" customWidth="1"/>
    <col min="31" max="31" width="13.6640625" style="48" customWidth="1"/>
    <col min="32" max="33" width="10.83203125" style="1"/>
    <col min="34" max="34" width="12.5" style="1" customWidth="1"/>
    <col min="35" max="36" width="10.83203125" style="1"/>
    <col min="37" max="37" width="15.33203125" style="1" customWidth="1"/>
    <col min="38" max="38" width="14.83203125" style="1" bestFit="1" customWidth="1"/>
    <col min="39" max="39" width="11.5" style="1" bestFit="1" customWidth="1"/>
    <col min="40" max="40" width="14.5" style="1" customWidth="1"/>
    <col min="41" max="16384" width="10.83203125" style="1"/>
  </cols>
  <sheetData>
    <row r="1" spans="1:40" ht="17" thickBot="1" x14ac:dyDescent="0.25">
      <c r="L1" s="10" t="e">
        <f>+#REF!/4</f>
        <v>#REF!</v>
      </c>
      <c r="Z1" s="244" t="s">
        <v>15</v>
      </c>
      <c r="AA1" s="245">
        <f ca="1">+IRPF!F35</f>
        <v>0.20982755154382135</v>
      </c>
      <c r="AC1" s="168" t="s">
        <v>15</v>
      </c>
    </row>
    <row r="2" spans="1:40" x14ac:dyDescent="0.2">
      <c r="G2" s="1">
        <f>1643+4409</f>
        <v>6052</v>
      </c>
      <c r="J2" s="12" t="s">
        <v>11</v>
      </c>
      <c r="R2" s="12" t="s">
        <v>16</v>
      </c>
    </row>
    <row r="3" spans="1:40" x14ac:dyDescent="0.2">
      <c r="I3" s="365" t="s">
        <v>13</v>
      </c>
      <c r="J3" s="365"/>
      <c r="K3" s="365"/>
      <c r="L3" s="365"/>
      <c r="M3" s="365"/>
      <c r="N3" s="365"/>
      <c r="O3" s="365"/>
      <c r="P3" s="102"/>
      <c r="Q3" s="365" t="s">
        <v>14</v>
      </c>
      <c r="R3" s="365"/>
      <c r="S3" s="365"/>
      <c r="T3" s="365"/>
      <c r="U3" s="365"/>
      <c r="V3" s="365"/>
      <c r="W3" s="365"/>
      <c r="X3" s="1"/>
      <c r="AB3" s="366" t="s">
        <v>17</v>
      </c>
      <c r="AC3" s="366"/>
    </row>
    <row r="4" spans="1:40" s="2" customFormat="1" ht="19" x14ac:dyDescent="0.25">
      <c r="A4" s="2" t="s">
        <v>18</v>
      </c>
      <c r="B4" s="2" t="s">
        <v>0</v>
      </c>
      <c r="C4" s="2" t="s">
        <v>20</v>
      </c>
      <c r="D4" s="2" t="s">
        <v>170</v>
      </c>
      <c r="E4" s="2" t="s">
        <v>40</v>
      </c>
      <c r="F4" s="2" t="s">
        <v>39</v>
      </c>
      <c r="G4" s="2" t="s">
        <v>21</v>
      </c>
      <c r="H4" s="2" t="s">
        <v>71</v>
      </c>
      <c r="I4" s="3" t="s">
        <v>1</v>
      </c>
      <c r="J4" s="9" t="s">
        <v>2</v>
      </c>
      <c r="K4" s="2" t="s">
        <v>5</v>
      </c>
      <c r="L4" s="11" t="s">
        <v>6</v>
      </c>
      <c r="M4" s="32" t="s">
        <v>7</v>
      </c>
      <c r="N4" s="6" t="s">
        <v>8</v>
      </c>
      <c r="O4" s="2" t="s">
        <v>10</v>
      </c>
      <c r="Q4" s="3" t="s">
        <v>1</v>
      </c>
      <c r="R4" s="9" t="s">
        <v>3</v>
      </c>
      <c r="S4" s="2" t="s">
        <v>5</v>
      </c>
      <c r="T4" s="6" t="s">
        <v>6</v>
      </c>
      <c r="U4" s="32" t="s">
        <v>9</v>
      </c>
      <c r="V4" s="6" t="s">
        <v>8</v>
      </c>
      <c r="W4" s="2" t="s">
        <v>10</v>
      </c>
      <c r="Y4" s="6" t="s">
        <v>4</v>
      </c>
      <c r="Z4" s="6" t="s">
        <v>19</v>
      </c>
      <c r="AB4" s="169" t="s">
        <v>4</v>
      </c>
      <c r="AC4" s="169" t="s">
        <v>19</v>
      </c>
      <c r="AD4" s="29" t="s">
        <v>41</v>
      </c>
      <c r="AE4" s="50" t="s">
        <v>168</v>
      </c>
      <c r="AF4" s="2" t="s">
        <v>164</v>
      </c>
      <c r="AG4" s="2" t="s">
        <v>165</v>
      </c>
      <c r="AI4" s="2" t="s">
        <v>195</v>
      </c>
      <c r="AK4" s="2" t="s">
        <v>313</v>
      </c>
      <c r="AL4" s="2" t="s">
        <v>316</v>
      </c>
      <c r="AM4" s="2" t="s">
        <v>314</v>
      </c>
      <c r="AN4" s="2" t="s">
        <v>315</v>
      </c>
    </row>
    <row r="5" spans="1:40" x14ac:dyDescent="0.2">
      <c r="A5" s="14">
        <v>1</v>
      </c>
      <c r="B5" s="14" t="e" vm="1">
        <v>#VALUE!</v>
      </c>
      <c r="C5" s="14"/>
      <c r="D5" s="1" t="str" cm="1">
        <f t="array" aca="1" ref="D5" ca="1">_FV(B5,"Ticker symbol",TRUE)</f>
        <v>ABEO</v>
      </c>
      <c r="E5" s="25" cm="1">
        <f t="array" aca="1" ref="E5" ca="1">_FV(B5,"Price")</f>
        <v>5.34</v>
      </c>
      <c r="F5" s="25" cm="1">
        <f t="array" aca="1" ref="F5" ca="1">_FV(B5,"open")</f>
        <v>5.38</v>
      </c>
      <c r="G5" s="5" t="str" cm="1">
        <f t="array" aca="1" ref="G5" ca="1">_FV(B5,"Currency")</f>
        <v>USD</v>
      </c>
      <c r="H5" s="5" t="s">
        <v>183</v>
      </c>
      <c r="I5" s="16">
        <v>45625</v>
      </c>
      <c r="J5" s="172">
        <v>0.94969999999999999</v>
      </c>
      <c r="K5" s="14">
        <v>800</v>
      </c>
      <c r="L5" s="19">
        <v>6.46</v>
      </c>
      <c r="M5" s="5">
        <f t="shared" ref="M5:M89" si="0">+K5*L5+O5</f>
        <v>5183</v>
      </c>
      <c r="N5" s="5">
        <f t="shared" ref="N5:N89" ca="1" si="1">IF(G5="USD",M5*J5,+K5*L5+O5)</f>
        <v>4922.2951000000003</v>
      </c>
      <c r="O5" s="14">
        <v>15</v>
      </c>
      <c r="P5" s="14"/>
      <c r="Q5" s="4">
        <f t="shared" ref="Q5:Q27" ca="1" si="2">TODAY()</f>
        <v>46140</v>
      </c>
      <c r="R5" s="8">
        <f ca="1">+$M$551</f>
        <v>0.85299999999999998</v>
      </c>
      <c r="S5" s="1">
        <f t="shared" ref="S5:S47" si="3">+K5</f>
        <v>800</v>
      </c>
      <c r="T5" s="5">
        <f t="shared" ref="T5:T89" ca="1" si="4">+E5</f>
        <v>5.34</v>
      </c>
      <c r="U5" s="5">
        <f t="shared" ref="U5:U89" ca="1" si="5">+S5*T5-W5</f>
        <v>4257</v>
      </c>
      <c r="V5" s="5">
        <f t="shared" ref="V5:V89" ca="1" si="6">IF(G5="USD",U5*R5,+S5*T5-W5)</f>
        <v>3631.221</v>
      </c>
      <c r="W5" s="14">
        <v>15</v>
      </c>
      <c r="X5" s="17"/>
      <c r="Y5" s="30">
        <f t="shared" ref="Y5:Y47" si="7">IF(A5=0,V5-N5,0)</f>
        <v>0</v>
      </c>
      <c r="Z5" s="30">
        <f t="shared" ref="Z5:Z47" ca="1" si="8">+Y5-(Y5*$AA$1)</f>
        <v>0</v>
      </c>
      <c r="AA5" s="14"/>
      <c r="AB5" s="170">
        <f t="shared" ref="AB5:AB80" ca="1" si="9">IF(A5=1,+V5-N5,0)</f>
        <v>-1291.0741000000003</v>
      </c>
      <c r="AC5" s="168">
        <f t="shared" ref="AC5:AC80" ca="1" si="10">+AB5-(AB5*$AA$1)</f>
        <v>-1020.1711827353574</v>
      </c>
      <c r="AD5" s="28">
        <f t="shared" ref="AD5:AD89" ca="1" si="11">+U5/M5-1</f>
        <v>-0.17866100713872279</v>
      </c>
      <c r="AE5" s="48">
        <f ca="1">+Z5/$Z$393</f>
        <v>0</v>
      </c>
      <c r="AF5" s="48">
        <f ca="1">+N5/$N$259</f>
        <v>2.3007903029852055E-3</v>
      </c>
      <c r="AG5" s="204">
        <f ca="1">AVERAGE($AF$5:$AF$257)</f>
        <v>3.9682539682539663E-3</v>
      </c>
      <c r="AH5" s="1" t="str">
        <f t="shared" ref="AH5:AH89" ca="1" si="12">IF(AF5&lt;AG5,"no","si")</f>
        <v>no</v>
      </c>
      <c r="AI5" s="28">
        <f t="shared" ref="AI5:AI47" ca="1" si="13">IF(G5="USD",+R5/J5-1,"-")</f>
        <v>-0.10182162788248916</v>
      </c>
    </row>
    <row r="6" spans="1:40" x14ac:dyDescent="0.2">
      <c r="A6" s="14">
        <v>1</v>
      </c>
      <c r="B6" s="14" t="e" vm="2">
        <v>#VALUE!</v>
      </c>
      <c r="C6" s="14"/>
      <c r="D6" s="1" t="str" cm="1">
        <f t="array" aca="1" ref="D6" ca="1">_FV(B6,"Ticker symbol",TRUE)</f>
        <v>ABCL</v>
      </c>
      <c r="E6" s="25" cm="1">
        <f t="array" aca="1" ref="E6" ca="1">_FV(B6,"Price")</f>
        <v>4.16</v>
      </c>
      <c r="F6" s="25" cm="1">
        <f t="array" aca="1" ref="F6" ca="1">_FV(B6,"open")</f>
        <v>4.1500000000000004</v>
      </c>
      <c r="G6" s="5" t="str" cm="1">
        <f t="array" aca="1" ref="G6" ca="1">_FV(B6,"Currency")</f>
        <v>USD</v>
      </c>
      <c r="H6" s="5" t="s">
        <v>183</v>
      </c>
      <c r="I6" s="16">
        <v>46134</v>
      </c>
      <c r="J6" s="172">
        <v>0.85340000000000005</v>
      </c>
      <c r="K6" s="14">
        <v>2941</v>
      </c>
      <c r="L6" s="19">
        <v>4.07</v>
      </c>
      <c r="M6" s="5">
        <f t="shared" ref="M6" si="14">+K6*L6+O6</f>
        <v>11984.87</v>
      </c>
      <c r="N6" s="5">
        <f t="shared" ref="N6" ca="1" si="15">IF(G6="USD",M6*J6,+K6*L6+O6)</f>
        <v>10227.888058</v>
      </c>
      <c r="O6" s="14">
        <v>15</v>
      </c>
      <c r="P6" s="14"/>
      <c r="Q6" s="4">
        <f t="shared" ca="1" si="2"/>
        <v>46140</v>
      </c>
      <c r="R6" s="8">
        <f ca="1">+$M$551</f>
        <v>0.85299999999999998</v>
      </c>
      <c r="S6" s="1">
        <f t="shared" ref="S6" si="16">+K6</f>
        <v>2941</v>
      </c>
      <c r="T6" s="5">
        <f t="shared" ref="T6" ca="1" si="17">+E6</f>
        <v>4.16</v>
      </c>
      <c r="U6" s="5">
        <f t="shared" ref="U6" ca="1" si="18">+S6*T6-W6</f>
        <v>12219.560000000001</v>
      </c>
      <c r="V6" s="5">
        <f t="shared" ref="V6" ca="1" si="19">IF(G6="USD",U6*R6,+S6*T6-W6)</f>
        <v>10423.284680000001</v>
      </c>
      <c r="W6" s="14">
        <v>15</v>
      </c>
      <c r="X6" s="17"/>
      <c r="Y6" s="30">
        <f t="shared" ref="Y6" si="20">IF(A6=0,V6-N6,0)</f>
        <v>0</v>
      </c>
      <c r="Z6" s="30">
        <f t="shared" ref="Z6" ca="1" si="21">+Y6-(Y6*$AA$1)</f>
        <v>0</v>
      </c>
      <c r="AA6" s="14"/>
      <c r="AB6" s="170">
        <f t="shared" ref="AB6" ca="1" si="22">IF(A6=1,+V6-N6,0)</f>
        <v>195.39662200000021</v>
      </c>
      <c r="AC6" s="168">
        <f t="shared" ref="AC6" ca="1" si="23">+AB6-(AB6*$AA$1)</f>
        <v>154.3970272258066</v>
      </c>
      <c r="AD6" s="28">
        <f t="shared" ref="AD6" ca="1" si="24">+U6/M6-1</f>
        <v>1.9582189877737521E-2</v>
      </c>
      <c r="AE6" s="48">
        <f ca="1">+Z6/$Z$393</f>
        <v>0</v>
      </c>
      <c r="AF6" s="48">
        <f ca="1">+N6/$N$259</f>
        <v>4.7807425572401344E-3</v>
      </c>
      <c r="AG6" s="204">
        <f ca="1">AVERAGE($AF$5:$AF$257)</f>
        <v>3.9682539682539663E-3</v>
      </c>
      <c r="AH6" s="1" t="str">
        <f t="shared" ref="AH6" ca="1" si="25">IF(AF6&lt;AG6,"no","si")</f>
        <v>si</v>
      </c>
      <c r="AI6" s="28">
        <f t="shared" ref="AI6" ca="1" si="26">IF(G6="USD",+R6/J6-1,"-")</f>
        <v>-4.687133817671274E-4</v>
      </c>
    </row>
    <row r="7" spans="1:40" x14ac:dyDescent="0.2">
      <c r="A7" s="14">
        <v>1</v>
      </c>
      <c r="B7" s="14" t="e" vm="3">
        <v>#VALUE!</v>
      </c>
      <c r="C7" s="14"/>
      <c r="D7" s="1" t="str" cm="1">
        <f t="array" aca="1" ref="D7" ca="1">_FV(B7,"Ticker symbol",TRUE)</f>
        <v>ACHC</v>
      </c>
      <c r="E7" s="25" cm="1">
        <f t="array" aca="1" ref="E7" ca="1">_FV(B7,"Price")</f>
        <v>28.15</v>
      </c>
      <c r="F7" s="25" cm="1">
        <f t="array" aca="1" ref="F7" ca="1">_FV(B7,"open")</f>
        <v>27.37</v>
      </c>
      <c r="G7" s="5" t="str" cm="1">
        <f t="array" aca="1" ref="G7" ca="1">_FV(B7,"Currency")</f>
        <v>USD</v>
      </c>
      <c r="H7" s="5" t="s">
        <v>128</v>
      </c>
      <c r="I7" s="16">
        <v>45925</v>
      </c>
      <c r="J7" s="172">
        <v>0.85150000000000003</v>
      </c>
      <c r="K7" s="14">
        <v>203</v>
      </c>
      <c r="L7" s="19">
        <v>24.56</v>
      </c>
      <c r="M7" s="5">
        <f>+K7*L7+O7</f>
        <v>4986.7</v>
      </c>
      <c r="N7" s="5">
        <f ca="1">IF(G7="USD",M7*J7,+K7*L7+O7)</f>
        <v>4246.1750499999998</v>
      </c>
      <c r="O7" s="14">
        <v>1.02</v>
      </c>
      <c r="P7" s="14"/>
      <c r="Q7" s="4">
        <f t="shared" ca="1" si="2"/>
        <v>46140</v>
      </c>
      <c r="R7" s="8">
        <f ca="1">+$M$551</f>
        <v>0.85299999999999998</v>
      </c>
      <c r="S7" s="1">
        <f>+K7</f>
        <v>203</v>
      </c>
      <c r="T7" s="5">
        <f ca="1">+E7</f>
        <v>28.15</v>
      </c>
      <c r="U7" s="5">
        <f ca="1">+S7*T7-W7</f>
        <v>5712.95</v>
      </c>
      <c r="V7" s="5">
        <f ca="1">IF(G7="USD",U7*R7,+S7*T7-W7)</f>
        <v>4873.14635</v>
      </c>
      <c r="W7" s="14">
        <v>1.5</v>
      </c>
      <c r="X7" s="17"/>
      <c r="Y7" s="30">
        <f>IF(A7=0,V7-N7,0)</f>
        <v>0</v>
      </c>
      <c r="Z7" s="30">
        <f ca="1">+Y7-(Y7*$AA$1)</f>
        <v>0</v>
      </c>
      <c r="AA7" s="14"/>
      <c r="AB7" s="170">
        <f ca="1">IF(A7=1,+V7-N7,0)</f>
        <v>626.97130000000016</v>
      </c>
      <c r="AC7" s="168">
        <f ca="1">+AB7-(AB7*$AA$1)</f>
        <v>495.41544723275342</v>
      </c>
      <c r="AD7" s="28">
        <f ca="1">+U7/M7-1</f>
        <v>0.14563739547195542</v>
      </c>
      <c r="AE7" s="48">
        <f ca="1">+Z7/$Z$393</f>
        <v>0</v>
      </c>
      <c r="AF7" s="48">
        <f ca="1">+N7/$N$259</f>
        <v>1.9847567407768217E-3</v>
      </c>
      <c r="AG7" s="204">
        <f ca="1">AVERAGE($AF$5:$AF$257)</f>
        <v>3.9682539682539663E-3</v>
      </c>
      <c r="AH7" s="1" t="str">
        <f ca="1">IF(AF7&lt;AG7,"no","si")</f>
        <v>no</v>
      </c>
      <c r="AI7" s="28">
        <f ca="1">IF(G7="USD",+R7/J7-1,"-")</f>
        <v>1.7615971814444187E-3</v>
      </c>
    </row>
    <row r="8" spans="1:40" x14ac:dyDescent="0.2">
      <c r="A8" s="14">
        <v>1</v>
      </c>
      <c r="B8" s="14" t="e" vm="4">
        <v>#VALUE!</v>
      </c>
      <c r="C8" s="14"/>
      <c r="D8" s="1" t="str" cm="1">
        <f t="array" aca="1" ref="D8" ca="1">_FV(B8,"Ticker symbol",TRUE)</f>
        <v>ANA</v>
      </c>
      <c r="E8" s="27" cm="1">
        <f t="array" aca="1" ref="E8" ca="1">_FV(B8,"Price")</f>
        <v>242.2</v>
      </c>
      <c r="F8" s="27" cm="1">
        <f t="array" aca="1" ref="F8" ca="1">_FV(B8,"open")</f>
        <v>239.2</v>
      </c>
      <c r="G8" s="5" t="str" cm="1">
        <f t="array" aca="1" ref="G8" ca="1">_FV(B8,"Currency")</f>
        <v>EUR</v>
      </c>
      <c r="H8" s="5" t="s">
        <v>115</v>
      </c>
      <c r="I8" s="16">
        <v>43844</v>
      </c>
      <c r="J8" s="18"/>
      <c r="K8" s="14">
        <f>159-80</f>
        <v>79</v>
      </c>
      <c r="L8" s="19">
        <v>94.1</v>
      </c>
      <c r="M8" s="5">
        <f t="shared" si="0"/>
        <v>7448.46</v>
      </c>
      <c r="N8" s="5">
        <f t="shared" ca="1" si="1"/>
        <v>7448.46</v>
      </c>
      <c r="O8" s="14">
        <v>14.56</v>
      </c>
      <c r="P8" s="14"/>
      <c r="Q8" s="4">
        <f t="shared" ca="1" si="2"/>
        <v>46140</v>
      </c>
      <c r="S8" s="1">
        <f t="shared" si="3"/>
        <v>79</v>
      </c>
      <c r="T8" s="5">
        <f t="shared" ca="1" si="4"/>
        <v>242.2</v>
      </c>
      <c r="U8" s="5">
        <f t="shared" ca="1" si="5"/>
        <v>19113.8</v>
      </c>
      <c r="V8" s="5">
        <f t="shared" ca="1" si="6"/>
        <v>19113.8</v>
      </c>
      <c r="W8" s="14">
        <v>20</v>
      </c>
      <c r="X8" s="17"/>
      <c r="Y8" s="30">
        <f t="shared" si="7"/>
        <v>0</v>
      </c>
      <c r="Z8" s="30">
        <f t="shared" ca="1" si="8"/>
        <v>0</v>
      </c>
      <c r="AA8" s="14"/>
      <c r="AB8" s="170">
        <f t="shared" ca="1" si="9"/>
        <v>11665.34</v>
      </c>
      <c r="AC8" s="168">
        <f t="shared" ca="1" si="10"/>
        <v>9217.6302698738</v>
      </c>
      <c r="AD8" s="28">
        <f t="shared" ca="1" si="11"/>
        <v>1.5661411889169035</v>
      </c>
      <c r="AE8" s="48">
        <f ca="1">+Z8/$Z$393</f>
        <v>0</v>
      </c>
      <c r="AF8" s="48">
        <f ca="1">+N8/$N$259</f>
        <v>3.4815760111930679E-3</v>
      </c>
      <c r="AG8" s="204">
        <f ca="1">AVERAGE($AF$5:$AF$257)</f>
        <v>3.9682539682539663E-3</v>
      </c>
      <c r="AH8" s="1" t="str">
        <f t="shared" ca="1" si="12"/>
        <v>no</v>
      </c>
      <c r="AI8" s="28" t="str">
        <f t="shared" ca="1" si="13"/>
        <v>-</v>
      </c>
    </row>
    <row r="9" spans="1:40" x14ac:dyDescent="0.2">
      <c r="A9" s="14">
        <v>1</v>
      </c>
      <c r="B9" s="14" t="e" vm="4">
        <v>#VALUE!</v>
      </c>
      <c r="C9" s="14"/>
      <c r="D9" s="1" t="str" cm="1">
        <f t="array" aca="1" ref="D9" ca="1">_FV(B9,"Ticker symbol",TRUE)</f>
        <v>ANA</v>
      </c>
      <c r="E9" s="27" cm="1">
        <f t="array" aca="1" ref="E9" ca="1">_FV(B9,"Price")</f>
        <v>242.2</v>
      </c>
      <c r="F9" s="27" cm="1">
        <f t="array" aca="1" ref="F9" ca="1">_FV(B9,"open")</f>
        <v>239.2</v>
      </c>
      <c r="G9" s="5" t="str" cm="1">
        <f t="array" aca="1" ref="G9" ca="1">_FV(B9,"Currency")</f>
        <v>EUR</v>
      </c>
      <c r="H9" s="5" t="s">
        <v>115</v>
      </c>
      <c r="I9" s="16">
        <v>45272</v>
      </c>
      <c r="J9" s="18"/>
      <c r="K9" s="14">
        <v>52</v>
      </c>
      <c r="L9" s="19">
        <v>132.1</v>
      </c>
      <c r="M9" s="5">
        <f t="shared" si="0"/>
        <v>6899.2</v>
      </c>
      <c r="N9" s="5">
        <f t="shared" ca="1" si="1"/>
        <v>6899.2</v>
      </c>
      <c r="O9" s="14">
        <v>30</v>
      </c>
      <c r="P9" s="14"/>
      <c r="Q9" s="4">
        <f t="shared" ca="1" si="2"/>
        <v>46140</v>
      </c>
      <c r="S9" s="1">
        <f t="shared" si="3"/>
        <v>52</v>
      </c>
      <c r="T9" s="5">
        <f t="shared" ca="1" si="4"/>
        <v>242.2</v>
      </c>
      <c r="U9" s="5">
        <f t="shared" ca="1" si="5"/>
        <v>12564.4</v>
      </c>
      <c r="V9" s="5">
        <f t="shared" ca="1" si="6"/>
        <v>12564.4</v>
      </c>
      <c r="W9" s="14">
        <v>30</v>
      </c>
      <c r="X9" s="17"/>
      <c r="Y9" s="30">
        <f t="shared" si="7"/>
        <v>0</v>
      </c>
      <c r="Z9" s="30">
        <f t="shared" ca="1" si="8"/>
        <v>0</v>
      </c>
      <c r="AA9" s="14"/>
      <c r="AB9" s="170">
        <f t="shared" ca="1" si="9"/>
        <v>5665.2</v>
      </c>
      <c r="AC9" s="168">
        <f t="shared" ca="1" si="10"/>
        <v>4476.4849549939427</v>
      </c>
      <c r="AD9" s="28">
        <f t="shared" ca="1" si="11"/>
        <v>0.82113868274582558</v>
      </c>
      <c r="AE9" s="48">
        <f ca="1">+Z9/$Z$393</f>
        <v>0</v>
      </c>
      <c r="AF9" s="48">
        <f ca="1">+N9/$N$259</f>
        <v>3.2248396603355876E-3</v>
      </c>
      <c r="AG9" s="204">
        <f ca="1">AVERAGE($AF$5:$AF$257)</f>
        <v>3.9682539682539663E-3</v>
      </c>
      <c r="AH9" s="1" t="str">
        <f t="shared" ca="1" si="12"/>
        <v>no</v>
      </c>
      <c r="AI9" s="28" t="str">
        <f t="shared" ca="1" si="13"/>
        <v>-</v>
      </c>
    </row>
    <row r="10" spans="1:40" x14ac:dyDescent="0.2">
      <c r="A10" s="14">
        <v>1</v>
      </c>
      <c r="B10" s="14" t="e" vm="5">
        <v>#VALUE!</v>
      </c>
      <c r="C10" s="14"/>
      <c r="D10" s="1" t="str" cm="1">
        <f t="array" aca="1" ref="D10" ca="1">_FV(B10,"Ticker symbol",TRUE)</f>
        <v>ACX</v>
      </c>
      <c r="E10" s="27" cm="1">
        <f t="array" aca="1" ref="E10" ca="1">_FV(B10,"Price")</f>
        <v>13.19</v>
      </c>
      <c r="F10" s="27" cm="1">
        <f t="array" aca="1" ref="F10" ca="1">_FV(B10,"open")</f>
        <v>13.25</v>
      </c>
      <c r="G10" s="5" t="str" cm="1">
        <f t="array" aca="1" ref="G10" ca="1">_FV(B10,"Currency")</f>
        <v>EUR</v>
      </c>
      <c r="H10" s="5" t="s">
        <v>184</v>
      </c>
      <c r="I10" s="16">
        <v>42864</v>
      </c>
      <c r="J10" s="18"/>
      <c r="K10" s="14">
        <v>1199</v>
      </c>
      <c r="L10" s="19">
        <v>12.49</v>
      </c>
      <c r="M10" s="5">
        <f t="shared" si="0"/>
        <v>14990.07</v>
      </c>
      <c r="N10" s="5">
        <f t="shared" ca="1" si="1"/>
        <v>14990.07</v>
      </c>
      <c r="O10" s="14">
        <v>14.56</v>
      </c>
      <c r="P10" s="14"/>
      <c r="Q10" s="4">
        <f t="shared" ca="1" si="2"/>
        <v>46140</v>
      </c>
      <c r="S10" s="1">
        <f t="shared" si="3"/>
        <v>1199</v>
      </c>
      <c r="T10" s="5">
        <f t="shared" ca="1" si="4"/>
        <v>13.19</v>
      </c>
      <c r="U10" s="5">
        <f t="shared" ca="1" si="5"/>
        <v>15794.81</v>
      </c>
      <c r="V10" s="5">
        <f t="shared" ca="1" si="6"/>
        <v>15794.81</v>
      </c>
      <c r="W10" s="14">
        <v>20</v>
      </c>
      <c r="X10" s="17"/>
      <c r="Y10" s="30">
        <f t="shared" si="7"/>
        <v>0</v>
      </c>
      <c r="Z10" s="30">
        <f t="shared" ca="1" si="8"/>
        <v>0</v>
      </c>
      <c r="AA10" s="14"/>
      <c r="AB10" s="170">
        <f t="shared" ca="1" si="9"/>
        <v>804.73999999999978</v>
      </c>
      <c r="AC10" s="168">
        <f t="shared" ca="1" si="10"/>
        <v>635.88337617062507</v>
      </c>
      <c r="AD10" s="28">
        <f t="shared" ca="1" si="11"/>
        <v>5.3684872719073295E-2</v>
      </c>
      <c r="AE10" s="48">
        <f ca="1">+Z10/$Z$393</f>
        <v>0</v>
      </c>
      <c r="AF10" s="48">
        <f ca="1">+N10/$N$259</f>
        <v>7.00669240596108E-3</v>
      </c>
      <c r="AG10" s="204">
        <f ca="1">AVERAGE($AF$5:$AF$257)</f>
        <v>3.9682539682539663E-3</v>
      </c>
      <c r="AH10" s="1" t="str">
        <f t="shared" ca="1" si="12"/>
        <v>si</v>
      </c>
      <c r="AI10" s="28" t="str">
        <f t="shared" ca="1" si="13"/>
        <v>-</v>
      </c>
    </row>
    <row r="11" spans="1:40" x14ac:dyDescent="0.2">
      <c r="A11" s="14">
        <v>1</v>
      </c>
      <c r="B11" s="14" t="e" vm="5">
        <v>#VALUE!</v>
      </c>
      <c r="C11" s="14"/>
      <c r="D11" s="1" t="str" cm="1">
        <f t="array" aca="1" ref="D11" ca="1">_FV(B11,"Ticker symbol",TRUE)</f>
        <v>ACX</v>
      </c>
      <c r="E11" s="27" cm="1">
        <f t="array" aca="1" ref="E11" ca="1">_FV(B11,"Price")</f>
        <v>13.19</v>
      </c>
      <c r="F11" s="27" cm="1">
        <f t="array" aca="1" ref="F11" ca="1">_FV(B11,"open")</f>
        <v>13.25</v>
      </c>
      <c r="G11" s="5" t="str" cm="1">
        <f t="array" aca="1" ref="G11" ca="1">_FV(B11,"Currency")</f>
        <v>EUR</v>
      </c>
      <c r="H11" s="5" t="s">
        <v>184</v>
      </c>
      <c r="I11" s="16">
        <v>42881</v>
      </c>
      <c r="J11" s="18"/>
      <c r="K11" s="14">
        <v>413</v>
      </c>
      <c r="L11" s="19">
        <v>12.05</v>
      </c>
      <c r="M11" s="5">
        <f t="shared" si="0"/>
        <v>4990.01</v>
      </c>
      <c r="N11" s="5">
        <f t="shared" ca="1" si="1"/>
        <v>4990.01</v>
      </c>
      <c r="O11" s="14">
        <v>13.36</v>
      </c>
      <c r="P11" s="14"/>
      <c r="Q11" s="4">
        <f t="shared" ca="1" si="2"/>
        <v>46140</v>
      </c>
      <c r="S11" s="1">
        <f t="shared" si="3"/>
        <v>413</v>
      </c>
      <c r="T11" s="5">
        <f t="shared" ca="1" si="4"/>
        <v>13.19</v>
      </c>
      <c r="U11" s="5">
        <f t="shared" ca="1" si="5"/>
        <v>5426.4699999999993</v>
      </c>
      <c r="V11" s="5">
        <f t="shared" ca="1" si="6"/>
        <v>5426.4699999999993</v>
      </c>
      <c r="W11" s="14">
        <v>21</v>
      </c>
      <c r="X11" s="17"/>
      <c r="Y11" s="30">
        <f t="shared" si="7"/>
        <v>0</v>
      </c>
      <c r="Z11" s="30">
        <f t="shared" ca="1" si="8"/>
        <v>0</v>
      </c>
      <c r="AA11" s="14"/>
      <c r="AB11" s="170">
        <f t="shared" ca="1" si="9"/>
        <v>436.45999999999913</v>
      </c>
      <c r="AC11" s="168">
        <f t="shared" ca="1" si="10"/>
        <v>344.87866685318306</v>
      </c>
      <c r="AD11" s="28">
        <f t="shared" ca="1" si="11"/>
        <v>8.7466758583649939E-2</v>
      </c>
      <c r="AE11" s="48">
        <f ca="1">+Z11/$Z$393</f>
        <v>0</v>
      </c>
      <c r="AF11" s="48">
        <f ca="1">+N11/$N$259</f>
        <v>2.332441754619548E-3</v>
      </c>
      <c r="AG11" s="204">
        <f ca="1">AVERAGE($AF$5:$AF$257)</f>
        <v>3.9682539682539663E-3</v>
      </c>
      <c r="AH11" s="1" t="str">
        <f t="shared" ca="1" si="12"/>
        <v>no</v>
      </c>
      <c r="AI11" s="28" t="str">
        <f t="shared" ca="1" si="13"/>
        <v>-</v>
      </c>
    </row>
    <row r="12" spans="1:40" x14ac:dyDescent="0.2">
      <c r="A12" s="14">
        <v>1</v>
      </c>
      <c r="B12" s="14" t="e" vm="5">
        <v>#VALUE!</v>
      </c>
      <c r="C12" s="14"/>
      <c r="D12" s="1" t="str" cm="1">
        <f t="array" aca="1" ref="D12" ca="1">_FV(B12,"Ticker symbol",TRUE)</f>
        <v>ACX</v>
      </c>
      <c r="E12" s="27" cm="1">
        <f t="array" aca="1" ref="E12" ca="1">_FV(B12,"Price")</f>
        <v>13.19</v>
      </c>
      <c r="F12" s="27" cm="1">
        <f t="array" aca="1" ref="F12" ca="1">_FV(B12,"open")</f>
        <v>13.25</v>
      </c>
      <c r="G12" s="5" t="str" cm="1">
        <f t="array" aca="1" ref="G12" ca="1">_FV(B12,"Currency")</f>
        <v>EUR</v>
      </c>
      <c r="H12" s="5" t="s">
        <v>184</v>
      </c>
      <c r="I12" s="16">
        <v>42886</v>
      </c>
      <c r="J12" s="18"/>
      <c r="K12" s="14">
        <v>413</v>
      </c>
      <c r="L12" s="19">
        <v>12.05</v>
      </c>
      <c r="M12" s="5">
        <f t="shared" si="0"/>
        <v>4990.01</v>
      </c>
      <c r="N12" s="5">
        <f t="shared" ca="1" si="1"/>
        <v>4990.01</v>
      </c>
      <c r="O12" s="14">
        <v>13.36</v>
      </c>
      <c r="P12" s="14"/>
      <c r="Q12" s="4">
        <f t="shared" ca="1" si="2"/>
        <v>46140</v>
      </c>
      <c r="S12" s="1">
        <f t="shared" si="3"/>
        <v>413</v>
      </c>
      <c r="T12" s="5">
        <f t="shared" ca="1" si="4"/>
        <v>13.19</v>
      </c>
      <c r="U12" s="5">
        <f t="shared" ca="1" si="5"/>
        <v>5425.4699999999993</v>
      </c>
      <c r="V12" s="5">
        <f t="shared" ca="1" si="6"/>
        <v>5425.4699999999993</v>
      </c>
      <c r="W12" s="14">
        <v>22</v>
      </c>
      <c r="X12" s="17"/>
      <c r="Y12" s="30">
        <f t="shared" si="7"/>
        <v>0</v>
      </c>
      <c r="Z12" s="30">
        <f t="shared" ca="1" si="8"/>
        <v>0</v>
      </c>
      <c r="AA12" s="14"/>
      <c r="AB12" s="170">
        <f t="shared" ca="1" si="9"/>
        <v>435.45999999999913</v>
      </c>
      <c r="AC12" s="168">
        <f t="shared" ca="1" si="10"/>
        <v>344.08849440472687</v>
      </c>
      <c r="AD12" s="28">
        <f t="shared" ca="1" si="11"/>
        <v>8.7266358183650805E-2</v>
      </c>
      <c r="AE12" s="48">
        <f ca="1">+Z12/$Z$393</f>
        <v>0</v>
      </c>
      <c r="AF12" s="48">
        <f ca="1">+N12/$N$259</f>
        <v>2.332441754619548E-3</v>
      </c>
      <c r="AG12" s="204">
        <f ca="1">AVERAGE($AF$5:$AF$257)</f>
        <v>3.9682539682539663E-3</v>
      </c>
      <c r="AH12" s="1" t="str">
        <f t="shared" ca="1" si="12"/>
        <v>no</v>
      </c>
      <c r="AI12" s="28" t="str">
        <f t="shared" ca="1" si="13"/>
        <v>-</v>
      </c>
    </row>
    <row r="13" spans="1:40" x14ac:dyDescent="0.2">
      <c r="A13" s="14">
        <v>1</v>
      </c>
      <c r="B13" s="14" t="e" vm="5">
        <v>#VALUE!</v>
      </c>
      <c r="C13" s="14"/>
      <c r="D13" s="1" t="str" cm="1">
        <f t="array" aca="1" ref="D13" ca="1">_FV(B13,"Ticker symbol",TRUE)</f>
        <v>ACX</v>
      </c>
      <c r="E13" s="27" cm="1">
        <f t="array" aca="1" ref="E13" ca="1">_FV(B13,"Price")</f>
        <v>13.19</v>
      </c>
      <c r="F13" s="27" cm="1">
        <f t="array" aca="1" ref="F13" ca="1">_FV(B13,"open")</f>
        <v>13.25</v>
      </c>
      <c r="G13" s="5" t="str" cm="1">
        <f t="array" aca="1" ref="G13" ca="1">_FV(B13,"Currency")</f>
        <v>EUR</v>
      </c>
      <c r="H13" s="5" t="s">
        <v>184</v>
      </c>
      <c r="I13" s="16">
        <v>42891</v>
      </c>
      <c r="J13" s="18"/>
      <c r="K13" s="14">
        <v>416</v>
      </c>
      <c r="L13" s="19">
        <v>11.97</v>
      </c>
      <c r="M13" s="5">
        <f t="shared" si="0"/>
        <v>4992.88</v>
      </c>
      <c r="N13" s="5">
        <f t="shared" ca="1" si="1"/>
        <v>4992.88</v>
      </c>
      <c r="O13" s="14">
        <v>13.36</v>
      </c>
      <c r="P13" s="14"/>
      <c r="Q13" s="4">
        <f t="shared" ca="1" si="2"/>
        <v>46140</v>
      </c>
      <c r="S13" s="1">
        <f t="shared" si="3"/>
        <v>416</v>
      </c>
      <c r="T13" s="5">
        <f t="shared" ca="1" si="4"/>
        <v>13.19</v>
      </c>
      <c r="U13" s="5">
        <f t="shared" ca="1" si="5"/>
        <v>5464.04</v>
      </c>
      <c r="V13" s="5">
        <f t="shared" ca="1" si="6"/>
        <v>5464.04</v>
      </c>
      <c r="W13" s="14">
        <v>23</v>
      </c>
      <c r="X13" s="17"/>
      <c r="Y13" s="30">
        <f t="shared" si="7"/>
        <v>0</v>
      </c>
      <c r="Z13" s="30">
        <f t="shared" ca="1" si="8"/>
        <v>0</v>
      </c>
      <c r="AA13" s="14"/>
      <c r="AB13" s="170">
        <f t="shared" ca="1" si="9"/>
        <v>471.15999999999985</v>
      </c>
      <c r="AC13" s="168">
        <f t="shared" ca="1" si="10"/>
        <v>372.29765081461301</v>
      </c>
      <c r="AD13" s="28">
        <f t="shared" ca="1" si="11"/>
        <v>9.4366377721875949E-2</v>
      </c>
      <c r="AE13" s="48">
        <f ca="1">+Z13/$Z$393</f>
        <v>0</v>
      </c>
      <c r="AF13" s="48">
        <f ca="1">+N13/$N$259</f>
        <v>2.3337832565074718E-3</v>
      </c>
      <c r="AG13" s="204">
        <f ca="1">AVERAGE($AF$5:$AF$257)</f>
        <v>3.9682539682539663E-3</v>
      </c>
      <c r="AH13" s="1" t="str">
        <f t="shared" ca="1" si="12"/>
        <v>no</v>
      </c>
      <c r="AI13" s="28" t="str">
        <f t="shared" ca="1" si="13"/>
        <v>-</v>
      </c>
    </row>
    <row r="14" spans="1:40" x14ac:dyDescent="0.2">
      <c r="A14" s="14">
        <v>1</v>
      </c>
      <c r="B14" s="14" t="e" vm="5">
        <v>#VALUE!</v>
      </c>
      <c r="C14" s="14"/>
      <c r="D14" s="1" t="str" cm="1">
        <f t="array" aca="1" ref="D14" ca="1">_FV(B14,"Ticker symbol",TRUE)</f>
        <v>ACX</v>
      </c>
      <c r="E14" s="27" cm="1">
        <f t="array" aca="1" ref="E14" ca="1">_FV(B14,"Price")</f>
        <v>13.19</v>
      </c>
      <c r="F14" s="27" cm="1">
        <f t="array" aca="1" ref="F14" ca="1">_FV(B14,"open")</f>
        <v>13.25</v>
      </c>
      <c r="G14" s="5" t="str" cm="1">
        <f t="array" aca="1" ref="G14" ca="1">_FV(B14,"Currency")</f>
        <v>EUR</v>
      </c>
      <c r="H14" s="5" t="s">
        <v>184</v>
      </c>
      <c r="I14" s="16">
        <v>45838</v>
      </c>
      <c r="J14" s="18"/>
      <c r="K14" s="14">
        <v>917</v>
      </c>
      <c r="L14" s="19">
        <v>10.85</v>
      </c>
      <c r="M14" s="5">
        <f>+K14*L14+O14</f>
        <v>9988.3399999999983</v>
      </c>
      <c r="N14" s="5">
        <f ca="1">IF(G14="USD",M14*J14,+K14*L14+O14)</f>
        <v>9988.3399999999983</v>
      </c>
      <c r="O14" s="14">
        <v>38.89</v>
      </c>
      <c r="P14" s="14"/>
      <c r="Q14" s="4">
        <f t="shared" ca="1" si="2"/>
        <v>46140</v>
      </c>
      <c r="S14" s="1">
        <f>+K14</f>
        <v>917</v>
      </c>
      <c r="T14" s="5">
        <f ca="1">+E14</f>
        <v>13.19</v>
      </c>
      <c r="U14" s="5">
        <f ca="1">+S14*T14-W14</f>
        <v>12057.23</v>
      </c>
      <c r="V14" s="5">
        <f ca="1">IF(G14="USD",U14*R14,+S14*T14-W14)</f>
        <v>12057.23</v>
      </c>
      <c r="W14" s="14">
        <v>38</v>
      </c>
      <c r="X14" s="17"/>
      <c r="Y14" s="30">
        <f>IF(A14=0,V14-N14,0)</f>
        <v>0</v>
      </c>
      <c r="Z14" s="30">
        <f ca="1">+Y14-(Y14*$AA$1)</f>
        <v>0</v>
      </c>
      <c r="AA14" s="14"/>
      <c r="AB14" s="170">
        <f ca="1">IF(A14=1,+V14-N14,0)</f>
        <v>2068.8900000000012</v>
      </c>
      <c r="AC14" s="168">
        <f t="shared" ca="1" si="10"/>
        <v>1634.7798768865046</v>
      </c>
      <c r="AD14" s="28">
        <f ca="1">+U14/M14-1</f>
        <v>0.20713051417953343</v>
      </c>
      <c r="AE14" s="48">
        <f ca="1">+Z14/$Z$393</f>
        <v>0</v>
      </c>
      <c r="AF14" s="48">
        <f ca="1">+N14/$N$259</f>
        <v>4.6687724624472921E-3</v>
      </c>
      <c r="AG14" s="204">
        <f ca="1">AVERAGE($AF$5:$AF$257)</f>
        <v>3.9682539682539663E-3</v>
      </c>
      <c r="AH14" s="1" t="str">
        <f ca="1">IF(AF14&lt;AG14,"no","si")</f>
        <v>si</v>
      </c>
      <c r="AI14" s="28" t="str">
        <f ca="1">IF(G14="USD",+R14/J14-1,"-")</f>
        <v>-</v>
      </c>
    </row>
    <row r="15" spans="1:40" x14ac:dyDescent="0.2">
      <c r="A15" s="14">
        <v>1</v>
      </c>
      <c r="B15" s="14" t="e" vm="6">
        <v>#VALUE!</v>
      </c>
      <c r="C15" s="14"/>
      <c r="D15" s="1" t="str" cm="1">
        <f t="array" aca="1" ref="D15" ca="1">_FV(B15,"Ticker symbol",TRUE)</f>
        <v>ADS</v>
      </c>
      <c r="E15" s="27" cm="1">
        <f t="array" aca="1" ref="E15" ca="1">_FV(B15,"Price")</f>
        <v>138.5</v>
      </c>
      <c r="F15" s="27" cm="1">
        <f t="array" aca="1" ref="F15" ca="1">_FV(B15,"open")</f>
        <v>137.35</v>
      </c>
      <c r="G15" s="5" t="str" cm="1">
        <f t="array" aca="1" ref="G15" ca="1">_FV(B15,"Currency")</f>
        <v>EUR</v>
      </c>
      <c r="H15" s="5" t="s">
        <v>204</v>
      </c>
      <c r="I15" s="16">
        <v>46064</v>
      </c>
      <c r="J15" s="18"/>
      <c r="K15" s="14">
        <v>59</v>
      </c>
      <c r="L15" s="19">
        <v>155</v>
      </c>
      <c r="M15" s="5">
        <f>+K15*L15+O15</f>
        <v>9145</v>
      </c>
      <c r="N15" s="5">
        <f ca="1">IF(G15="USD",M15*J15,+K15*L15+O15)</f>
        <v>9145</v>
      </c>
      <c r="O15" s="14">
        <v>0</v>
      </c>
      <c r="P15" s="14"/>
      <c r="Q15" s="4">
        <f t="shared" ca="1" si="2"/>
        <v>46140</v>
      </c>
      <c r="S15" s="1">
        <f>+K15</f>
        <v>59</v>
      </c>
      <c r="T15" s="5">
        <f ca="1">+E15</f>
        <v>138.5</v>
      </c>
      <c r="U15" s="5">
        <f ca="1">+S15*T15-W15</f>
        <v>8171.5</v>
      </c>
      <c r="V15" s="5">
        <f ca="1">IF(G15="USD",U15*R15,+S15*T15-W15)</f>
        <v>8171.5</v>
      </c>
      <c r="W15" s="14">
        <v>0</v>
      </c>
      <c r="X15" s="17"/>
      <c r="Y15" s="30">
        <f>IF(A15=0,V15-N15,0)</f>
        <v>0</v>
      </c>
      <c r="Z15" s="30">
        <f ca="1">+Y15-(Y15*$AA$1)</f>
        <v>0</v>
      </c>
      <c r="AA15" s="14"/>
      <c r="AB15" s="170">
        <f ca="1">IF(A15=1,+V15-N15,0)</f>
        <v>-973.5</v>
      </c>
      <c r="AC15" s="168">
        <f ca="1">+AB15-(AB15*$AA$1)</f>
        <v>-769.23287857208993</v>
      </c>
      <c r="AD15" s="28">
        <f ca="1">+U15/M15-1</f>
        <v>-0.1064516129032258</v>
      </c>
      <c r="AE15" s="48">
        <f ca="1">+Z15/$Z$393</f>
        <v>0</v>
      </c>
      <c r="AF15" s="48">
        <f ca="1">+N15/$N$259</f>
        <v>4.2745765731923915E-3</v>
      </c>
      <c r="AG15" s="204">
        <f ca="1">AVERAGE($AF$5:$AF$257)</f>
        <v>3.9682539682539663E-3</v>
      </c>
      <c r="AH15" s="1" t="str">
        <f ca="1">IF(AF15&lt;AG15,"no","si")</f>
        <v>si</v>
      </c>
      <c r="AI15" s="28" t="str">
        <f ca="1">IF(G15="USD",+R15/J15-1,"-")</f>
        <v>-</v>
      </c>
    </row>
    <row r="16" spans="1:40" x14ac:dyDescent="0.2">
      <c r="A16" s="15">
        <v>1</v>
      </c>
      <c r="B16" s="1" t="e" vm="7">
        <v>#VALUE!</v>
      </c>
      <c r="D16" s="1" t="str" cm="1">
        <f t="array" aca="1" ref="D16" ca="1">_FV(B16,"Ticker symbol",TRUE)</f>
        <v>ADT</v>
      </c>
      <c r="E16" s="25" cm="1">
        <f t="array" aca="1" ref="E16" ca="1">_FV(B16,"Price")</f>
        <v>7.22</v>
      </c>
      <c r="F16" s="25" cm="1">
        <f t="array" aca="1" ref="F16" ca="1">_FV(B16,"open")</f>
        <v>7.22</v>
      </c>
      <c r="G16" s="5" t="str" cm="1">
        <f t="array" aca="1" ref="G16" ca="1">_FV(B16,"Currency")</f>
        <v>USD</v>
      </c>
      <c r="H16" s="146" t="s">
        <v>183</v>
      </c>
      <c r="I16" s="4">
        <v>45467</v>
      </c>
      <c r="J16" s="172">
        <v>0.93476999999999999</v>
      </c>
      <c r="K16" s="14">
        <v>1300</v>
      </c>
      <c r="L16" s="19">
        <v>7.56</v>
      </c>
      <c r="M16" s="5">
        <f t="shared" si="0"/>
        <v>9843</v>
      </c>
      <c r="N16" s="5">
        <f t="shared" ca="1" si="1"/>
        <v>9200.9411099999998</v>
      </c>
      <c r="O16" s="14">
        <v>15</v>
      </c>
      <c r="P16" s="14"/>
      <c r="Q16" s="4">
        <f t="shared" ca="1" si="2"/>
        <v>46140</v>
      </c>
      <c r="R16" s="8">
        <f ca="1">+$M$551</f>
        <v>0.85299999999999998</v>
      </c>
      <c r="S16" s="1">
        <f t="shared" si="3"/>
        <v>1300</v>
      </c>
      <c r="T16" s="5">
        <f t="shared" ca="1" si="4"/>
        <v>7.22</v>
      </c>
      <c r="U16" s="5">
        <f t="shared" ca="1" si="5"/>
        <v>9371</v>
      </c>
      <c r="V16" s="5">
        <f t="shared" ca="1" si="6"/>
        <v>7993.4629999999997</v>
      </c>
      <c r="W16" s="1">
        <v>15</v>
      </c>
      <c r="X16" s="26"/>
      <c r="Y16" s="30">
        <f t="shared" si="7"/>
        <v>0</v>
      </c>
      <c r="Z16" s="30">
        <f t="shared" ca="1" si="8"/>
        <v>0</v>
      </c>
      <c r="AA16" s="25"/>
      <c r="AB16" s="170">
        <f t="shared" ca="1" si="9"/>
        <v>-1207.47811</v>
      </c>
      <c r="AC16" s="168">
        <f t="shared" ca="1" si="10"/>
        <v>-954.11593463593908</v>
      </c>
      <c r="AD16" s="28">
        <f t="shared" ca="1" si="11"/>
        <v>-4.7952859900436851E-2</v>
      </c>
      <c r="AE16" s="48">
        <f ca="1">+Z16/$Z$393</f>
        <v>0</v>
      </c>
      <c r="AF16" s="48">
        <f ca="1">+N16/$N$259</f>
        <v>4.3007246932890977E-3</v>
      </c>
      <c r="AG16" s="204">
        <f ca="1">AVERAGE($AF$5:$AF$257)</f>
        <v>3.9682539682539663E-3</v>
      </c>
      <c r="AH16" s="1" t="str">
        <f t="shared" ca="1" si="12"/>
        <v>si</v>
      </c>
      <c r="AI16" s="28">
        <f t="shared" ca="1" si="13"/>
        <v>-8.7476063630625767E-2</v>
      </c>
    </row>
    <row r="17" spans="1:35" x14ac:dyDescent="0.2">
      <c r="A17" s="15">
        <v>1</v>
      </c>
      <c r="B17" s="1" t="e" vm="8">
        <v>#VALUE!</v>
      </c>
      <c r="D17" s="1" t="str" cm="1">
        <f t="array" aca="1" ref="D17" ca="1">_FV(B17,"Ticker symbol",TRUE)</f>
        <v>AMD</v>
      </c>
      <c r="E17" s="25" cm="1">
        <f t="array" aca="1" ref="E17" ca="1">_FV(B17,"Price")</f>
        <v>334.49</v>
      </c>
      <c r="F17" s="25" cm="1">
        <f t="array" aca="1" ref="F17" ca="1">_FV(B17,"open")</f>
        <v>346.32</v>
      </c>
      <c r="G17" s="5" t="str" cm="1">
        <f t="array" aca="1" ref="G17" ca="1">_FV(B17,"Currency")</f>
        <v>USD</v>
      </c>
      <c r="H17" s="5" t="s">
        <v>183</v>
      </c>
      <c r="I17" s="4">
        <v>45432</v>
      </c>
      <c r="J17" s="172">
        <v>0.92335</v>
      </c>
      <c r="K17" s="14">
        <v>38</v>
      </c>
      <c r="L17" s="19">
        <v>165.55</v>
      </c>
      <c r="M17" s="5">
        <f t="shared" si="0"/>
        <v>6305.9000000000005</v>
      </c>
      <c r="N17" s="5">
        <f t="shared" ca="1" si="1"/>
        <v>5822.5527650000004</v>
      </c>
      <c r="O17" s="14">
        <v>15</v>
      </c>
      <c r="P17" s="14"/>
      <c r="Q17" s="4">
        <f t="shared" ca="1" si="2"/>
        <v>46140</v>
      </c>
      <c r="R17" s="8">
        <f ca="1">+$M$551</f>
        <v>0.85299999999999998</v>
      </c>
      <c r="S17" s="1">
        <f t="shared" si="3"/>
        <v>38</v>
      </c>
      <c r="T17" s="5">
        <f t="shared" ca="1" si="4"/>
        <v>334.49</v>
      </c>
      <c r="U17" s="5">
        <f t="shared" ca="1" si="5"/>
        <v>12695.62</v>
      </c>
      <c r="V17" s="5">
        <f t="shared" ca="1" si="6"/>
        <v>10829.363860000001</v>
      </c>
      <c r="W17" s="1">
        <v>15</v>
      </c>
      <c r="X17" s="26"/>
      <c r="Y17" s="30">
        <f t="shared" si="7"/>
        <v>0</v>
      </c>
      <c r="Z17" s="30">
        <f t="shared" ca="1" si="8"/>
        <v>0</v>
      </c>
      <c r="AA17" s="25"/>
      <c r="AB17" s="170">
        <f t="shared" ca="1" si="9"/>
        <v>5006.8110950000009</v>
      </c>
      <c r="AC17" s="168">
        <f t="shared" ca="1" si="10"/>
        <v>3956.2441818937114</v>
      </c>
      <c r="AD17" s="28">
        <f t="shared" ca="1" si="11"/>
        <v>1.0132923135476299</v>
      </c>
      <c r="AE17" s="48">
        <f ca="1">+Z17/$Z$393</f>
        <v>0</v>
      </c>
      <c r="AF17" s="48">
        <f ca="1">+N17/$N$259</f>
        <v>2.7215907758825139E-3</v>
      </c>
      <c r="AG17" s="204">
        <f ca="1">AVERAGE($AF$5:$AF$257)</f>
        <v>3.9682539682539663E-3</v>
      </c>
      <c r="AH17" s="1" t="str">
        <f t="shared" ca="1" si="12"/>
        <v>no</v>
      </c>
      <c r="AI17" s="28">
        <f t="shared" ca="1" si="13"/>
        <v>-7.6189960470027684E-2</v>
      </c>
    </row>
    <row r="18" spans="1:35" x14ac:dyDescent="0.2">
      <c r="A18" s="14">
        <v>1</v>
      </c>
      <c r="B18" s="14" t="e" vm="9">
        <v>#VALUE!</v>
      </c>
      <c r="C18" s="14"/>
      <c r="D18" s="1" t="str" cm="1">
        <f t="array" aca="1" ref="D18" ca="1">_FV(B18,"Ticker symbol",TRUE)</f>
        <v>AED</v>
      </c>
      <c r="E18" s="27" cm="1">
        <f t="array" aca="1" ref="E18" ca="1">_FV(B18,"Price")</f>
        <v>73.099999999999994</v>
      </c>
      <c r="F18" s="27" cm="1">
        <f t="array" aca="1" ref="F18" ca="1">_FV(B18,"open")</f>
        <v>72.95</v>
      </c>
      <c r="G18" s="5" t="str" cm="1">
        <f t="array" aca="1" ref="G18" ca="1">_FV(B18,"Currency")</f>
        <v>EUR</v>
      </c>
      <c r="H18" s="5" t="s">
        <v>183</v>
      </c>
      <c r="I18" s="16">
        <v>45819</v>
      </c>
      <c r="J18" s="18"/>
      <c r="K18" s="14">
        <v>178</v>
      </c>
      <c r="L18" s="19">
        <v>67.2</v>
      </c>
      <c r="M18" s="5">
        <f>+K18*L18+O18</f>
        <v>11976.6</v>
      </c>
      <c r="N18" s="5">
        <f ca="1">IF(G18="USD",M18*J18,+K18*L18+O18)</f>
        <v>11976.6</v>
      </c>
      <c r="O18" s="14">
        <v>15</v>
      </c>
      <c r="P18" s="14"/>
      <c r="Q18" s="4">
        <f t="shared" ca="1" si="2"/>
        <v>46140</v>
      </c>
      <c r="S18" s="1">
        <f>+K18</f>
        <v>178</v>
      </c>
      <c r="T18" s="5">
        <f ca="1">+E18</f>
        <v>73.099999999999994</v>
      </c>
      <c r="U18" s="5">
        <f ca="1">+S18*T18-W18</f>
        <v>12996.8</v>
      </c>
      <c r="V18" s="5">
        <f ca="1">IF(G18="USD",U18*R18,+S18*T18-W18)</f>
        <v>12996.8</v>
      </c>
      <c r="W18" s="14">
        <v>15</v>
      </c>
      <c r="X18" s="17"/>
      <c r="Y18" s="30">
        <f>IF(A18=0,V18-N18,0)</f>
        <v>0</v>
      </c>
      <c r="Z18" s="30">
        <f ca="1">+Y18-(Y18*$AA$1)</f>
        <v>0</v>
      </c>
      <c r="AA18" s="14"/>
      <c r="AB18" s="170">
        <f t="shared" ca="1" si="9"/>
        <v>1020.1999999999989</v>
      </c>
      <c r="AC18" s="168">
        <f t="shared" ca="1" si="10"/>
        <v>806.13393191499256</v>
      </c>
      <c r="AD18" s="28">
        <f ca="1">+U18/M18-1</f>
        <v>8.5182773074161222E-2</v>
      </c>
      <c r="AE18" s="48">
        <f ca="1">+Z18/$Z$393</f>
        <v>0</v>
      </c>
      <c r="AF18" s="48">
        <f ca="1">+N18/$N$259</f>
        <v>5.5981294463090213E-3</v>
      </c>
      <c r="AG18" s="204">
        <f ca="1">AVERAGE($AF$5:$AF$257)</f>
        <v>3.9682539682539663E-3</v>
      </c>
      <c r="AH18" s="1" t="str">
        <f ca="1">IF(AF18&lt;AG18,"no","si")</f>
        <v>si</v>
      </c>
      <c r="AI18" s="28" t="str">
        <f ca="1">IF(G18="USD",+R18/J18-1,"-")</f>
        <v>-</v>
      </c>
    </row>
    <row r="19" spans="1:35" x14ac:dyDescent="0.2">
      <c r="A19" s="14">
        <v>1</v>
      </c>
      <c r="B19" s="14" t="e" vm="10">
        <v>#VALUE!</v>
      </c>
      <c r="C19" s="14"/>
      <c r="D19" s="1" t="str" cm="1">
        <f t="array" aca="1" ref="D19" ca="1">_FV(B19,"Ticker symbol",TRUE)</f>
        <v>A</v>
      </c>
      <c r="E19" s="25" cm="1">
        <f t="array" aca="1" ref="E19" ca="1">_FV(B19,"Price")</f>
        <v>115.62</v>
      </c>
      <c r="F19" s="25" cm="1">
        <f t="array" aca="1" ref="F19" ca="1">_FV(B19,"open")</f>
        <v>115.18</v>
      </c>
      <c r="G19" s="5" t="str" cm="1">
        <f t="array" aca="1" ref="G19" ca="1">_FV(B19,"Currency")</f>
        <v>USD</v>
      </c>
      <c r="H19" s="5" t="s">
        <v>183</v>
      </c>
      <c r="I19" s="16">
        <v>46127</v>
      </c>
      <c r="J19" s="172">
        <v>0.85140000000000005</v>
      </c>
      <c r="K19" s="14">
        <v>74</v>
      </c>
      <c r="L19" s="19">
        <v>120.4</v>
      </c>
      <c r="M19" s="5">
        <f>+K19*L19+O19</f>
        <v>8924.6</v>
      </c>
      <c r="N19" s="5">
        <f ca="1">IF(G19="USD",M19*J19,+K19*L19+O19)</f>
        <v>7598.4044400000012</v>
      </c>
      <c r="O19" s="14">
        <v>15</v>
      </c>
      <c r="P19" s="14"/>
      <c r="Q19" s="4">
        <f t="shared" ca="1" si="2"/>
        <v>46140</v>
      </c>
      <c r="R19" s="8">
        <f ca="1">+$M$551</f>
        <v>0.85299999999999998</v>
      </c>
      <c r="S19" s="1">
        <f>+K19</f>
        <v>74</v>
      </c>
      <c r="T19" s="5">
        <f ca="1">+E19</f>
        <v>115.62</v>
      </c>
      <c r="U19" s="5">
        <f ca="1">+S19*T19-W19</f>
        <v>8540.880000000001</v>
      </c>
      <c r="V19" s="5">
        <f ca="1">IF(G19="USD",U19*R19,+S19*T19-W19)</f>
        <v>7285.370640000001</v>
      </c>
      <c r="W19" s="14">
        <v>15</v>
      </c>
      <c r="X19" s="17"/>
      <c r="Y19" s="30">
        <f>IF(A19=0,V19-N19,0)</f>
        <v>0</v>
      </c>
      <c r="Z19" s="30">
        <f ca="1">+Y19-(Y19*$AA$1)</f>
        <v>0</v>
      </c>
      <c r="AA19" s="14"/>
      <c r="AB19" s="170">
        <f ca="1">IF(A19=1,+V19-N19,0)</f>
        <v>-313.03380000000016</v>
      </c>
      <c r="AC19" s="168">
        <f ca="1">+AB19-(AB19*$AA$1)</f>
        <v>-247.35068419554187</v>
      </c>
      <c r="AD19" s="28">
        <f ca="1">+U19/M19-1</f>
        <v>-4.2995764516056689E-2</v>
      </c>
      <c r="AE19" s="48">
        <f ca="1">+Z19/$Z$393</f>
        <v>0</v>
      </c>
      <c r="AF19" s="48">
        <f ca="1">+N19/$N$259</f>
        <v>3.5516633803023578E-3</v>
      </c>
      <c r="AG19" s="204">
        <f ca="1">AVERAGE($AF$5:$AF$257)</f>
        <v>3.9682539682539663E-3</v>
      </c>
      <c r="AH19" s="1" t="str">
        <f ca="1">IF(AF19&lt;AG19,"no","si")</f>
        <v>no</v>
      </c>
      <c r="AI19" s="28">
        <f ca="1">IF(G19="USD",+R19/J19-1,"-")</f>
        <v>1.8792576932111782E-3</v>
      </c>
    </row>
    <row r="20" spans="1:35" x14ac:dyDescent="0.2">
      <c r="A20" s="15">
        <v>1</v>
      </c>
      <c r="B20" s="1" t="e" vm="11">
        <v>#VALUE!</v>
      </c>
      <c r="D20" s="1" t="str" cm="1">
        <f t="array" aca="1" ref="D20" ca="1">_FV(B20,"Ticker symbol",TRUE)</f>
        <v>AKZA</v>
      </c>
      <c r="E20" s="27" cm="1">
        <f t="array" aca="1" ref="E20" ca="1">_FV(B20,"Price")</f>
        <v>51.14</v>
      </c>
      <c r="F20" s="27" cm="1">
        <f t="array" aca="1" ref="F20" ca="1">_FV(B20,"open")</f>
        <v>50.9</v>
      </c>
      <c r="G20" s="5" t="str" cm="1">
        <f t="array" aca="1" ref="G20" ca="1">_FV(B20,"Currency")</f>
        <v>EUR</v>
      </c>
      <c r="H20" s="5" t="s">
        <v>115</v>
      </c>
      <c r="I20" s="4">
        <v>45555</v>
      </c>
      <c r="J20" s="18"/>
      <c r="K20" s="14">
        <v>190</v>
      </c>
      <c r="L20" s="19">
        <v>59.7</v>
      </c>
      <c r="M20" s="5">
        <f t="shared" si="0"/>
        <v>11351</v>
      </c>
      <c r="N20" s="5">
        <f t="shared" ca="1" si="1"/>
        <v>11351</v>
      </c>
      <c r="O20" s="14">
        <v>8</v>
      </c>
      <c r="P20" s="14"/>
      <c r="Q20" s="4">
        <f t="shared" ca="1" si="2"/>
        <v>46140</v>
      </c>
      <c r="S20" s="1">
        <f t="shared" si="3"/>
        <v>190</v>
      </c>
      <c r="T20" s="5">
        <f t="shared" ca="1" si="4"/>
        <v>51.14</v>
      </c>
      <c r="U20" s="5">
        <f t="shared" ca="1" si="5"/>
        <v>9708.6</v>
      </c>
      <c r="V20" s="5">
        <f t="shared" ca="1" si="6"/>
        <v>9708.6</v>
      </c>
      <c r="W20" s="1">
        <v>8</v>
      </c>
      <c r="X20" s="26"/>
      <c r="Y20" s="30">
        <f t="shared" si="7"/>
        <v>0</v>
      </c>
      <c r="Z20" s="30">
        <f t="shared" ca="1" si="8"/>
        <v>0</v>
      </c>
      <c r="AA20" s="25"/>
      <c r="AB20" s="170">
        <f t="shared" ca="1" si="9"/>
        <v>-1642.3999999999996</v>
      </c>
      <c r="AC20" s="168">
        <f t="shared" ca="1" si="10"/>
        <v>-1297.7792293444274</v>
      </c>
      <c r="AD20" s="28">
        <f t="shared" ca="1" si="11"/>
        <v>-0.14469209761254509</v>
      </c>
      <c r="AE20" s="48">
        <f ca="1">+Z20/$Z$393</f>
        <v>0</v>
      </c>
      <c r="AF20" s="48">
        <f ca="1">+N20/$N$259</f>
        <v>5.3057100800772928E-3</v>
      </c>
      <c r="AG20" s="204">
        <f ca="1">AVERAGE($AF$5:$AF$257)</f>
        <v>3.9682539682539663E-3</v>
      </c>
      <c r="AH20" s="1" t="str">
        <f t="shared" ca="1" si="12"/>
        <v>si</v>
      </c>
      <c r="AI20" s="28" t="str">
        <f t="shared" ca="1" si="13"/>
        <v>-</v>
      </c>
    </row>
    <row r="21" spans="1:35" x14ac:dyDescent="0.2">
      <c r="A21" s="14">
        <v>1</v>
      </c>
      <c r="B21" s="14" t="e" vm="12">
        <v>#VALUE!</v>
      </c>
      <c r="C21" s="14"/>
      <c r="D21" s="1" t="str" cm="1">
        <f t="array" aca="1" ref="D21" ca="1">_FV(B21,"Ticker symbol",TRUE)</f>
        <v>ALM</v>
      </c>
      <c r="E21" s="27" cm="1">
        <f t="array" aca="1" ref="E21" ca="1">_FV(B21,"Price")</f>
        <v>12.58</v>
      </c>
      <c r="F21" s="27" cm="1">
        <f t="array" aca="1" ref="F21" ca="1">_FV(B21,"open")</f>
        <v>12.66</v>
      </c>
      <c r="G21" s="5" t="str" cm="1">
        <f t="array" aca="1" ref="G21" ca="1">_FV(B21,"Currency")</f>
        <v>EUR</v>
      </c>
      <c r="H21" s="5" t="s">
        <v>184</v>
      </c>
      <c r="I21" s="16">
        <v>43847</v>
      </c>
      <c r="J21" s="18"/>
      <c r="K21" s="14">
        <v>789</v>
      </c>
      <c r="L21" s="19">
        <v>15.18</v>
      </c>
      <c r="M21" s="5">
        <f t="shared" si="0"/>
        <v>11991.550000000001</v>
      </c>
      <c r="N21" s="5">
        <f t="shared" ca="1" si="1"/>
        <v>11991.550000000001</v>
      </c>
      <c r="O21" s="14">
        <v>14.53</v>
      </c>
      <c r="P21" s="14"/>
      <c r="Q21" s="4">
        <f t="shared" ca="1" si="2"/>
        <v>46140</v>
      </c>
      <c r="S21" s="1">
        <f t="shared" si="3"/>
        <v>789</v>
      </c>
      <c r="T21" s="5">
        <f t="shared" ca="1" si="4"/>
        <v>12.58</v>
      </c>
      <c r="U21" s="5">
        <f t="shared" ca="1" si="5"/>
        <v>9907.6200000000008</v>
      </c>
      <c r="V21" s="5">
        <f t="shared" ca="1" si="6"/>
        <v>9907.6200000000008</v>
      </c>
      <c r="W21" s="14">
        <v>18</v>
      </c>
      <c r="X21" s="17"/>
      <c r="Y21" s="30">
        <f t="shared" si="7"/>
        <v>0</v>
      </c>
      <c r="Z21" s="30">
        <f t="shared" ca="1" si="8"/>
        <v>0</v>
      </c>
      <c r="AA21" s="14"/>
      <c r="AB21" s="170">
        <f t="shared" ca="1" si="9"/>
        <v>-2083.9300000000003</v>
      </c>
      <c r="AC21" s="168">
        <f t="shared" ca="1" si="10"/>
        <v>-1646.6640705112845</v>
      </c>
      <c r="AD21" s="28">
        <f t="shared" ca="1" si="11"/>
        <v>-0.17378320567399541</v>
      </c>
      <c r="AE21" s="48">
        <f ca="1">+Z21/$Z$393</f>
        <v>0</v>
      </c>
      <c r="AF21" s="48">
        <f ca="1">+N21/$N$259</f>
        <v>5.6051174091050005E-3</v>
      </c>
      <c r="AG21" s="204">
        <f ca="1">AVERAGE($AF$5:$AF$257)</f>
        <v>3.9682539682539663E-3</v>
      </c>
      <c r="AH21" s="1" t="str">
        <f t="shared" ca="1" si="12"/>
        <v>si</v>
      </c>
      <c r="AI21" s="28" t="str">
        <f t="shared" ca="1" si="13"/>
        <v>-</v>
      </c>
    </row>
    <row r="22" spans="1:35" x14ac:dyDescent="0.2">
      <c r="A22" s="14">
        <v>1</v>
      </c>
      <c r="B22" s="14" t="e" vm="12">
        <v>#VALUE!</v>
      </c>
      <c r="C22" s="14"/>
      <c r="D22" s="1" t="str" cm="1">
        <f t="array" aca="1" ref="D22" ca="1">_FV(B22,"Ticker symbol",TRUE)</f>
        <v>ALM</v>
      </c>
      <c r="E22" s="27" cm="1">
        <f t="array" aca="1" ref="E22" ca="1">_FV(B22,"Price")</f>
        <v>12.58</v>
      </c>
      <c r="F22" s="27" cm="1">
        <f t="array" aca="1" ref="F22" ca="1">_FV(B22,"open")</f>
        <v>12.66</v>
      </c>
      <c r="G22" s="5" t="str" cm="1">
        <f t="array" aca="1" ref="G22" ca="1">_FV(B22,"Currency")</f>
        <v>EUR</v>
      </c>
      <c r="H22" s="5" t="s">
        <v>184</v>
      </c>
      <c r="I22" s="16">
        <v>44166</v>
      </c>
      <c r="J22" s="18"/>
      <c r="K22" s="14">
        <v>466</v>
      </c>
      <c r="L22" s="19">
        <v>10.68</v>
      </c>
      <c r="M22" s="5">
        <f t="shared" si="0"/>
        <v>4990.3500000000004</v>
      </c>
      <c r="N22" s="5">
        <f t="shared" ca="1" si="1"/>
        <v>4990.3500000000004</v>
      </c>
      <c r="O22" s="14">
        <v>13.47</v>
      </c>
      <c r="P22" s="14"/>
      <c r="Q22" s="4">
        <f t="shared" ca="1" si="2"/>
        <v>46140</v>
      </c>
      <c r="S22" s="1">
        <f t="shared" si="3"/>
        <v>466</v>
      </c>
      <c r="T22" s="5">
        <f t="shared" ca="1" si="4"/>
        <v>12.58</v>
      </c>
      <c r="U22" s="5">
        <f t="shared" ca="1" si="5"/>
        <v>5843.28</v>
      </c>
      <c r="V22" s="5">
        <f t="shared" ca="1" si="6"/>
        <v>5843.28</v>
      </c>
      <c r="W22" s="14">
        <v>19</v>
      </c>
      <c r="X22" s="17"/>
      <c r="Y22" s="30">
        <f t="shared" si="7"/>
        <v>0</v>
      </c>
      <c r="Z22" s="30">
        <f t="shared" ca="1" si="8"/>
        <v>0</v>
      </c>
      <c r="AA22" s="14"/>
      <c r="AB22" s="170">
        <f t="shared" ca="1" si="9"/>
        <v>852.92999999999938</v>
      </c>
      <c r="AC22" s="168">
        <f t="shared" ca="1" si="10"/>
        <v>673.96178646172802</v>
      </c>
      <c r="AD22" s="28">
        <f t="shared" ca="1" si="11"/>
        <v>0.17091586762451527</v>
      </c>
      <c r="AE22" s="48">
        <f ca="1">+Z22/$Z$393</f>
        <v>0</v>
      </c>
      <c r="AF22" s="48">
        <f ca="1">+N22/$N$259</f>
        <v>2.3326006781881525E-3</v>
      </c>
      <c r="AG22" s="204">
        <f ca="1">AVERAGE($AF$5:$AF$257)</f>
        <v>3.9682539682539663E-3</v>
      </c>
      <c r="AH22" s="1" t="str">
        <f t="shared" ca="1" si="12"/>
        <v>no</v>
      </c>
      <c r="AI22" s="28" t="str">
        <f t="shared" ca="1" si="13"/>
        <v>-</v>
      </c>
    </row>
    <row r="23" spans="1:35" x14ac:dyDescent="0.2">
      <c r="A23" s="14">
        <v>1</v>
      </c>
      <c r="B23" s="14" t="e" vm="12">
        <v>#VALUE!</v>
      </c>
      <c r="C23" s="14"/>
      <c r="D23" s="1" t="str" cm="1">
        <f t="array" aca="1" ref="D23" ca="1">_FV(B23,"Ticker symbol",TRUE)</f>
        <v>ALM</v>
      </c>
      <c r="E23" s="27" cm="1">
        <f t="array" aca="1" ref="E23" ca="1">_FV(B23,"Price")</f>
        <v>12.58</v>
      </c>
      <c r="F23" s="27" cm="1">
        <f t="array" aca="1" ref="F23" ca="1">_FV(B23,"open")</f>
        <v>12.66</v>
      </c>
      <c r="G23" s="5" t="str" cm="1">
        <f t="array" aca="1" ref="G23" ca="1">_FV(B23,"Currency")</f>
        <v>EUR</v>
      </c>
      <c r="H23" s="5" t="s">
        <v>184</v>
      </c>
      <c r="I23" s="16">
        <v>44195</v>
      </c>
      <c r="J23" s="18"/>
      <c r="K23" s="14">
        <v>450</v>
      </c>
      <c r="L23" s="19">
        <v>11.06</v>
      </c>
      <c r="M23" s="5">
        <f t="shared" si="0"/>
        <v>4991.6899999999996</v>
      </c>
      <c r="N23" s="5">
        <f t="shared" ca="1" si="1"/>
        <v>4991.6899999999996</v>
      </c>
      <c r="O23" s="14">
        <v>14.69</v>
      </c>
      <c r="P23" s="14"/>
      <c r="Q23" s="4">
        <f t="shared" ca="1" si="2"/>
        <v>46140</v>
      </c>
      <c r="S23" s="1">
        <f t="shared" si="3"/>
        <v>450</v>
      </c>
      <c r="T23" s="5">
        <f t="shared" ca="1" si="4"/>
        <v>12.58</v>
      </c>
      <c r="U23" s="5">
        <f t="shared" ca="1" si="5"/>
        <v>5641</v>
      </c>
      <c r="V23" s="5">
        <f t="shared" ca="1" si="6"/>
        <v>5641</v>
      </c>
      <c r="W23" s="14">
        <v>20</v>
      </c>
      <c r="X23" s="17"/>
      <c r="Y23" s="30">
        <f t="shared" si="7"/>
        <v>0</v>
      </c>
      <c r="Z23" s="30">
        <f t="shared" ca="1" si="8"/>
        <v>0</v>
      </c>
      <c r="AA23" s="14"/>
      <c r="AB23" s="170">
        <f t="shared" ca="1" si="9"/>
        <v>649.3100000000004</v>
      </c>
      <c r="AC23" s="168">
        <f t="shared" ca="1" si="10"/>
        <v>513.06687250708171</v>
      </c>
      <c r="AD23" s="28">
        <f t="shared" ca="1" si="11"/>
        <v>0.13007818995169984</v>
      </c>
      <c r="AE23" s="48">
        <f ca="1">+Z23/$Z$393</f>
        <v>0</v>
      </c>
      <c r="AF23" s="48">
        <f ca="1">+N23/$N$259</f>
        <v>2.3332270240173569E-3</v>
      </c>
      <c r="AG23" s="204">
        <f ca="1">AVERAGE($AF$5:$AF$257)</f>
        <v>3.9682539682539663E-3</v>
      </c>
      <c r="AH23" s="1" t="str">
        <f t="shared" ca="1" si="12"/>
        <v>no</v>
      </c>
      <c r="AI23" s="28" t="str">
        <f t="shared" ca="1" si="13"/>
        <v>-</v>
      </c>
    </row>
    <row r="24" spans="1:35" x14ac:dyDescent="0.2">
      <c r="A24" s="14">
        <v>1</v>
      </c>
      <c r="B24" s="14" t="e" vm="12">
        <v>#VALUE!</v>
      </c>
      <c r="C24" s="14"/>
      <c r="D24" s="1" t="str" cm="1">
        <f t="array" aca="1" ref="D24" ca="1">_FV(B24,"Ticker symbol",TRUE)</f>
        <v>ALM</v>
      </c>
      <c r="E24" s="27" cm="1">
        <f t="array" aca="1" ref="E24" ca="1">_FV(B24,"Price")</f>
        <v>12.58</v>
      </c>
      <c r="F24" s="27" cm="1">
        <f t="array" aca="1" ref="F24" ca="1">_FV(B24,"open")</f>
        <v>12.66</v>
      </c>
      <c r="G24" s="5" t="str" cm="1">
        <f t="array" aca="1" ref="G24" ca="1">_FV(B24,"Currency")</f>
        <v>EUR</v>
      </c>
      <c r="H24" s="5" t="s">
        <v>184</v>
      </c>
      <c r="I24" s="16">
        <v>44116</v>
      </c>
      <c r="J24" s="18"/>
      <c r="K24" s="14">
        <f>17+24+26</f>
        <v>67</v>
      </c>
      <c r="L24" s="19">
        <v>0.01</v>
      </c>
      <c r="M24" s="5">
        <f t="shared" si="0"/>
        <v>0.67</v>
      </c>
      <c r="N24" s="5">
        <f t="shared" ca="1" si="1"/>
        <v>0.67</v>
      </c>
      <c r="O24" s="14">
        <v>0</v>
      </c>
      <c r="P24" s="14"/>
      <c r="Q24" s="4">
        <f t="shared" ca="1" si="2"/>
        <v>46140</v>
      </c>
      <c r="S24" s="1">
        <f t="shared" si="3"/>
        <v>67</v>
      </c>
      <c r="T24" s="5">
        <f t="shared" ca="1" si="4"/>
        <v>12.58</v>
      </c>
      <c r="U24" s="5">
        <f t="shared" ca="1" si="5"/>
        <v>821.86</v>
      </c>
      <c r="V24" s="5">
        <f t="shared" ca="1" si="6"/>
        <v>821.86</v>
      </c>
      <c r="W24" s="14">
        <v>21</v>
      </c>
      <c r="X24" s="17"/>
      <c r="Y24" s="30">
        <f t="shared" si="7"/>
        <v>0</v>
      </c>
      <c r="Z24" s="30">
        <f t="shared" ca="1" si="8"/>
        <v>0</v>
      </c>
      <c r="AA24" s="14"/>
      <c r="AB24" s="170">
        <f t="shared" ca="1" si="9"/>
        <v>821.19</v>
      </c>
      <c r="AC24" s="168">
        <f t="shared" ca="1" si="10"/>
        <v>648.8817129477294</v>
      </c>
      <c r="AD24" s="28">
        <f t="shared" ca="1" si="11"/>
        <v>1225.6567164179105</v>
      </c>
      <c r="AE24" s="48">
        <f ca="1">+Z24/$Z$393</f>
        <v>0</v>
      </c>
      <c r="AF24" s="48">
        <f ca="1">+N24/$N$259</f>
        <v>3.1317291460239504E-7</v>
      </c>
      <c r="AG24" s="204">
        <f ca="1">AVERAGE($AF$5:$AF$257)</f>
        <v>3.9682539682539663E-3</v>
      </c>
      <c r="AH24" s="1" t="str">
        <f t="shared" ca="1" si="12"/>
        <v>no</v>
      </c>
      <c r="AI24" s="28" t="str">
        <f t="shared" ca="1" si="13"/>
        <v>-</v>
      </c>
    </row>
    <row r="25" spans="1:35" x14ac:dyDescent="0.2">
      <c r="A25" s="14">
        <v>1</v>
      </c>
      <c r="B25" s="14" t="e" vm="12">
        <v>#VALUE!</v>
      </c>
      <c r="C25" s="14"/>
      <c r="D25" s="1" t="str" cm="1">
        <f t="array" aca="1" ref="D25" ca="1">_FV(B25,"Ticker symbol",TRUE)</f>
        <v>ALM</v>
      </c>
      <c r="E25" s="27" cm="1">
        <f t="array" aca="1" ref="E25" ca="1">_FV(B25,"Price")</f>
        <v>12.58</v>
      </c>
      <c r="F25" s="27" cm="1">
        <f t="array" aca="1" ref="F25" ca="1">_FV(B25,"open")</f>
        <v>12.66</v>
      </c>
      <c r="G25" s="5" t="str" cm="1">
        <f t="array" aca="1" ref="G25" ca="1">_FV(B25,"Currency")</f>
        <v>EUR</v>
      </c>
      <c r="H25" s="5" t="s">
        <v>184</v>
      </c>
      <c r="I25" s="16">
        <v>45719</v>
      </c>
      <c r="J25" s="18"/>
      <c r="K25" s="14">
        <v>790</v>
      </c>
      <c r="L25" s="19">
        <v>10.039999999999999</v>
      </c>
      <c r="M25" s="5">
        <f t="shared" si="0"/>
        <v>7964.2499999999991</v>
      </c>
      <c r="N25" s="5">
        <f t="shared" ca="1" si="1"/>
        <v>7964.2499999999991</v>
      </c>
      <c r="O25" s="14">
        <v>32.65</v>
      </c>
      <c r="P25" s="14"/>
      <c r="Q25" s="4">
        <f t="shared" ca="1" si="2"/>
        <v>46140</v>
      </c>
      <c r="S25" s="1">
        <f t="shared" si="3"/>
        <v>790</v>
      </c>
      <c r="T25" s="5">
        <f t="shared" ca="1" si="4"/>
        <v>12.58</v>
      </c>
      <c r="U25" s="5">
        <f t="shared" ca="1" si="5"/>
        <v>9905.5500000000011</v>
      </c>
      <c r="V25" s="5">
        <f t="shared" ca="1" si="6"/>
        <v>9905.5500000000011</v>
      </c>
      <c r="W25" s="14">
        <v>32.65</v>
      </c>
      <c r="X25" s="17"/>
      <c r="Y25" s="30">
        <f t="shared" si="7"/>
        <v>0</v>
      </c>
      <c r="Z25" s="30">
        <f t="shared" ca="1" si="8"/>
        <v>0</v>
      </c>
      <c r="AA25" s="14"/>
      <c r="AB25" s="170">
        <f t="shared" ca="1" si="9"/>
        <v>1941.300000000002</v>
      </c>
      <c r="AC25" s="168">
        <f t="shared" ca="1" si="10"/>
        <v>1533.9617741879811</v>
      </c>
      <c r="AD25" s="28">
        <f t="shared" ca="1" si="11"/>
        <v>0.24375176570298551</v>
      </c>
      <c r="AE25" s="48">
        <f ca="1">+Z25/$Z$393</f>
        <v>0</v>
      </c>
      <c r="AF25" s="48">
        <f ca="1">+N25/$N$259</f>
        <v>3.7226677389882454E-3</v>
      </c>
      <c r="AG25" s="204">
        <f ca="1">AVERAGE($AF$5:$AF$257)</f>
        <v>3.9682539682539663E-3</v>
      </c>
      <c r="AH25" s="1" t="str">
        <f t="shared" ca="1" si="12"/>
        <v>no</v>
      </c>
      <c r="AI25" s="28" t="str">
        <f t="shared" ca="1" si="13"/>
        <v>-</v>
      </c>
    </row>
    <row r="26" spans="1:35" x14ac:dyDescent="0.2">
      <c r="A26" s="14">
        <v>1</v>
      </c>
      <c r="B26" s="14" t="e" vm="13">
        <v>#VALUE!</v>
      </c>
      <c r="C26" s="14"/>
      <c r="D26" s="1" t="str" cm="1">
        <f t="array" aca="1" ref="D26" ca="1">_FV(B26,"Ticker symbol",TRUE)</f>
        <v>AOSL</v>
      </c>
      <c r="E26" s="25" cm="1">
        <f t="array" aca="1" ref="E26" ca="1">_FV(B26,"Price")</f>
        <v>42.34</v>
      </c>
      <c r="F26" s="25" cm="1">
        <f t="array" aca="1" ref="F26" ca="1">_FV(B26,"open")</f>
        <v>44.8</v>
      </c>
      <c r="G26" s="5" t="str" cm="1">
        <f t="array" aca="1" ref="G26" ca="1">_FV(B26,"Currency")</f>
        <v>USD</v>
      </c>
      <c r="H26" s="5" t="s">
        <v>128</v>
      </c>
      <c r="I26" s="16">
        <v>45678</v>
      </c>
      <c r="J26" s="172">
        <v>0.96199999999999997</v>
      </c>
      <c r="K26" s="14">
        <v>200</v>
      </c>
      <c r="L26" s="19">
        <v>41.91</v>
      </c>
      <c r="M26" s="5">
        <f t="shared" si="0"/>
        <v>8383</v>
      </c>
      <c r="N26" s="5">
        <f t="shared" ca="1" si="1"/>
        <v>8064.4459999999999</v>
      </c>
      <c r="O26" s="14">
        <v>1</v>
      </c>
      <c r="P26" s="14"/>
      <c r="Q26" s="4">
        <f t="shared" ca="1" si="2"/>
        <v>46140</v>
      </c>
      <c r="R26" s="8">
        <f ca="1">+$M$551</f>
        <v>0.85299999999999998</v>
      </c>
      <c r="S26" s="1">
        <f t="shared" si="3"/>
        <v>200</v>
      </c>
      <c r="T26" s="5">
        <f t="shared" ca="1" si="4"/>
        <v>42.34</v>
      </c>
      <c r="U26" s="5">
        <f t="shared" ca="1" si="5"/>
        <v>8467</v>
      </c>
      <c r="V26" s="5">
        <f t="shared" ca="1" si="6"/>
        <v>7222.3509999999997</v>
      </c>
      <c r="W26" s="14">
        <v>1</v>
      </c>
      <c r="X26" s="17"/>
      <c r="Y26" s="30">
        <f t="shared" si="7"/>
        <v>0</v>
      </c>
      <c r="Z26" s="30">
        <f t="shared" ca="1" si="8"/>
        <v>0</v>
      </c>
      <c r="AA26" s="14"/>
      <c r="AB26" s="170">
        <f t="shared" ca="1" si="9"/>
        <v>-842.09500000000025</v>
      </c>
      <c r="AC26" s="168">
        <f t="shared" ca="1" si="10"/>
        <v>-665.40026798270594</v>
      </c>
      <c r="AD26" s="28">
        <f t="shared" ca="1" si="11"/>
        <v>1.0020279136347288E-2</v>
      </c>
      <c r="AE26" s="48">
        <f ca="1">+Z26/$Z$393</f>
        <v>0</v>
      </c>
      <c r="AF26" s="48">
        <f ca="1">+N26/$N$259</f>
        <v>3.7695015798113823E-3</v>
      </c>
      <c r="AG26" s="204">
        <f ca="1">AVERAGE($AF$5:$AF$257)</f>
        <v>3.9682539682539663E-3</v>
      </c>
      <c r="AH26" s="1" t="str">
        <f t="shared" ca="1" si="12"/>
        <v>no</v>
      </c>
      <c r="AI26" s="28">
        <f t="shared" ca="1" si="13"/>
        <v>-0.11330561330561328</v>
      </c>
    </row>
    <row r="27" spans="1:35" x14ac:dyDescent="0.2">
      <c r="A27" s="15">
        <v>1</v>
      </c>
      <c r="B27" s="1" t="e" vm="14">
        <v>#VALUE!</v>
      </c>
      <c r="D27" s="1" t="str" cm="1">
        <f t="array" aca="1" ref="D27" ca="1">_FV(B27,"Ticker symbol",TRUE)</f>
        <v>ALO</v>
      </c>
      <c r="E27" s="27" cm="1">
        <f t="array" aca="1" ref="E27" ca="1">_FV(B27,"Price")</f>
        <v>16.32</v>
      </c>
      <c r="F27" s="27" cm="1">
        <f t="array" aca="1" ref="F27" ca="1">_FV(B27,"open")</f>
        <v>16.59</v>
      </c>
      <c r="G27" s="5" t="str" cm="1">
        <f t="array" aca="1" ref="G27" ca="1">_FV(B27,"Currency")</f>
        <v>EUR</v>
      </c>
      <c r="H27" s="5" t="s">
        <v>183</v>
      </c>
      <c r="I27" s="4">
        <v>44958</v>
      </c>
      <c r="J27" s="18"/>
      <c r="K27" s="1">
        <v>366</v>
      </c>
      <c r="L27" s="10">
        <v>27.25</v>
      </c>
      <c r="M27" s="5">
        <f t="shared" si="0"/>
        <v>10018.42</v>
      </c>
      <c r="N27" s="5">
        <f t="shared" ca="1" si="1"/>
        <v>10018.42</v>
      </c>
      <c r="O27" s="1">
        <v>44.92</v>
      </c>
      <c r="Q27" s="4">
        <f t="shared" ca="1" si="2"/>
        <v>46140</v>
      </c>
      <c r="S27" s="1">
        <f t="shared" si="3"/>
        <v>366</v>
      </c>
      <c r="T27" s="5">
        <f t="shared" ca="1" si="4"/>
        <v>16.32</v>
      </c>
      <c r="U27" s="5">
        <f t="shared" ca="1" si="5"/>
        <v>5928.2</v>
      </c>
      <c r="V27" s="5">
        <f t="shared" ca="1" si="6"/>
        <v>5928.2</v>
      </c>
      <c r="W27" s="1">
        <f>+O27</f>
        <v>44.92</v>
      </c>
      <c r="Y27" s="30">
        <f t="shared" si="7"/>
        <v>0</v>
      </c>
      <c r="Z27" s="30">
        <f t="shared" ca="1" si="8"/>
        <v>0</v>
      </c>
      <c r="AB27" s="170">
        <f t="shared" ca="1" si="9"/>
        <v>-4090.2200000000003</v>
      </c>
      <c r="AC27" s="168">
        <f t="shared" ca="1" si="10"/>
        <v>-3231.9791521244315</v>
      </c>
      <c r="AD27" s="28">
        <f t="shared" ca="1" si="11"/>
        <v>-0.40826996672129934</v>
      </c>
      <c r="AE27" s="48">
        <f ca="1">+Z27/$Z$393</f>
        <v>0</v>
      </c>
      <c r="AF27" s="48">
        <f ca="1">+N27/$N$259</f>
        <v>4.6828325240461594E-3</v>
      </c>
      <c r="AG27" s="204">
        <f ca="1">AVERAGE($AF$5:$AF$257)</f>
        <v>3.9682539682539663E-3</v>
      </c>
      <c r="AH27" s="1" t="str">
        <f t="shared" ca="1" si="12"/>
        <v>si</v>
      </c>
      <c r="AI27" s="28" t="str">
        <f t="shared" ca="1" si="13"/>
        <v>-</v>
      </c>
    </row>
    <row r="28" spans="1:35" x14ac:dyDescent="0.2">
      <c r="A28" s="14">
        <v>1</v>
      </c>
      <c r="B28" s="14" t="e" vm="15">
        <v>#VALUE!</v>
      </c>
      <c r="C28" s="14"/>
      <c r="D28" s="1" t="str" cm="1">
        <f t="array" aca="1" ref="D28" ca="1">_FV(B28,"Ticker symbol",TRUE)</f>
        <v>AMRC</v>
      </c>
      <c r="E28" s="25" cm="1">
        <f t="array" aca="1" ref="E28" ca="1">_FV(B28,"Price")</f>
        <v>27.91</v>
      </c>
      <c r="F28" s="25" cm="1">
        <f t="array" aca="1" ref="F28" ca="1">_FV(B28,"open")</f>
        <v>28.16</v>
      </c>
      <c r="G28" s="5" t="str" cm="1">
        <f t="array" aca="1" ref="G28" ca="1">_FV(B28,"Currency")</f>
        <v>USD</v>
      </c>
      <c r="H28" s="5" t="s">
        <v>204</v>
      </c>
      <c r="I28" s="16">
        <v>46044</v>
      </c>
      <c r="J28" s="172">
        <v>0.85160000000000002</v>
      </c>
      <c r="K28" s="14">
        <v>170</v>
      </c>
      <c r="L28" s="19">
        <v>32.590000000000003</v>
      </c>
      <c r="M28" s="5">
        <f>+K28*L28+O28</f>
        <v>5540.3</v>
      </c>
      <c r="N28" s="5">
        <f ca="1">IF(G28="USD",M28*J28,+K28*L28+O28)</f>
        <v>4718.1194800000003</v>
      </c>
      <c r="O28" s="14">
        <v>0</v>
      </c>
      <c r="P28" s="14"/>
      <c r="Q28" s="4">
        <v>46065</v>
      </c>
      <c r="R28" s="8">
        <f ca="1">+$M$551</f>
        <v>0.85299999999999998</v>
      </c>
      <c r="S28" s="1">
        <f>+K28</f>
        <v>170</v>
      </c>
      <c r="T28" s="5">
        <f ca="1">+E28</f>
        <v>27.91</v>
      </c>
      <c r="U28" s="5">
        <f ca="1">+S28*T28-W28</f>
        <v>4743.7</v>
      </c>
      <c r="V28" s="5">
        <f ca="1">IF(G28="USD",U28*R28,+S28*T28-W28)</f>
        <v>4046.3761</v>
      </c>
      <c r="W28" s="14">
        <v>1</v>
      </c>
      <c r="X28" s="17"/>
      <c r="Y28" s="30">
        <f>IF(A28=0,V28-N28,0)</f>
        <v>0</v>
      </c>
      <c r="Z28" s="30">
        <f ca="1">+Y28-(Y28*$AA$1)</f>
        <v>0</v>
      </c>
      <c r="AA28" s="14"/>
      <c r="AB28" s="170">
        <f ca="1">IF(A28=1,+V28-N28,0)</f>
        <v>-671.74338000000034</v>
      </c>
      <c r="AC28" s="168">
        <f ca="1">+AB28-(AB28*$AA$1)</f>
        <v>-530.79311130882957</v>
      </c>
      <c r="AD28" s="28">
        <f ca="1">+U28/M28-1</f>
        <v>-0.1437828276447124</v>
      </c>
      <c r="AE28" s="48">
        <f ca="1">+Z28/$Z$393</f>
        <v>0</v>
      </c>
      <c r="AF28" s="48">
        <f ca="1">+N28/$N$259</f>
        <v>2.2053540731252785E-3</v>
      </c>
      <c r="AG28" s="204">
        <f ca="1">AVERAGE($AF$5:$AF$257)</f>
        <v>3.9682539682539663E-3</v>
      </c>
      <c r="AH28" s="1" t="str">
        <f ca="1">IF(AF28&lt;AG28,"no","si")</f>
        <v>no</v>
      </c>
      <c r="AI28" s="28">
        <f ca="1">IF(G28="USD",+R28/J28-1,"-")</f>
        <v>1.6439643024894757E-3</v>
      </c>
    </row>
    <row r="29" spans="1:35" x14ac:dyDescent="0.2">
      <c r="A29" s="14">
        <v>1</v>
      </c>
      <c r="B29" s="14" t="e" vm="16">
        <v>#VALUE!</v>
      </c>
      <c r="C29" s="14"/>
      <c r="D29" s="1" t="str" cm="1">
        <f t="array" aca="1" ref="D29" ca="1">_FV(B29,"Ticker symbol",TRUE)</f>
        <v>AMP</v>
      </c>
      <c r="E29" s="122" cm="1">
        <f t="array" aca="1" ref="E29" ca="1">_FV(B29,"Price")</f>
        <v>0.18140000000000001</v>
      </c>
      <c r="F29" s="122" cm="1">
        <f t="array" aca="1" ref="F29" ca="1">_FV(B29,"open")</f>
        <v>0.18360000000000001</v>
      </c>
      <c r="G29" s="5" t="str" cm="1">
        <f t="array" aca="1" ref="G29" ca="1">_FV(B29,"Currency")</f>
        <v>EUR</v>
      </c>
      <c r="H29" s="5" t="s">
        <v>115</v>
      </c>
      <c r="I29" s="16">
        <v>43206</v>
      </c>
      <c r="J29" s="18"/>
      <c r="K29" s="14">
        <v>41782</v>
      </c>
      <c r="L29" s="19">
        <v>0.23899999999999999</v>
      </c>
      <c r="M29" s="5">
        <f>+K29*L29+O29</f>
        <v>9999.8579999999984</v>
      </c>
      <c r="N29" s="5">
        <f ca="1">IF(G29="USD",M29*J29,+K29*L29+O29)</f>
        <v>9999.8579999999984</v>
      </c>
      <c r="O29" s="14">
        <v>13.96</v>
      </c>
      <c r="P29" s="14"/>
      <c r="Q29" s="4">
        <f t="shared" ref="Q29:Q62" ca="1" si="27">TODAY()</f>
        <v>46140</v>
      </c>
      <c r="S29" s="1">
        <f>+K29</f>
        <v>41782</v>
      </c>
      <c r="T29" s="5">
        <f ca="1">+E29</f>
        <v>0.18140000000000001</v>
      </c>
      <c r="U29" s="5">
        <f ca="1">+S29*T29-W29</f>
        <v>7558.2548000000006</v>
      </c>
      <c r="V29" s="5">
        <f ca="1">IF(G29="USD",U29*R29,+S29*T29-W29)</f>
        <v>7558.2548000000006</v>
      </c>
      <c r="W29" s="14">
        <v>21</v>
      </c>
      <c r="X29" s="17"/>
      <c r="Y29" s="30">
        <f>IF(A29=0,V29-N29,0)</f>
        <v>0</v>
      </c>
      <c r="Z29" s="30">
        <f ca="1">+Y29-(Y29*$AA$1)</f>
        <v>0</v>
      </c>
      <c r="AA29" s="14"/>
      <c r="AB29" s="170">
        <f t="shared" ca="1" si="9"/>
        <v>-2441.6031999999977</v>
      </c>
      <c r="AC29" s="168">
        <f t="shared" ca="1" si="10"/>
        <v>-1929.2875787024391</v>
      </c>
      <c r="AD29" s="28">
        <f ca="1">+U29/M29-1</f>
        <v>-0.24416378712577702</v>
      </c>
      <c r="AE29" s="48">
        <f ca="1">+Z29/$Z$393</f>
        <v>0</v>
      </c>
      <c r="AF29" s="48">
        <f ca="1">+N29/$N$259</f>
        <v>4.6741562320448899E-3</v>
      </c>
      <c r="AG29" s="204">
        <f ca="1">AVERAGE($AF$5:$AF$257)</f>
        <v>3.9682539682539663E-3</v>
      </c>
      <c r="AH29" s="1" t="str">
        <f ca="1">IF(AF29&lt;AG29,"no","si")</f>
        <v>si</v>
      </c>
      <c r="AI29" s="28" t="str">
        <f ca="1">IF(G29="USD",+R29/J29-1,"-")</f>
        <v>-</v>
      </c>
    </row>
    <row r="30" spans="1:35" x14ac:dyDescent="0.2">
      <c r="A30" s="14">
        <v>1</v>
      </c>
      <c r="B30" s="14" t="e" vm="16">
        <v>#VALUE!</v>
      </c>
      <c r="C30" s="14"/>
      <c r="D30" s="1" t="str" cm="1">
        <f t="array" aca="1" ref="D30" ca="1">_FV(B30,"Ticker symbol",TRUE)</f>
        <v>AMP</v>
      </c>
      <c r="E30" s="122" cm="1">
        <f t="array" aca="1" ref="E30" ca="1">_FV(B30,"Price")</f>
        <v>0.18140000000000001</v>
      </c>
      <c r="F30" s="122" cm="1">
        <f t="array" aca="1" ref="F30" ca="1">_FV(B30,"open")</f>
        <v>0.18360000000000001</v>
      </c>
      <c r="G30" s="5" t="str" cm="1">
        <f t="array" aca="1" ref="G30" ca="1">_FV(B30,"Currency")</f>
        <v>EUR</v>
      </c>
      <c r="H30" s="5" t="s">
        <v>115</v>
      </c>
      <c r="I30" s="16">
        <v>45862</v>
      </c>
      <c r="J30" s="18"/>
      <c r="K30" s="14">
        <v>45072</v>
      </c>
      <c r="L30" s="19">
        <v>0.13</v>
      </c>
      <c r="M30" s="5">
        <f>+K30*L30+O30</f>
        <v>5859.3600000000006</v>
      </c>
      <c r="N30" s="5">
        <f ca="1">IF(G30="USD",M30*J30,+K30*L30+O30)</f>
        <v>5859.3600000000006</v>
      </c>
      <c r="O30" s="14">
        <v>0</v>
      </c>
      <c r="P30" s="14"/>
      <c r="Q30" s="4">
        <f t="shared" ca="1" si="27"/>
        <v>46140</v>
      </c>
      <c r="S30" s="1">
        <f>+K30</f>
        <v>45072</v>
      </c>
      <c r="T30" s="5">
        <f ca="1">+E30</f>
        <v>0.18140000000000001</v>
      </c>
      <c r="U30" s="5">
        <f ca="1">+S30*T30-W30</f>
        <v>8166.0608000000002</v>
      </c>
      <c r="V30" s="5">
        <f ca="1">IF(G30="USD",U30*R30,+S30*T30-W30)</f>
        <v>8166.0608000000002</v>
      </c>
      <c r="W30" s="14">
        <v>10</v>
      </c>
      <c r="X30" s="17"/>
      <c r="Y30" s="30">
        <f>IF(A30=0,V30-N30,0)</f>
        <v>0</v>
      </c>
      <c r="Z30" s="30">
        <f ca="1">+Y30-(Y30*$AA$1)</f>
        <v>0</v>
      </c>
      <c r="AA30" s="14"/>
      <c r="AB30" s="170">
        <f t="shared" ca="1" si="9"/>
        <v>2306.7007999999996</v>
      </c>
      <c r="AC30" s="168">
        <f t="shared" ca="1" si="10"/>
        <v>1822.6914189918257</v>
      </c>
      <c r="AD30" s="28">
        <f ca="1">+U30/M30-1</f>
        <v>0.39367794434887071</v>
      </c>
      <c r="AE30" s="48">
        <f ca="1">+Z30/$Z$393</f>
        <v>0</v>
      </c>
      <c r="AF30" s="48">
        <f ca="1">+N30/$N$259</f>
        <v>2.738795296872671E-3</v>
      </c>
      <c r="AG30" s="204">
        <f ca="1">AVERAGE($AF$5:$AF$257)</f>
        <v>3.9682539682539663E-3</v>
      </c>
      <c r="AH30" s="1" t="str">
        <f ca="1">IF(AF30&lt;AG30,"no","si")</f>
        <v>no</v>
      </c>
      <c r="AI30" s="28" t="str">
        <f ca="1">IF(G30="USD",+R30/J30-1,"-")</f>
        <v>-</v>
      </c>
    </row>
    <row r="31" spans="1:35" x14ac:dyDescent="0.2">
      <c r="A31" s="14">
        <v>1</v>
      </c>
      <c r="B31" s="14" t="e" vm="16">
        <v>#VALUE!</v>
      </c>
      <c r="C31" s="14"/>
      <c r="D31" s="1" t="str" cm="1">
        <f t="array" aca="1" ref="D31" ca="1">_FV(B31,"Ticker symbol",TRUE)</f>
        <v>AMP</v>
      </c>
      <c r="E31" s="122" cm="1">
        <f t="array" aca="1" ref="E31" ca="1">_FV(B31,"Price")</f>
        <v>0.18140000000000001</v>
      </c>
      <c r="F31" s="122" cm="1">
        <f t="array" aca="1" ref="F31" ca="1">_FV(B31,"open")</f>
        <v>0.18360000000000001</v>
      </c>
      <c r="G31" s="5" t="str" cm="1">
        <f t="array" aca="1" ref="G31" ca="1">_FV(B31,"Currency")</f>
        <v>EUR</v>
      </c>
      <c r="H31" s="5" t="s">
        <v>115</v>
      </c>
      <c r="I31" s="16">
        <v>45266</v>
      </c>
      <c r="J31" s="18"/>
      <c r="K31" s="14">
        <v>14623</v>
      </c>
      <c r="L31" s="19">
        <v>8.6400000000000005E-2</v>
      </c>
      <c r="M31" s="5">
        <f>+K31*L31+O31</f>
        <v>1263.4272000000001</v>
      </c>
      <c r="N31" s="5">
        <f ca="1">IF(G31="USD",M31*J31,+K31*L31+O31)</f>
        <v>1263.4272000000001</v>
      </c>
      <c r="O31" s="14">
        <v>0</v>
      </c>
      <c r="P31" s="14"/>
      <c r="Q31" s="4">
        <f t="shared" ca="1" si="27"/>
        <v>46140</v>
      </c>
      <c r="S31" s="1">
        <f>+K31</f>
        <v>14623</v>
      </c>
      <c r="T31" s="5">
        <f ca="1">+E31</f>
        <v>0.18140000000000001</v>
      </c>
      <c r="U31" s="5">
        <f ca="1">+S31*T31-W31</f>
        <v>2652.6122</v>
      </c>
      <c r="V31" s="5">
        <f ca="1">IF(G31="USD",U31*R31,+S31*T31-W31)</f>
        <v>2652.6122</v>
      </c>
      <c r="W31" s="14">
        <v>0</v>
      </c>
      <c r="X31" s="17"/>
      <c r="Y31" s="30">
        <f>IF(A31=0,V31-N31,0)</f>
        <v>0</v>
      </c>
      <c r="Z31" s="30">
        <f ca="1">+Y31-(Y31*$AA$1)</f>
        <v>0</v>
      </c>
      <c r="AA31" s="14"/>
      <c r="AB31" s="170">
        <f t="shared" ca="1" si="9"/>
        <v>1389.1849999999999</v>
      </c>
      <c r="AC31" s="168">
        <f t="shared" ca="1" si="10"/>
        <v>1097.6957128085965</v>
      </c>
      <c r="AD31" s="28">
        <f ca="1">+U31/M31-1</f>
        <v>1.0995370370370368</v>
      </c>
      <c r="AE31" s="48">
        <f ca="1">+Z31/$Z$393</f>
        <v>0</v>
      </c>
      <c r="AF31" s="48">
        <f ca="1">+N31/$N$259</f>
        <v>5.9055399792827328E-4</v>
      </c>
      <c r="AG31" s="204">
        <f ca="1">AVERAGE($AF$5:$AF$257)</f>
        <v>3.9682539682539663E-3</v>
      </c>
      <c r="AH31" s="1" t="str">
        <f ca="1">IF(AF31&lt;AG31,"no","si")</f>
        <v>no</v>
      </c>
      <c r="AI31" s="28" t="str">
        <f ca="1">IF(G31="USD",+R31/J31-1,"-")</f>
        <v>-</v>
      </c>
    </row>
    <row r="32" spans="1:35" x14ac:dyDescent="0.2">
      <c r="A32" s="14">
        <v>1</v>
      </c>
      <c r="B32" s="192" t="e" vm="16">
        <v>#VALUE!</v>
      </c>
      <c r="C32" s="14"/>
      <c r="D32" s="1" t="str" cm="1">
        <f t="array" aca="1" ref="D32" ca="1">_FV(B32,"Ticker symbol",TRUE)</f>
        <v>AMP</v>
      </c>
      <c r="E32" s="122" cm="1">
        <f t="array" aca="1" ref="E32" ca="1">_FV(B32,"Price")</f>
        <v>0.18140000000000001</v>
      </c>
      <c r="F32" s="122" cm="1">
        <f t="array" aca="1" ref="F32" ca="1">_FV(B32,"open")</f>
        <v>0.18360000000000001</v>
      </c>
      <c r="G32" s="5" t="str" cm="1">
        <f t="array" aca="1" ref="G32" ca="1">_FV(B32,"Currency")</f>
        <v>EUR</v>
      </c>
      <c r="H32" s="5" t="s">
        <v>115</v>
      </c>
      <c r="I32" s="16">
        <v>43101</v>
      </c>
      <c r="J32" s="18"/>
      <c r="K32" s="14">
        <v>63787</v>
      </c>
      <c r="L32" s="303">
        <v>0.43390000000000001</v>
      </c>
      <c r="M32" s="5">
        <f>+K32*L32+O32</f>
        <v>27727.1793</v>
      </c>
      <c r="N32" s="5">
        <f ca="1">IF(G32="USD",M32*J32,+K32*L32+O32)</f>
        <v>27727.1793</v>
      </c>
      <c r="O32" s="14">
        <v>50</v>
      </c>
      <c r="P32" s="14"/>
      <c r="Q32" s="4">
        <f t="shared" ca="1" si="27"/>
        <v>46140</v>
      </c>
      <c r="S32" s="1">
        <f>+K32</f>
        <v>63787</v>
      </c>
      <c r="T32" s="5">
        <f ca="1">+E32</f>
        <v>0.18140000000000001</v>
      </c>
      <c r="U32" s="5">
        <f ca="1">+S32*T32-W32</f>
        <v>11520.961800000001</v>
      </c>
      <c r="V32" s="5">
        <f ca="1">IF(G32="USD",U32*R32,+S32*T32-W32)</f>
        <v>11520.961800000001</v>
      </c>
      <c r="W32" s="14">
        <v>50</v>
      </c>
      <c r="X32" s="17"/>
      <c r="Y32" s="30">
        <f>IF(A32=0,V32-N32,0)</f>
        <v>0</v>
      </c>
      <c r="Z32" s="30">
        <f ca="1">+Y32-(Y32*$AA$1)</f>
        <v>0</v>
      </c>
      <c r="AA32" s="14"/>
      <c r="AB32" s="170">
        <f t="shared" ca="1" si="9"/>
        <v>-16206.217499999999</v>
      </c>
      <c r="AC32" s="168">
        <f t="shared" ca="1" si="10"/>
        <v>-12805.70656218837</v>
      </c>
      <c r="AD32" s="28">
        <f ca="1">+U32/M32-1</f>
        <v>-0.58448850222568427</v>
      </c>
      <c r="AE32" s="48">
        <f ca="1">+Z32/$Z$393</f>
        <v>0</v>
      </c>
      <c r="AF32" s="48">
        <f ca="1">+N32/$N$259</f>
        <v>1.2960300828483875E-2</v>
      </c>
      <c r="AG32" s="204">
        <f ca="1">AVERAGE($AF$5:$AF$257)</f>
        <v>3.9682539682539663E-3</v>
      </c>
      <c r="AH32" s="1" t="str">
        <f ca="1">IF(AF32&lt;AG32,"no","si")</f>
        <v>si</v>
      </c>
      <c r="AI32" s="28" t="str">
        <f ca="1">IF(G32="USD",+R32/J32-1,"-")</f>
        <v>-</v>
      </c>
    </row>
    <row r="33" spans="1:35" x14ac:dyDescent="0.2">
      <c r="A33" s="14">
        <v>1</v>
      </c>
      <c r="B33" s="14" t="e" vm="16">
        <v>#VALUE!</v>
      </c>
      <c r="C33" s="14"/>
      <c r="D33" s="1" t="str" cm="1">
        <f t="array" aca="1" ref="D33" ca="1">_FV(B33,"Ticker symbol",TRUE)</f>
        <v>AMP</v>
      </c>
      <c r="E33" s="122" cm="1">
        <f t="array" aca="1" ref="E33" ca="1">_FV(B33,"Price")</f>
        <v>0.18140000000000001</v>
      </c>
      <c r="F33" s="122" cm="1">
        <f t="array" aca="1" ref="F33" ca="1">_FV(B33,"open")</f>
        <v>0.18360000000000001</v>
      </c>
      <c r="G33" s="5" t="str" cm="1">
        <f t="array" aca="1" ref="G33" ca="1">_FV(B33,"Currency")</f>
        <v>EUR</v>
      </c>
      <c r="H33" s="5" t="s">
        <v>188</v>
      </c>
      <c r="I33" s="16">
        <v>45784</v>
      </c>
      <c r="J33" s="18"/>
      <c r="K33" s="14">
        <v>40000</v>
      </c>
      <c r="L33" s="19">
        <v>0.151</v>
      </c>
      <c r="M33" s="5">
        <f t="shared" si="0"/>
        <v>6050</v>
      </c>
      <c r="N33" s="5">
        <f t="shared" ca="1" si="1"/>
        <v>6050</v>
      </c>
      <c r="O33" s="14">
        <v>10</v>
      </c>
      <c r="P33" s="14"/>
      <c r="Q33" s="4">
        <f t="shared" ca="1" si="27"/>
        <v>46140</v>
      </c>
      <c r="S33" s="1">
        <f t="shared" si="3"/>
        <v>40000</v>
      </c>
      <c r="T33" s="5">
        <f t="shared" ca="1" si="4"/>
        <v>0.18140000000000001</v>
      </c>
      <c r="U33" s="5">
        <f t="shared" ca="1" si="5"/>
        <v>7246</v>
      </c>
      <c r="V33" s="5">
        <f t="shared" ca="1" si="6"/>
        <v>7246</v>
      </c>
      <c r="W33" s="14">
        <v>10</v>
      </c>
      <c r="X33" s="17"/>
      <c r="Y33" s="30">
        <f t="shared" si="7"/>
        <v>0</v>
      </c>
      <c r="Z33" s="30">
        <f t="shared" ca="1" si="8"/>
        <v>0</v>
      </c>
      <c r="AA33" s="14"/>
      <c r="AB33" s="170">
        <f t="shared" ca="1" si="9"/>
        <v>1196</v>
      </c>
      <c r="AC33" s="168">
        <f t="shared" ca="1" si="10"/>
        <v>945.0462483535897</v>
      </c>
      <c r="AD33" s="28">
        <f t="shared" ca="1" si="11"/>
        <v>0.19768595041322312</v>
      </c>
      <c r="AE33" s="48">
        <f ca="1">+Z33/$Z$393</f>
        <v>0</v>
      </c>
      <c r="AF33" s="48">
        <f ca="1">+N33/$N$259</f>
        <v>2.8279046766335673E-3</v>
      </c>
      <c r="AG33" s="204">
        <f ca="1">AVERAGE($AF$5:$AF$257)</f>
        <v>3.9682539682539663E-3</v>
      </c>
      <c r="AH33" s="1" t="str">
        <f t="shared" ca="1" si="12"/>
        <v>no</v>
      </c>
      <c r="AI33" s="28" t="str">
        <f t="shared" ca="1" si="13"/>
        <v>-</v>
      </c>
    </row>
    <row r="34" spans="1:35" x14ac:dyDescent="0.2">
      <c r="A34" s="14">
        <v>1</v>
      </c>
      <c r="B34" s="14" t="e" vm="16">
        <v>#VALUE!</v>
      </c>
      <c r="C34" s="14"/>
      <c r="D34" s="1" t="str" cm="1">
        <f t="array" aca="1" ref="D34" ca="1">_FV(B34,"Ticker symbol",TRUE)</f>
        <v>AMP</v>
      </c>
      <c r="E34" s="122" cm="1">
        <f t="array" aca="1" ref="E34" ca="1">_FV(B34,"Price")</f>
        <v>0.18140000000000001</v>
      </c>
      <c r="F34" s="122" cm="1">
        <f t="array" aca="1" ref="F34" ca="1">_FV(B34,"open")</f>
        <v>0.18360000000000001</v>
      </c>
      <c r="G34" s="5" t="str" cm="1">
        <f t="array" aca="1" ref="G34" ca="1">_FV(B34,"Currency")</f>
        <v>EUR</v>
      </c>
      <c r="H34" s="5" t="s">
        <v>188</v>
      </c>
      <c r="I34" s="16">
        <v>45862</v>
      </c>
      <c r="J34" s="18"/>
      <c r="K34" s="14">
        <v>15000</v>
      </c>
      <c r="L34" s="19">
        <v>0.13</v>
      </c>
      <c r="M34" s="5">
        <f>+K34*L34+O34</f>
        <v>1950</v>
      </c>
      <c r="N34" s="5">
        <f ca="1">IF(G34="USD",M34*J34,+K34*L34+O34)</f>
        <v>1950</v>
      </c>
      <c r="O34" s="14">
        <v>0</v>
      </c>
      <c r="P34" s="14"/>
      <c r="Q34" s="4">
        <f t="shared" ca="1" si="27"/>
        <v>46140</v>
      </c>
      <c r="S34" s="1">
        <f>+K34</f>
        <v>15000</v>
      </c>
      <c r="T34" s="5">
        <f ca="1">+E34</f>
        <v>0.18140000000000001</v>
      </c>
      <c r="U34" s="5">
        <f ca="1">+S34*T34-W34</f>
        <v>2716</v>
      </c>
      <c r="V34" s="5">
        <f ca="1">IF(G34="USD",U34*R34,+S34*T34-W34)</f>
        <v>2716</v>
      </c>
      <c r="W34" s="14">
        <v>5</v>
      </c>
      <c r="X34" s="17"/>
      <c r="Y34" s="30">
        <f>IF(A34=0,V34-N34,0)</f>
        <v>0</v>
      </c>
      <c r="Z34" s="30">
        <f ca="1">+Y34-(Y34*$AA$1)</f>
        <v>0</v>
      </c>
      <c r="AA34" s="14"/>
      <c r="AB34" s="170">
        <f t="shared" ca="1" si="9"/>
        <v>766</v>
      </c>
      <c r="AC34" s="168">
        <f t="shared" ca="1" si="10"/>
        <v>605.27209551743283</v>
      </c>
      <c r="AD34" s="28">
        <f ca="1">+U34/M34-1</f>
        <v>0.39282051282051289</v>
      </c>
      <c r="AE34" s="48">
        <f ca="1">+Z34/$Z$393</f>
        <v>0</v>
      </c>
      <c r="AF34" s="48">
        <f ca="1">+N34/$N$259</f>
        <v>9.1147340817114976E-4</v>
      </c>
      <c r="AG34" s="204">
        <f ca="1">AVERAGE($AF$5:$AF$257)</f>
        <v>3.9682539682539663E-3</v>
      </c>
      <c r="AH34" s="1" t="str">
        <f ca="1">IF(AF34&lt;AG34,"no","si")</f>
        <v>no</v>
      </c>
      <c r="AI34" s="28" t="str">
        <f ca="1">IF(G34="USD",+R34/J34-1,"-")</f>
        <v>-</v>
      </c>
    </row>
    <row r="35" spans="1:35" x14ac:dyDescent="0.2">
      <c r="A35" s="14">
        <v>1</v>
      </c>
      <c r="B35" s="14" t="e" vm="17">
        <v>#VALUE!</v>
      </c>
      <c r="C35" s="14"/>
      <c r="D35" s="1" t="str" cm="1">
        <f t="array" aca="1" ref="D35" ca="1">_FV(B35,"Ticker symbol",TRUE)</f>
        <v>ABI</v>
      </c>
      <c r="E35" s="122" cm="1">
        <f t="array" aca="1" ref="E35" ca="1">_FV(B35,"Price")</f>
        <v>62.62</v>
      </c>
      <c r="F35" s="122" cm="1">
        <f t="array" aca="1" ref="F35" ca="1">_FV(B35,"open")</f>
        <v>61.76</v>
      </c>
      <c r="G35" s="5" t="str" cm="1">
        <f t="array" aca="1" ref="G35" ca="1">_FV(B35,"Currency")</f>
        <v>EUR</v>
      </c>
      <c r="H35" s="5" t="s">
        <v>183</v>
      </c>
      <c r="I35" s="16">
        <v>45972</v>
      </c>
      <c r="J35" s="18"/>
      <c r="K35" s="14">
        <v>220</v>
      </c>
      <c r="L35" s="19">
        <v>54.64</v>
      </c>
      <c r="M35" s="5">
        <f>+K35*L35+O35</f>
        <v>12035.8</v>
      </c>
      <c r="N35" s="5">
        <f ca="1">IF(G35="USD",M35*J35,+K35*L35+O35)</f>
        <v>12035.8</v>
      </c>
      <c r="O35" s="14">
        <v>15</v>
      </c>
      <c r="P35" s="14"/>
      <c r="Q35" s="4">
        <f t="shared" ca="1" si="27"/>
        <v>46140</v>
      </c>
      <c r="S35" s="1">
        <f>+K35</f>
        <v>220</v>
      </c>
      <c r="T35" s="5">
        <f ca="1">+E35</f>
        <v>62.62</v>
      </c>
      <c r="U35" s="5">
        <f ca="1">+S35*T35-W35</f>
        <v>13761.4</v>
      </c>
      <c r="V35" s="5">
        <f ca="1">IF(G35="USD",U35*R35,+S35*T35-W35)</f>
        <v>13761.4</v>
      </c>
      <c r="W35" s="14">
        <v>15</v>
      </c>
      <c r="X35" s="17"/>
      <c r="Y35" s="30">
        <f>IF(A35=0,V35-N35,0)</f>
        <v>0</v>
      </c>
      <c r="Z35" s="30">
        <f ca="1">+Y35-(Y35*$AA$1)</f>
        <v>0</v>
      </c>
      <c r="AA35" s="14"/>
      <c r="AB35" s="170">
        <f ca="1">IF(A35=1,+V35-N35,0)</f>
        <v>1725.6000000000004</v>
      </c>
      <c r="AC35" s="168">
        <f ca="1">+AB35-(AB35*$AA$1)</f>
        <v>1363.5215770559821</v>
      </c>
      <c r="AD35" s="28">
        <f ca="1">+U35/M35-1</f>
        <v>0.14337227271971953</v>
      </c>
      <c r="AE35" s="48">
        <f ca="1">+Z35/$Z$393</f>
        <v>0</v>
      </c>
      <c r="AF35" s="48">
        <f ca="1">+N35/$N$259</f>
        <v>5.625800844136576E-3</v>
      </c>
      <c r="AG35" s="204">
        <f ca="1">AVERAGE($AF$5:$AF$257)</f>
        <v>3.9682539682539663E-3</v>
      </c>
      <c r="AH35" s="1" t="str">
        <f ca="1">IF(AF35&lt;AG35,"no","si")</f>
        <v>si</v>
      </c>
      <c r="AI35" s="28" t="str">
        <f ca="1">IF(G35="USD",+R35/J35-1,"-")</f>
        <v>-</v>
      </c>
    </row>
    <row r="36" spans="1:35" x14ac:dyDescent="0.2">
      <c r="A36" s="14">
        <v>1</v>
      </c>
      <c r="B36" s="14" t="e" vm="18">
        <v>#VALUE!</v>
      </c>
      <c r="C36" s="14"/>
      <c r="D36" s="1" t="str" cm="1">
        <f t="array" aca="1" ref="D36" ca="1">_FV(B36,"Ticker symbol",TRUE)</f>
        <v>ABUS</v>
      </c>
      <c r="E36" s="25" cm="1">
        <f t="array" aca="1" ref="E36" ca="1">_FV(B36,"Price")</f>
        <v>4.28</v>
      </c>
      <c r="F36" s="25" cm="1">
        <f t="array" aca="1" ref="F36" ca="1">_FV(B36,"open")</f>
        <v>4.17</v>
      </c>
      <c r="G36" s="5" t="str" cm="1">
        <f t="array" aca="1" ref="G36" ca="1">_FV(B36,"Currency")</f>
        <v>USD</v>
      </c>
      <c r="H36" s="5" t="s">
        <v>183</v>
      </c>
      <c r="I36" s="16">
        <v>45631</v>
      </c>
      <c r="J36" s="172">
        <v>0.95130000000000003</v>
      </c>
      <c r="K36" s="14">
        <v>1500</v>
      </c>
      <c r="L36" s="19">
        <v>3.77</v>
      </c>
      <c r="M36" s="5">
        <f t="shared" si="0"/>
        <v>5670</v>
      </c>
      <c r="N36" s="5">
        <f t="shared" ca="1" si="1"/>
        <v>5393.8710000000001</v>
      </c>
      <c r="O36" s="14">
        <v>15</v>
      </c>
      <c r="P36" s="14"/>
      <c r="Q36" s="4">
        <f t="shared" ca="1" si="27"/>
        <v>46140</v>
      </c>
      <c r="R36" s="8">
        <f ca="1">+$M$551</f>
        <v>0.85299999999999998</v>
      </c>
      <c r="S36" s="1">
        <f t="shared" si="3"/>
        <v>1500</v>
      </c>
      <c r="T36" s="5">
        <f t="shared" ca="1" si="4"/>
        <v>4.28</v>
      </c>
      <c r="U36" s="5">
        <f t="shared" ca="1" si="5"/>
        <v>6405</v>
      </c>
      <c r="V36" s="5">
        <f t="shared" ca="1" si="6"/>
        <v>5463.4650000000001</v>
      </c>
      <c r="W36" s="14">
        <v>15</v>
      </c>
      <c r="X36" s="17"/>
      <c r="Y36" s="30">
        <f t="shared" si="7"/>
        <v>0</v>
      </c>
      <c r="Z36" s="30">
        <f t="shared" ca="1" si="8"/>
        <v>0</v>
      </c>
      <c r="AA36" s="14"/>
      <c r="AB36" s="170">
        <f t="shared" ca="1" si="9"/>
        <v>69.594000000000051</v>
      </c>
      <c r="AC36" s="168">
        <f t="shared" ca="1" si="10"/>
        <v>54.991261377859338</v>
      </c>
      <c r="AD36" s="28">
        <f t="shared" ca="1" si="11"/>
        <v>0.12962962962962954</v>
      </c>
      <c r="AE36" s="48">
        <f ca="1">+Z36/$Z$393</f>
        <v>0</v>
      </c>
      <c r="AF36" s="48">
        <f ca="1">+N36/$N$259</f>
        <v>2.521215376207963E-3</v>
      </c>
      <c r="AG36" s="204">
        <f ca="1">AVERAGE($AF$5:$AF$257)</f>
        <v>3.9682539682539663E-3</v>
      </c>
      <c r="AH36" s="1" t="str">
        <f t="shared" ca="1" si="12"/>
        <v>no</v>
      </c>
      <c r="AI36" s="28">
        <f t="shared" ca="1" si="13"/>
        <v>-0.10333228214022916</v>
      </c>
    </row>
    <row r="37" spans="1:35" x14ac:dyDescent="0.2">
      <c r="A37" s="14">
        <v>1</v>
      </c>
      <c r="B37" s="14" t="e" vm="19">
        <v>#VALUE!</v>
      </c>
      <c r="C37" s="14"/>
      <c r="D37" s="1" t="str" cm="1">
        <f t="array" aca="1" ref="D37" ca="1">_FV(B37,"Ticker symbol",TRUE)</f>
        <v>ARCAD</v>
      </c>
      <c r="E37" s="27" cm="1">
        <f t="array" aca="1" ref="E37" ca="1">_FV(B37,"Price")</f>
        <v>31.76</v>
      </c>
      <c r="F37" s="27" cm="1">
        <f t="array" aca="1" ref="F37" ca="1">_FV(B37,"open")</f>
        <v>31.14</v>
      </c>
      <c r="G37" s="5" t="str" cm="1">
        <f t="array" aca="1" ref="G37" ca="1">_FV(B37,"Currency")</f>
        <v>EUR</v>
      </c>
      <c r="H37" s="5" t="s">
        <v>183</v>
      </c>
      <c r="I37" s="16">
        <v>46029</v>
      </c>
      <c r="J37" s="18"/>
      <c r="K37" s="14">
        <v>325</v>
      </c>
      <c r="L37" s="19">
        <v>36.880000000000003</v>
      </c>
      <c r="M37" s="5">
        <f>+K37*L37+O37</f>
        <v>12001</v>
      </c>
      <c r="N37" s="5">
        <f ca="1">IF(G37="USD",M37*J37,+K37*L37+O37)</f>
        <v>12001</v>
      </c>
      <c r="O37" s="14">
        <v>15</v>
      </c>
      <c r="P37" s="14"/>
      <c r="Q37" s="4">
        <f t="shared" ca="1" si="27"/>
        <v>46140</v>
      </c>
      <c r="S37" s="1">
        <f>+K37</f>
        <v>325</v>
      </c>
      <c r="T37" s="5">
        <f ca="1">+E37</f>
        <v>31.76</v>
      </c>
      <c r="U37" s="5">
        <f ca="1">+S37*T37-W37</f>
        <v>10307</v>
      </c>
      <c r="V37" s="5">
        <f ca="1">IF(G37="USD",U37*R37,+S37*T37-W37)</f>
        <v>10307</v>
      </c>
      <c r="W37" s="14">
        <v>15</v>
      </c>
      <c r="X37" s="17"/>
      <c r="Y37" s="30">
        <f>IF(A37=0,V37-N37,0)</f>
        <v>0</v>
      </c>
      <c r="Z37" s="30">
        <f ca="1">+Y37-(Y37*$AA$1)</f>
        <v>0</v>
      </c>
      <c r="AA37" s="14"/>
      <c r="AB37" s="170">
        <f ca="1">IF(A37=1,+V37-N37,0)</f>
        <v>-1694</v>
      </c>
      <c r="AC37" s="168">
        <f ca="1">+AB37-(AB37*$AA$1)</f>
        <v>-1338.5521276847667</v>
      </c>
      <c r="AD37" s="28">
        <f ca="1">+U37/M37-1</f>
        <v>-0.1411549037580202</v>
      </c>
      <c r="AE37" s="48">
        <f ca="1">+Z37/$Z$393</f>
        <v>0</v>
      </c>
      <c r="AF37" s="48">
        <f ca="1">+N37/$N$259</f>
        <v>5.6095345494676756E-3</v>
      </c>
      <c r="AG37" s="204">
        <f ca="1">AVERAGE($AF$5:$AF$257)</f>
        <v>3.9682539682539663E-3</v>
      </c>
      <c r="AH37" s="1" t="str">
        <f ca="1">IF(AF37&lt;AG37,"no","si")</f>
        <v>si</v>
      </c>
      <c r="AI37" s="28" t="str">
        <f ca="1">IF(G37="USD",+R37/J37-1,"-")</f>
        <v>-</v>
      </c>
    </row>
    <row r="38" spans="1:35" x14ac:dyDescent="0.2">
      <c r="A38" s="14">
        <v>1</v>
      </c>
      <c r="B38" s="14" t="e" vm="20">
        <v>#VALUE!</v>
      </c>
      <c r="C38" s="14"/>
      <c r="D38" s="1" t="str" cm="1">
        <f t="array" aca="1" ref="D38" ca="1">_FV(B38,"Ticker symbol",TRUE)</f>
        <v>MTS</v>
      </c>
      <c r="E38" s="27" cm="1">
        <f t="array" aca="1" ref="E38" ca="1">_FV(B38,"Price")</f>
        <v>50.28</v>
      </c>
      <c r="F38" s="27" cm="1">
        <f t="array" aca="1" ref="F38" ca="1">_FV(B38,"open")</f>
        <v>50.84</v>
      </c>
      <c r="G38" s="5" t="str" cm="1">
        <f t="array" aca="1" ref="G38" ca="1">_FV(B38,"Currency")</f>
        <v>EUR</v>
      </c>
      <c r="H38" s="5" t="s">
        <v>184</v>
      </c>
      <c r="I38" s="16">
        <v>43578</v>
      </c>
      <c r="J38" s="18"/>
      <c r="K38" s="14">
        <v>733</v>
      </c>
      <c r="L38" s="19">
        <v>20.62</v>
      </c>
      <c r="M38" s="5">
        <f t="shared" si="0"/>
        <v>15123.68</v>
      </c>
      <c r="N38" s="5">
        <f t="shared" ca="1" si="1"/>
        <v>15123.68</v>
      </c>
      <c r="O38" s="14">
        <v>9.2200000000000006</v>
      </c>
      <c r="P38" s="14"/>
      <c r="Q38" s="4">
        <f t="shared" ca="1" si="27"/>
        <v>46140</v>
      </c>
      <c r="S38" s="1">
        <f t="shared" si="3"/>
        <v>733</v>
      </c>
      <c r="T38" s="5">
        <f t="shared" ca="1" si="4"/>
        <v>50.28</v>
      </c>
      <c r="U38" s="5">
        <f t="shared" ca="1" si="5"/>
        <v>36835.24</v>
      </c>
      <c r="V38" s="5">
        <f t="shared" ca="1" si="6"/>
        <v>36835.24</v>
      </c>
      <c r="W38" s="14">
        <v>20</v>
      </c>
      <c r="X38" s="17"/>
      <c r="Y38" s="30">
        <f t="shared" si="7"/>
        <v>0</v>
      </c>
      <c r="Z38" s="30">
        <f t="shared" ca="1" si="8"/>
        <v>0</v>
      </c>
      <c r="AA38" s="14"/>
      <c r="AB38" s="170">
        <f t="shared" ca="1" si="9"/>
        <v>21711.559999999998</v>
      </c>
      <c r="AC38" s="168">
        <f t="shared" ca="1" si="10"/>
        <v>17155.87652500323</v>
      </c>
      <c r="AD38" s="28">
        <f t="shared" ca="1" si="11"/>
        <v>1.4356003300783935</v>
      </c>
      <c r="AE38" s="48">
        <f ca="1">+Z38/$Z$393</f>
        <v>0</v>
      </c>
      <c r="AF38" s="48">
        <f ca="1">+N38/$N$259</f>
        <v>7.0691446941999253E-3</v>
      </c>
      <c r="AG38" s="204">
        <f ca="1">AVERAGE($AF$5:$AF$257)</f>
        <v>3.9682539682539663E-3</v>
      </c>
      <c r="AH38" s="1" t="str">
        <f t="shared" ca="1" si="12"/>
        <v>si</v>
      </c>
      <c r="AI38" s="28" t="str">
        <f t="shared" ca="1" si="13"/>
        <v>-</v>
      </c>
    </row>
    <row r="39" spans="1:35" x14ac:dyDescent="0.2">
      <c r="A39" s="14">
        <v>1</v>
      </c>
      <c r="B39" s="14" t="e" vm="20">
        <v>#VALUE!</v>
      </c>
      <c r="C39" s="14"/>
      <c r="D39" s="1" t="str" cm="1">
        <f t="array" aca="1" ref="D39" ca="1">_FV(B39,"Ticker symbol",TRUE)</f>
        <v>MTS</v>
      </c>
      <c r="E39" s="27" cm="1">
        <f t="array" aca="1" ref="E39" ca="1">_FV(B39,"Price")</f>
        <v>50.28</v>
      </c>
      <c r="F39" s="27" cm="1">
        <f t="array" aca="1" ref="F39" ca="1">_FV(B39,"open")</f>
        <v>50.84</v>
      </c>
      <c r="G39" s="5" t="str" cm="1">
        <f t="array" aca="1" ref="G39" ca="1">_FV(B39,"Currency")</f>
        <v>EUR</v>
      </c>
      <c r="H39" s="5" t="s">
        <v>115</v>
      </c>
      <c r="I39" s="16">
        <v>43579</v>
      </c>
      <c r="J39" s="18"/>
      <c r="K39" s="14">
        <v>4</v>
      </c>
      <c r="L39" s="19">
        <v>0.01</v>
      </c>
      <c r="M39" s="5">
        <f t="shared" si="0"/>
        <v>0.04</v>
      </c>
      <c r="N39" s="5">
        <f t="shared" ca="1" si="1"/>
        <v>0.04</v>
      </c>
      <c r="O39" s="14">
        <v>0</v>
      </c>
      <c r="P39" s="14"/>
      <c r="Q39" s="4">
        <f t="shared" ca="1" si="27"/>
        <v>46140</v>
      </c>
      <c r="S39" s="1">
        <f t="shared" si="3"/>
        <v>4</v>
      </c>
      <c r="T39" s="5">
        <f t="shared" ca="1" si="4"/>
        <v>50.28</v>
      </c>
      <c r="U39" s="5">
        <f t="shared" ca="1" si="5"/>
        <v>201.12</v>
      </c>
      <c r="V39" s="5">
        <f t="shared" ca="1" si="6"/>
        <v>201.12</v>
      </c>
      <c r="W39" s="14">
        <v>0</v>
      </c>
      <c r="X39" s="17"/>
      <c r="Y39" s="30">
        <f t="shared" si="7"/>
        <v>0</v>
      </c>
      <c r="Z39" s="30">
        <f t="shared" ca="1" si="8"/>
        <v>0</v>
      </c>
      <c r="AA39" s="14"/>
      <c r="AB39" s="170">
        <f t="shared" ca="1" si="9"/>
        <v>201.08</v>
      </c>
      <c r="AC39" s="168">
        <f t="shared" ca="1" si="10"/>
        <v>158.88787593556842</v>
      </c>
      <c r="AD39" s="28">
        <f t="shared" ca="1" si="11"/>
        <v>5027</v>
      </c>
      <c r="AE39" s="48">
        <f ca="1">+Z39/$Z$393</f>
        <v>0</v>
      </c>
      <c r="AF39" s="48">
        <f ca="1">+N39/$N$259</f>
        <v>1.8696890424023585E-8</v>
      </c>
      <c r="AG39" s="204">
        <f ca="1">AVERAGE($AF$5:$AF$257)</f>
        <v>3.9682539682539663E-3</v>
      </c>
      <c r="AH39" s="1" t="str">
        <f t="shared" ca="1" si="12"/>
        <v>no</v>
      </c>
      <c r="AI39" s="28" t="str">
        <f t="shared" ca="1" si="13"/>
        <v>-</v>
      </c>
    </row>
    <row r="40" spans="1:35" x14ac:dyDescent="0.2">
      <c r="A40" s="14">
        <v>1</v>
      </c>
      <c r="B40" s="14" t="e" vm="21">
        <v>#VALUE!</v>
      </c>
      <c r="C40" s="14"/>
      <c r="D40" s="1" t="str" cm="1">
        <f t="array" aca="1" ref="D40" ca="1">_FV(B40,"Ticker symbol",TRUE)</f>
        <v>ARIS</v>
      </c>
      <c r="E40" s="27" cm="1">
        <f t="array" aca="1" ref="E40" ca="1">_FV(B40,"Price")</f>
        <v>3.9140000000000001</v>
      </c>
      <c r="F40" s="27" cm="1">
        <f t="array" aca="1" ref="F40" ca="1">_FV(B40,"open")</f>
        <v>3.94</v>
      </c>
      <c r="G40" s="5" t="str" cm="1">
        <f t="array" aca="1" ref="G40" ca="1">_FV(B40,"Currency")</f>
        <v>EUR</v>
      </c>
      <c r="H40" s="5" t="s">
        <v>183</v>
      </c>
      <c r="I40" s="16">
        <v>46008</v>
      </c>
      <c r="J40" s="18"/>
      <c r="K40" s="14">
        <v>2693</v>
      </c>
      <c r="L40" s="19">
        <v>4.4550000000000001</v>
      </c>
      <c r="M40" s="5">
        <f>+K40*L40+O40</f>
        <v>12012.315000000001</v>
      </c>
      <c r="N40" s="5">
        <f ca="1">IF(G40="USD",M40*J40,+K40*L40+O40)</f>
        <v>12012.315000000001</v>
      </c>
      <c r="O40" s="14">
        <v>15</v>
      </c>
      <c r="P40" s="14"/>
      <c r="Q40" s="4">
        <f t="shared" ca="1" si="27"/>
        <v>46140</v>
      </c>
      <c r="S40" s="1">
        <f>+K40</f>
        <v>2693</v>
      </c>
      <c r="T40" s="5">
        <f ca="1">+E40</f>
        <v>3.9140000000000001</v>
      </c>
      <c r="U40" s="5">
        <f ca="1">+S40*T40-W40</f>
        <v>10525.402</v>
      </c>
      <c r="V40" s="5">
        <f ca="1">IF(G40="USD",U40*R40,+S40*T40-W40)</f>
        <v>10525.402</v>
      </c>
      <c r="W40" s="14">
        <v>15</v>
      </c>
      <c r="X40" s="17"/>
      <c r="Y40" s="30">
        <f>IF(A40=0,V40-N40,0)</f>
        <v>0</v>
      </c>
      <c r="Z40" s="30">
        <f ca="1">+Y40-(Y40*$AA$1)</f>
        <v>0</v>
      </c>
      <c r="AA40" s="14"/>
      <c r="AB40" s="170">
        <f ca="1">IF(A40=1,+V40-N40,0)</f>
        <v>-1486.9130000000005</v>
      </c>
      <c r="AC40" s="168">
        <f ca="1">+AB40-(AB40*$AA$1)</f>
        <v>-1174.9176858513224</v>
      </c>
      <c r="AD40" s="28">
        <f ca="1">+U40/M40-1</f>
        <v>-0.12378238499406657</v>
      </c>
      <c r="AE40" s="48">
        <f ca="1">+Z40/$Z$393</f>
        <v>0</v>
      </c>
      <c r="AF40" s="48">
        <f ca="1">+N40/$N$259</f>
        <v>5.6148234323463719E-3</v>
      </c>
      <c r="AG40" s="204">
        <f ca="1">AVERAGE($AF$5:$AF$257)</f>
        <v>3.9682539682539663E-3</v>
      </c>
      <c r="AH40" s="1" t="str">
        <f ca="1">IF(AF40&lt;AG40,"no","si")</f>
        <v>si</v>
      </c>
      <c r="AI40" s="28" t="str">
        <f ca="1">IF(G40="USD",+R40/J40-1,"-")</f>
        <v>-</v>
      </c>
    </row>
    <row r="41" spans="1:35" x14ac:dyDescent="0.2">
      <c r="A41" s="14">
        <v>1</v>
      </c>
      <c r="B41" s="14" t="e" vm="22">
        <v>#VALUE!</v>
      </c>
      <c r="C41" s="14"/>
      <c r="D41" s="1" t="str" cm="1">
        <f t="array" aca="1" ref="D41" ca="1">_FV(B41,"Ticker symbol",TRUE)</f>
        <v>ASAN</v>
      </c>
      <c r="E41" s="25" cm="1">
        <f t="array" aca="1" ref="E41" ca="1">_FV(B41,"Price")</f>
        <v>6.24</v>
      </c>
      <c r="F41" s="25" cm="1">
        <f t="array" aca="1" ref="F41" ca="1">_FV(B41,"open")</f>
        <v>6.32</v>
      </c>
      <c r="G41" s="5" t="str" cm="1">
        <f t="array" aca="1" ref="G41" ca="1">_FV(B41,"Currency")</f>
        <v>USD</v>
      </c>
      <c r="H41" s="5" t="s">
        <v>183</v>
      </c>
      <c r="I41" s="16">
        <v>45999</v>
      </c>
      <c r="J41" s="172">
        <v>0.86099999999999999</v>
      </c>
      <c r="K41" s="14">
        <v>987</v>
      </c>
      <c r="L41" s="19">
        <v>14.73</v>
      </c>
      <c r="M41" s="5">
        <f>+K41*L41+O41</f>
        <v>14553.51</v>
      </c>
      <c r="N41" s="5">
        <f ca="1">IF(G41="USD",M41*J41,+K41*L41+O41)</f>
        <v>12530.572109999999</v>
      </c>
      <c r="O41" s="14">
        <v>15</v>
      </c>
      <c r="P41" s="14"/>
      <c r="Q41" s="4">
        <f t="shared" ca="1" si="27"/>
        <v>46140</v>
      </c>
      <c r="R41" s="8">
        <f ca="1">+$M$551</f>
        <v>0.85299999999999998</v>
      </c>
      <c r="S41" s="1">
        <f>+K41</f>
        <v>987</v>
      </c>
      <c r="T41" s="5">
        <f ca="1">+E41</f>
        <v>6.24</v>
      </c>
      <c r="U41" s="5">
        <f ca="1">+S41*T41-W41</f>
        <v>6143.88</v>
      </c>
      <c r="V41" s="5">
        <f ca="1">IF(G41="USD",U41*R41,+S41*T41-W41)</f>
        <v>5240.7296399999996</v>
      </c>
      <c r="W41" s="14">
        <v>15</v>
      </c>
      <c r="X41" s="17"/>
      <c r="Y41" s="30">
        <f>IF(A41=0,V41-N41,0)</f>
        <v>0</v>
      </c>
      <c r="Z41" s="30">
        <f ca="1">+Y41-(Y41*$AA$1)</f>
        <v>0</v>
      </c>
      <c r="AA41" s="14"/>
      <c r="AB41" s="170">
        <f ca="1">IF(A41=1,+V41-N41,0)</f>
        <v>-7289.8424699999996</v>
      </c>
      <c r="AC41" s="168">
        <f ca="1">+AB41-(AB41*$AA$1)</f>
        <v>-5760.2326733797363</v>
      </c>
      <c r="AD41" s="28">
        <f ca="1">+U41/M41-1</f>
        <v>-0.57784204635170489</v>
      </c>
      <c r="AE41" s="48">
        <f ca="1">+Z41/$Z$393</f>
        <v>0</v>
      </c>
      <c r="AF41" s="48">
        <f ca="1">+N41/$N$259</f>
        <v>5.8570683422748994E-3</v>
      </c>
      <c r="AG41" s="204">
        <f ca="1">AVERAGE($AF$5:$AF$257)</f>
        <v>3.9682539682539663E-3</v>
      </c>
      <c r="AH41" s="1" t="str">
        <f ca="1">IF(AF41&lt;AG41,"no","si")</f>
        <v>si</v>
      </c>
      <c r="AI41" s="28">
        <f ca="1">IF(G41="USD",+R41/J41-1,"-")</f>
        <v>-9.2915214866434725E-3</v>
      </c>
    </row>
    <row r="42" spans="1:35" x14ac:dyDescent="0.2">
      <c r="A42" s="14">
        <v>1</v>
      </c>
      <c r="B42" s="14" t="e" vm="23">
        <v>#VALUE!</v>
      </c>
      <c r="C42" s="14"/>
      <c r="D42" s="1" t="str" cm="1">
        <f t="array" aca="1" ref="D42" ca="1">_FV(B42,"Ticker symbol",TRUE)</f>
        <v>A3M</v>
      </c>
      <c r="E42" s="27" cm="1">
        <f t="array" aca="1" ref="E42" ca="1">_FV(B42,"Price")</f>
        <v>5.2</v>
      </c>
      <c r="F42" s="27" cm="1">
        <f t="array" aca="1" ref="F42" ca="1">_FV(B42,"open")</f>
        <v>5.17</v>
      </c>
      <c r="G42" s="5" t="str" cm="1">
        <f t="array" aca="1" ref="G42" ca="1">_FV(B42,"Currency")</f>
        <v>EUR</v>
      </c>
      <c r="H42" s="5" t="s">
        <v>183</v>
      </c>
      <c r="I42" s="16">
        <v>45835</v>
      </c>
      <c r="J42" s="18"/>
      <c r="K42" s="14">
        <v>2385</v>
      </c>
      <c r="L42" s="19">
        <v>5.03</v>
      </c>
      <c r="M42" s="5">
        <f>+K42*L42+O42</f>
        <v>12033.550000000001</v>
      </c>
      <c r="N42" s="5">
        <f ca="1">IF(G42="USD",M42*J42,+K42*L42+O42)</f>
        <v>12033.550000000001</v>
      </c>
      <c r="O42" s="14">
        <v>37</v>
      </c>
      <c r="P42" s="14"/>
      <c r="Q42" s="4">
        <f t="shared" ca="1" si="27"/>
        <v>46140</v>
      </c>
      <c r="S42" s="1">
        <f>+K42</f>
        <v>2385</v>
      </c>
      <c r="T42" s="5">
        <f ca="1">+E42</f>
        <v>5.2</v>
      </c>
      <c r="U42" s="5">
        <f ca="1">+S42*T42-W42</f>
        <v>12365</v>
      </c>
      <c r="V42" s="5">
        <f ca="1">IF(G42="USD",U42*R42,+S42*T42-W42)</f>
        <v>12365</v>
      </c>
      <c r="W42" s="14">
        <v>37</v>
      </c>
      <c r="X42" s="17"/>
      <c r="Y42" s="30">
        <f>IF(A42=0,V42-N42,0)</f>
        <v>0</v>
      </c>
      <c r="Z42" s="30">
        <f ca="1">+Y42-(Y42*$AA$1)</f>
        <v>0</v>
      </c>
      <c r="AA42" s="14"/>
      <c r="AB42" s="170">
        <f t="shared" ca="1" si="9"/>
        <v>331.44999999999891</v>
      </c>
      <c r="AC42" s="168">
        <f t="shared" ca="1" si="10"/>
        <v>261.90265804079957</v>
      </c>
      <c r="AD42" s="28">
        <f ca="1">+U42/M42-1</f>
        <v>2.754382538818545E-2</v>
      </c>
      <c r="AE42" s="48">
        <f ca="1">+Z42/$Z$393</f>
        <v>0</v>
      </c>
      <c r="AF42" s="48">
        <f ca="1">+N42/$N$259</f>
        <v>5.6247491440502258E-3</v>
      </c>
      <c r="AG42" s="204">
        <f ca="1">AVERAGE($AF$5:$AF$257)</f>
        <v>3.9682539682539663E-3</v>
      </c>
      <c r="AH42" s="1" t="str">
        <f ca="1">IF(AF42&lt;AG42,"no","si")</f>
        <v>si</v>
      </c>
      <c r="AI42" s="28" t="str">
        <f ca="1">IF(G42="USD",+R42/J42-1,"-")</f>
        <v>-</v>
      </c>
    </row>
    <row r="43" spans="1:35" x14ac:dyDescent="0.2">
      <c r="A43" s="14">
        <v>1</v>
      </c>
      <c r="B43" s="14" t="e" vm="24">
        <v>#VALUE!</v>
      </c>
      <c r="C43" s="14"/>
      <c r="D43" s="1" t="str" cm="1">
        <f t="array" aca="1" ref="D43" ca="1">_FV(B43,"Ticker symbol",TRUE)</f>
        <v>ADX</v>
      </c>
      <c r="E43" s="27" cm="1">
        <f t="array" aca="1" ref="E43" ca="1">_FV(B43,"Price")</f>
        <v>1.492</v>
      </c>
      <c r="F43" s="27" cm="1">
        <f t="array" aca="1" ref="F43" ca="1">_FV(B43,"open")</f>
        <v>1.476</v>
      </c>
      <c r="G43" s="5" t="str" cm="1">
        <f t="array" aca="1" ref="G43" ca="1">_FV(B43,"Currency")</f>
        <v>EUR</v>
      </c>
      <c r="H43" s="5" t="s">
        <v>184</v>
      </c>
      <c r="I43" s="16">
        <v>45782</v>
      </c>
      <c r="J43" s="18"/>
      <c r="K43" s="14">
        <v>6796</v>
      </c>
      <c r="L43" s="19">
        <v>1.542</v>
      </c>
      <c r="M43" s="5">
        <f t="shared" si="0"/>
        <v>10495.032000000001</v>
      </c>
      <c r="N43" s="5">
        <f t="shared" ca="1" si="1"/>
        <v>10495.032000000001</v>
      </c>
      <c r="O43" s="14">
        <v>15.6</v>
      </c>
      <c r="P43" s="14"/>
      <c r="Q43" s="4">
        <f t="shared" ca="1" si="27"/>
        <v>46140</v>
      </c>
      <c r="S43" s="1">
        <f t="shared" si="3"/>
        <v>6796</v>
      </c>
      <c r="T43" s="246">
        <f t="shared" ca="1" si="4"/>
        <v>1.492</v>
      </c>
      <c r="U43" s="5">
        <f t="shared" ca="1" si="5"/>
        <v>10124.031999999999</v>
      </c>
      <c r="V43" s="5">
        <f t="shared" ca="1" si="6"/>
        <v>10124.031999999999</v>
      </c>
      <c r="W43" s="14">
        <v>15.6</v>
      </c>
      <c r="X43" s="17"/>
      <c r="Y43" s="30">
        <f t="shared" si="7"/>
        <v>0</v>
      </c>
      <c r="Z43" s="30">
        <f t="shared" ca="1" si="8"/>
        <v>0</v>
      </c>
      <c r="AA43" s="14"/>
      <c r="AB43" s="170">
        <f t="shared" ca="1" si="9"/>
        <v>-371.00000000000182</v>
      </c>
      <c r="AC43" s="168">
        <f t="shared" ca="1" si="10"/>
        <v>-293.15397837724373</v>
      </c>
      <c r="AD43" s="28">
        <f t="shared" ca="1" si="11"/>
        <v>-3.5350058961230557E-2</v>
      </c>
      <c r="AE43" s="48">
        <f ca="1">+Z43/$Z$393</f>
        <v>0</v>
      </c>
      <c r="AF43" s="48">
        <f ca="1">+N43/$N$259</f>
        <v>4.9056115825155278E-3</v>
      </c>
      <c r="AG43" s="204">
        <f ca="1">AVERAGE($AF$5:$AF$257)</f>
        <v>3.9682539682539663E-3</v>
      </c>
      <c r="AH43" s="1" t="str">
        <f t="shared" ca="1" si="12"/>
        <v>si</v>
      </c>
      <c r="AI43" s="28" t="str">
        <f t="shared" ca="1" si="13"/>
        <v>-</v>
      </c>
    </row>
    <row r="44" spans="1:35" x14ac:dyDescent="0.2">
      <c r="A44" s="1">
        <v>1</v>
      </c>
      <c r="B44" s="1" t="e" vm="25">
        <v>#VALUE!</v>
      </c>
      <c r="D44" s="1" t="str" cm="1">
        <f t="array" aca="1" ref="D44" ca="1">_FV(B44,"Ticker symbol",TRUE)</f>
        <v>BKR</v>
      </c>
      <c r="E44" s="25" cm="1">
        <f t="array" aca="1" ref="E44" ca="1">_FV(B44,"Price")</f>
        <v>68.38</v>
      </c>
      <c r="F44" s="25" cm="1">
        <f t="array" aca="1" ref="F44" ca="1">_FV(B44,"open")</f>
        <v>70</v>
      </c>
      <c r="G44" s="5" t="str" cm="1">
        <f t="array" aca="1" ref="G44" ca="1">_FV(B44,"Currency")</f>
        <v>USD</v>
      </c>
      <c r="H44" s="5" t="s">
        <v>204</v>
      </c>
      <c r="I44" s="4">
        <v>46048</v>
      </c>
      <c r="J44" s="172">
        <v>0.84119999999999995</v>
      </c>
      <c r="K44" s="1">
        <v>115</v>
      </c>
      <c r="L44" s="10">
        <v>54.75</v>
      </c>
      <c r="M44" s="5">
        <f>+K44*L44+O44</f>
        <v>6296.25</v>
      </c>
      <c r="N44" s="5">
        <f ca="1">IF(G44="USD",M44*J44,+K44*L44+O44)</f>
        <v>5296.4054999999998</v>
      </c>
      <c r="O44" s="1">
        <v>0</v>
      </c>
      <c r="Q44" s="4">
        <f t="shared" ca="1" si="27"/>
        <v>46140</v>
      </c>
      <c r="R44" s="8">
        <f ca="1">+$M$551</f>
        <v>0.85299999999999998</v>
      </c>
      <c r="S44" s="1">
        <f>+K44</f>
        <v>115</v>
      </c>
      <c r="T44" s="5">
        <f ca="1">+E44</f>
        <v>68.38</v>
      </c>
      <c r="U44" s="5">
        <f ca="1">+S44*T44-W44</f>
        <v>7847.7</v>
      </c>
      <c r="V44" s="5">
        <f ca="1">IF(G44="USD",U44*R44,+S44*T44-W44)</f>
        <v>6694.0880999999999</v>
      </c>
      <c r="W44" s="1">
        <v>16</v>
      </c>
      <c r="Y44" s="30">
        <f>IF(A44=0,V44-N44,0)</f>
        <v>0</v>
      </c>
      <c r="Z44" s="30">
        <f ca="1">+Y44-(Y44*$AA$1)</f>
        <v>0</v>
      </c>
      <c r="AB44" s="170">
        <f ca="1">IF(A44=1,+V44-N44,0)</f>
        <v>1397.6826000000001</v>
      </c>
      <c r="AC44" s="168">
        <f ca="1">+AB44-(AB44*$AA$1)</f>
        <v>1104.4102822065979</v>
      </c>
      <c r="AD44" s="28">
        <f ca="1">+U44/M44-1</f>
        <v>0.246408576533651</v>
      </c>
      <c r="AE44" s="48">
        <f ca="1">+Z44/$Z$393</f>
        <v>0</v>
      </c>
      <c r="AF44" s="48">
        <f ca="1">+N44/$N$259</f>
        <v>2.4756578318673962E-3</v>
      </c>
      <c r="AG44" s="204">
        <f ca="1">AVERAGE($AF$5:$AF$257)</f>
        <v>3.9682539682539663E-3</v>
      </c>
      <c r="AH44" s="1" t="str">
        <f ca="1">IF(AF44&lt;AG44,"no","si")</f>
        <v>no</v>
      </c>
      <c r="AI44" s="28">
        <f ca="1">IF(G44="USD",+R44/J44-1,"-")</f>
        <v>1.4027579648121735E-2</v>
      </c>
    </row>
    <row r="45" spans="1:35" x14ac:dyDescent="0.2">
      <c r="A45" s="1">
        <v>1</v>
      </c>
      <c r="B45" s="1" t="e" vm="26">
        <v>#VALUE!</v>
      </c>
      <c r="D45" s="1" t="str" cm="1">
        <f t="array" aca="1" ref="D45" ca="1">_FV(B45,"Ticker symbol",TRUE)</f>
        <v>BLCO</v>
      </c>
      <c r="E45" s="25" cm="1">
        <f t="array" aca="1" ref="E45" ca="1">_FV(B45,"Price")</f>
        <v>15.88</v>
      </c>
      <c r="F45" s="25" cm="1">
        <f t="array" aca="1" ref="F45" ca="1">_FV(B45,"open")</f>
        <v>15.8</v>
      </c>
      <c r="G45" s="5" t="str" cm="1">
        <f t="array" aca="1" ref="G45" ca="1">_FV(B45,"Currency")</f>
        <v>USD</v>
      </c>
      <c r="H45" s="5" t="s">
        <v>183</v>
      </c>
      <c r="I45" s="4">
        <v>45635</v>
      </c>
      <c r="J45" s="172">
        <v>0.94840000000000002</v>
      </c>
      <c r="K45" s="1">
        <v>248</v>
      </c>
      <c r="L45" s="10">
        <v>20.100000000000001</v>
      </c>
      <c r="M45" s="5">
        <f t="shared" si="0"/>
        <v>4999.8</v>
      </c>
      <c r="N45" s="5">
        <f t="shared" ca="1" si="1"/>
        <v>4741.8103200000005</v>
      </c>
      <c r="O45" s="1">
        <v>15</v>
      </c>
      <c r="Q45" s="4">
        <f t="shared" ca="1" si="27"/>
        <v>46140</v>
      </c>
      <c r="R45" s="8">
        <f ca="1">+$M$551</f>
        <v>0.85299999999999998</v>
      </c>
      <c r="S45" s="1">
        <f t="shared" si="3"/>
        <v>248</v>
      </c>
      <c r="T45" s="5">
        <f t="shared" ca="1" si="4"/>
        <v>15.88</v>
      </c>
      <c r="U45" s="5">
        <f t="shared" ca="1" si="5"/>
        <v>3923.2400000000002</v>
      </c>
      <c r="V45" s="5">
        <f t="shared" ca="1" si="6"/>
        <v>3346.5237200000001</v>
      </c>
      <c r="W45" s="1">
        <v>15</v>
      </c>
      <c r="Y45" s="30">
        <f t="shared" si="7"/>
        <v>0</v>
      </c>
      <c r="Z45" s="30">
        <f t="shared" ca="1" si="8"/>
        <v>0</v>
      </c>
      <c r="AB45" s="170">
        <f t="shared" ca="1" si="9"/>
        <v>-1395.2866000000004</v>
      </c>
      <c r="AC45" s="168">
        <f t="shared" ca="1" si="10"/>
        <v>-1102.517029020097</v>
      </c>
      <c r="AD45" s="28">
        <f t="shared" ca="1" si="11"/>
        <v>-0.21532061282451298</v>
      </c>
      <c r="AE45" s="48">
        <f ca="1">+Z45/$Z$393</f>
        <v>0</v>
      </c>
      <c r="AF45" s="48">
        <f ca="1">+N45/$N$259</f>
        <v>2.2164276991136055E-3</v>
      </c>
      <c r="AG45" s="204">
        <f ca="1">AVERAGE($AF$5:$AF$257)</f>
        <v>3.9682539682539663E-3</v>
      </c>
      <c r="AH45" s="1" t="str">
        <f t="shared" ca="1" si="12"/>
        <v>no</v>
      </c>
      <c r="AI45" s="28">
        <f t="shared" ca="1" si="13"/>
        <v>-0.10059046815689587</v>
      </c>
    </row>
    <row r="46" spans="1:35" x14ac:dyDescent="0.2">
      <c r="A46" s="1">
        <v>1</v>
      </c>
      <c r="B46" s="1" t="e" vm="27">
        <v>#VALUE!</v>
      </c>
      <c r="D46" s="1" t="str" cm="1">
        <f t="array" aca="1" ref="D46" ca="1">_FV(B46,"Ticker symbol",TRUE)</f>
        <v>BAX</v>
      </c>
      <c r="E46" s="25" cm="1">
        <f t="array" aca="1" ref="E46" ca="1">_FV(B46,"Price")</f>
        <v>18.489999999999998</v>
      </c>
      <c r="F46" s="25" cm="1">
        <f t="array" aca="1" ref="F46" ca="1">_FV(B46,"open")</f>
        <v>18.14</v>
      </c>
      <c r="G46" s="5" t="str" cm="1">
        <f t="array" aca="1" ref="G46" ca="1">_FV(B46,"Currency")</f>
        <v>USD</v>
      </c>
      <c r="H46" s="5" t="s">
        <v>183</v>
      </c>
      <c r="I46" s="4">
        <v>45141</v>
      </c>
      <c r="J46" s="172">
        <v>0.9163</v>
      </c>
      <c r="K46" s="1">
        <v>180</v>
      </c>
      <c r="L46" s="10">
        <v>43.7</v>
      </c>
      <c r="M46" s="5">
        <f t="shared" si="0"/>
        <v>7881.0000000000009</v>
      </c>
      <c r="N46" s="5">
        <f t="shared" ca="1" si="1"/>
        <v>7221.3603000000012</v>
      </c>
      <c r="O46" s="1">
        <v>15</v>
      </c>
      <c r="Q46" s="4">
        <f t="shared" ca="1" si="27"/>
        <v>46140</v>
      </c>
      <c r="R46" s="8">
        <f ca="1">+$M$551</f>
        <v>0.85299999999999998</v>
      </c>
      <c r="S46" s="1">
        <f t="shared" si="3"/>
        <v>180</v>
      </c>
      <c r="T46" s="5">
        <f t="shared" ca="1" si="4"/>
        <v>18.489999999999998</v>
      </c>
      <c r="U46" s="5">
        <f t="shared" ca="1" si="5"/>
        <v>3313.2</v>
      </c>
      <c r="V46" s="5">
        <f t="shared" ca="1" si="6"/>
        <v>2826.1596</v>
      </c>
      <c r="W46" s="1">
        <v>15</v>
      </c>
      <c r="Y46" s="30">
        <f t="shared" si="7"/>
        <v>0</v>
      </c>
      <c r="Z46" s="30">
        <f t="shared" ca="1" si="8"/>
        <v>0</v>
      </c>
      <c r="AB46" s="170">
        <f t="shared" ca="1" si="9"/>
        <v>-4395.2007000000012</v>
      </c>
      <c r="AC46" s="168">
        <f t="shared" ca="1" si="10"/>
        <v>-3472.9664985753116</v>
      </c>
      <c r="AD46" s="28">
        <f t="shared" ca="1" si="11"/>
        <v>-0.57959649790635714</v>
      </c>
      <c r="AE46" s="48">
        <f ca="1">+Z46/$Z$393</f>
        <v>0</v>
      </c>
      <c r="AF46" s="48">
        <f ca="1">+N46/$N$259</f>
        <v>3.3754245560373526E-3</v>
      </c>
      <c r="AG46" s="204">
        <f ca="1">AVERAGE($AF$5:$AF$257)</f>
        <v>3.9682539682539663E-3</v>
      </c>
      <c r="AH46" s="1" t="str">
        <f t="shared" ca="1" si="12"/>
        <v>no</v>
      </c>
      <c r="AI46" s="28">
        <f t="shared" ca="1" si="13"/>
        <v>-6.908217832587582E-2</v>
      </c>
    </row>
    <row r="47" spans="1:35" x14ac:dyDescent="0.2">
      <c r="A47" s="14">
        <v>1</v>
      </c>
      <c r="B47" s="14" t="e" vm="28">
        <v>#VALUE!</v>
      </c>
      <c r="C47" s="14"/>
      <c r="D47" s="1" t="str" cm="1">
        <f t="array" aca="1" ref="D47" ca="1">_FV(B47,"Ticker symbol",TRUE)</f>
        <v>BAYN</v>
      </c>
      <c r="E47" s="27" cm="1">
        <f t="array" aca="1" ref="E47" ca="1">_FV(B47,"Price")</f>
        <v>38.47</v>
      </c>
      <c r="F47" s="27" cm="1">
        <f t="array" aca="1" ref="F47" ca="1">_FV(B47,"open")</f>
        <v>38.549999999999997</v>
      </c>
      <c r="G47" s="5" t="str" cm="1">
        <f t="array" aca="1" ref="G47" ca="1">_FV(B47,"Currency")</f>
        <v>EUR</v>
      </c>
      <c r="H47" s="5" t="s">
        <v>115</v>
      </c>
      <c r="I47" s="16">
        <v>45564</v>
      </c>
      <c r="J47" s="18"/>
      <c r="K47" s="14">
        <v>400</v>
      </c>
      <c r="L47" s="19">
        <v>30.53</v>
      </c>
      <c r="M47" s="5">
        <f t="shared" si="0"/>
        <v>12220.44</v>
      </c>
      <c r="N47" s="5">
        <f t="shared" ca="1" si="1"/>
        <v>12220.44</v>
      </c>
      <c r="O47" s="14">
        <v>8.44</v>
      </c>
      <c r="P47" s="14"/>
      <c r="Q47" s="4">
        <f t="shared" ca="1" si="27"/>
        <v>46140</v>
      </c>
      <c r="S47" s="1">
        <f t="shared" si="3"/>
        <v>400</v>
      </c>
      <c r="T47" s="5">
        <f t="shared" ca="1" si="4"/>
        <v>38.47</v>
      </c>
      <c r="U47" s="5">
        <f t="shared" ca="1" si="5"/>
        <v>15379.56</v>
      </c>
      <c r="V47" s="5">
        <f t="shared" ca="1" si="6"/>
        <v>15379.56</v>
      </c>
      <c r="W47" s="14">
        <v>8.44</v>
      </c>
      <c r="X47" s="17"/>
      <c r="Y47" s="30">
        <f t="shared" si="7"/>
        <v>0</v>
      </c>
      <c r="Z47" s="30">
        <f t="shared" ca="1" si="8"/>
        <v>0</v>
      </c>
      <c r="AA47" s="14"/>
      <c r="AB47" s="170">
        <f t="shared" ca="1" si="9"/>
        <v>3159.119999999999</v>
      </c>
      <c r="AC47" s="168">
        <f t="shared" ca="1" si="10"/>
        <v>2496.2495853668825</v>
      </c>
      <c r="AD47" s="28">
        <f t="shared" ca="1" si="11"/>
        <v>0.25851115017135218</v>
      </c>
      <c r="AE47" s="48">
        <f ca="1">+Z47/$Z$393</f>
        <v>0</v>
      </c>
      <c r="AF47" s="48">
        <f ca="1">+N47/$N$259</f>
        <v>5.7121056903338694E-3</v>
      </c>
      <c r="AG47" s="204">
        <f ca="1">AVERAGE($AF$5:$AF$257)</f>
        <v>3.9682539682539663E-3</v>
      </c>
      <c r="AH47" s="1" t="str">
        <f t="shared" ca="1" si="12"/>
        <v>si</v>
      </c>
      <c r="AI47" s="28" t="str">
        <f t="shared" ca="1" si="13"/>
        <v>-</v>
      </c>
    </row>
    <row r="48" spans="1:35" x14ac:dyDescent="0.2">
      <c r="A48" s="14">
        <v>1</v>
      </c>
      <c r="B48" s="14" t="e" vm="29">
        <v>#VALUE!</v>
      </c>
      <c r="C48" s="14"/>
      <c r="D48" s="1" t="str" cm="1">
        <f t="array" aca="1" ref="D48" ca="1">_FV(B48,"Ticker symbol",TRUE)</f>
        <v>BMW</v>
      </c>
      <c r="E48" s="27" cm="1">
        <f t="array" aca="1" ref="E48" ca="1">_FV(B48,"Price")</f>
        <v>79.8</v>
      </c>
      <c r="F48" s="27" cm="1">
        <f t="array" aca="1" ref="F48" ca="1">_FV(B48,"open")</f>
        <v>79.88</v>
      </c>
      <c r="G48" s="5" t="str" cm="1">
        <f t="array" aca="1" ref="G48" ca="1">_FV(B48,"Currency")</f>
        <v>EUR</v>
      </c>
      <c r="H48" s="5" t="s">
        <v>183</v>
      </c>
      <c r="I48" s="16">
        <v>45706</v>
      </c>
      <c r="J48" s="18"/>
      <c r="K48" s="14">
        <v>120</v>
      </c>
      <c r="L48" s="19">
        <v>83.62</v>
      </c>
      <c r="M48" s="5">
        <f t="shared" si="0"/>
        <v>10049.400000000001</v>
      </c>
      <c r="N48" s="5">
        <f t="shared" ca="1" si="1"/>
        <v>10049.400000000001</v>
      </c>
      <c r="O48" s="14">
        <v>15</v>
      </c>
      <c r="P48" s="14"/>
      <c r="Q48" s="4">
        <f t="shared" ca="1" si="27"/>
        <v>46140</v>
      </c>
      <c r="S48" s="1">
        <f t="shared" ref="S48:S89" si="28">+K48</f>
        <v>120</v>
      </c>
      <c r="T48" s="5">
        <f t="shared" ca="1" si="4"/>
        <v>79.8</v>
      </c>
      <c r="U48" s="5">
        <f t="shared" ca="1" si="5"/>
        <v>9561</v>
      </c>
      <c r="V48" s="5">
        <f t="shared" ca="1" si="6"/>
        <v>9561</v>
      </c>
      <c r="W48" s="14">
        <v>15</v>
      </c>
      <c r="Y48" s="30">
        <f t="shared" ref="Y48:Y89" si="29">IF(A48=0,V48-N48,0)</f>
        <v>0</v>
      </c>
      <c r="Z48" s="30">
        <f t="shared" ref="Z48:Z89" ca="1" si="30">+Y48-(Y48*$AA$1)</f>
        <v>0</v>
      </c>
      <c r="AB48" s="170">
        <f t="shared" ca="1" si="9"/>
        <v>-488.40000000000146</v>
      </c>
      <c r="AC48" s="168">
        <f t="shared" ca="1" si="10"/>
        <v>-385.92022382599879</v>
      </c>
      <c r="AD48" s="28">
        <f t="shared" ca="1" si="11"/>
        <v>-4.8599916412920274E-2</v>
      </c>
      <c r="AE48" s="48">
        <f ca="1">+Z48/$Z$393</f>
        <v>0</v>
      </c>
      <c r="AF48" s="48">
        <f ca="1">+N48/$N$259</f>
        <v>4.6973132656795659E-3</v>
      </c>
      <c r="AG48" s="204">
        <f ca="1">AVERAGE($AF$5:$AF$257)</f>
        <v>3.9682539682539663E-3</v>
      </c>
      <c r="AH48" s="1" t="str">
        <f t="shared" ca="1" si="12"/>
        <v>si</v>
      </c>
      <c r="AI48" s="28" t="str">
        <f t="shared" ref="AI48:AI89" ca="1" si="31">IF(G48="USD",+R48/J48-1,"-")</f>
        <v>-</v>
      </c>
    </row>
    <row r="49" spans="1:35" x14ac:dyDescent="0.2">
      <c r="A49" s="14">
        <v>1</v>
      </c>
      <c r="B49" s="14" t="e" vm="30">
        <v>#VALUE!</v>
      </c>
      <c r="C49" s="14"/>
      <c r="D49" s="1" t="str" cm="1">
        <f t="array" aca="1" ref="D49" ca="1">_FV(B49,"Ticker symbol",TRUE)</f>
        <v>BEI</v>
      </c>
      <c r="E49" s="27" cm="1">
        <f t="array" aca="1" ref="E49" ca="1">_FV(B49,"Price")</f>
        <v>72.2</v>
      </c>
      <c r="F49" s="27" cm="1">
        <f t="array" aca="1" ref="F49" ca="1">_FV(B49,"open")</f>
        <v>72.599999999999994</v>
      </c>
      <c r="G49" s="5" t="str" cm="1">
        <f t="array" aca="1" ref="G49" ca="1">_FV(B49,"Currency")</f>
        <v>EUR</v>
      </c>
      <c r="H49" s="5" t="s">
        <v>183</v>
      </c>
      <c r="I49" s="16">
        <v>45950</v>
      </c>
      <c r="J49" s="18"/>
      <c r="K49" s="14">
        <v>130</v>
      </c>
      <c r="L49" s="19">
        <v>94.92</v>
      </c>
      <c r="M49" s="5">
        <f>+K49*L49+O49</f>
        <v>12354.6</v>
      </c>
      <c r="N49" s="5">
        <f ca="1">IF(G49="USD",M49*J49,+K49*L49+O49)</f>
        <v>12354.6</v>
      </c>
      <c r="O49" s="14">
        <v>15</v>
      </c>
      <c r="P49" s="14"/>
      <c r="Q49" s="4">
        <f t="shared" ca="1" si="27"/>
        <v>46140</v>
      </c>
      <c r="S49" s="1">
        <f t="shared" si="28"/>
        <v>130</v>
      </c>
      <c r="T49" s="5">
        <f ca="1">+E49</f>
        <v>72.2</v>
      </c>
      <c r="U49" s="5">
        <f ca="1">+S49*T49-W49</f>
        <v>9371</v>
      </c>
      <c r="V49" s="5">
        <f ca="1">IF(G49="USD",U49*R49,+S49*T49-W49)</f>
        <v>9371</v>
      </c>
      <c r="W49" s="14">
        <v>15</v>
      </c>
      <c r="X49" s="17"/>
      <c r="Y49" s="30">
        <f t="shared" si="29"/>
        <v>0</v>
      </c>
      <c r="Z49" s="30">
        <f t="shared" ca="1" si="30"/>
        <v>0</v>
      </c>
      <c r="AA49" s="14"/>
      <c r="AB49" s="170">
        <f ca="1">IF(A49=1,+V49-N49,0)</f>
        <v>-2983.6000000000004</v>
      </c>
      <c r="AC49" s="168">
        <f ca="1">+AB49-(AB49*$AA$1)</f>
        <v>-2357.5585172138549</v>
      </c>
      <c r="AD49" s="28">
        <f ca="1">+U49/M49-1</f>
        <v>-0.24149709419973131</v>
      </c>
      <c r="AE49" s="48">
        <f ca="1">+Z49/$Z$393</f>
        <v>0</v>
      </c>
      <c r="AF49" s="48">
        <f ca="1">+N49/$N$259</f>
        <v>5.7748150608160449E-3</v>
      </c>
      <c r="AG49" s="204">
        <f ca="1">AVERAGE($AF$5:$AF$257)</f>
        <v>3.9682539682539663E-3</v>
      </c>
      <c r="AH49" s="1" t="str">
        <f ca="1">IF(AF49&lt;AG49,"no","si")</f>
        <v>si</v>
      </c>
      <c r="AI49" s="28" t="str">
        <f t="shared" ca="1" si="31"/>
        <v>-</v>
      </c>
    </row>
    <row r="50" spans="1:35" x14ac:dyDescent="0.2">
      <c r="A50" s="15">
        <v>1</v>
      </c>
      <c r="B50" s="1" t="e" vm="31">
        <v>#VALUE!</v>
      </c>
      <c r="D50" s="1" t="str" cm="1">
        <f t="array" aca="1" ref="D50" ca="1">_FV(B50,"Ticker symbol",TRUE)</f>
        <v>BSY</v>
      </c>
      <c r="E50" s="25" cm="1">
        <f t="array" aca="1" ref="E50" ca="1">_FV(B50,"Price")</f>
        <v>32.83</v>
      </c>
      <c r="F50" s="25" cm="1">
        <f t="array" aca="1" ref="F50" ca="1">_FV(B50,"open")</f>
        <v>33.24</v>
      </c>
      <c r="G50" s="5" t="str" cm="1">
        <f t="array" aca="1" ref="G50" ca="1">_FV(B50,"Currency")</f>
        <v>USD</v>
      </c>
      <c r="H50" s="5" t="s">
        <v>128</v>
      </c>
      <c r="I50" s="4">
        <v>45432</v>
      </c>
      <c r="J50" s="172">
        <v>0.92647999999999997</v>
      </c>
      <c r="K50" s="14">
        <v>133</v>
      </c>
      <c r="L50" s="19">
        <v>56.5</v>
      </c>
      <c r="M50" s="5">
        <f t="shared" si="0"/>
        <v>7515.5</v>
      </c>
      <c r="N50" s="5">
        <f t="shared" ca="1" si="1"/>
        <v>6962.9604399999998</v>
      </c>
      <c r="O50" s="14">
        <v>1</v>
      </c>
      <c r="P50" s="14"/>
      <c r="Q50" s="4">
        <f t="shared" ca="1" si="27"/>
        <v>46140</v>
      </c>
      <c r="R50" s="8">
        <f ca="1">+$M$551</f>
        <v>0.85299999999999998</v>
      </c>
      <c r="S50" s="1">
        <f t="shared" si="28"/>
        <v>133</v>
      </c>
      <c r="T50" s="5">
        <f t="shared" ca="1" si="4"/>
        <v>32.83</v>
      </c>
      <c r="U50" s="5">
        <f t="shared" ca="1" si="5"/>
        <v>4365.3899999999994</v>
      </c>
      <c r="V50" s="5">
        <f t="shared" ca="1" si="6"/>
        <v>3723.6776699999996</v>
      </c>
      <c r="W50" s="1">
        <v>1</v>
      </c>
      <c r="X50" s="26"/>
      <c r="Y50" s="30">
        <f t="shared" si="29"/>
        <v>0</v>
      </c>
      <c r="Z50" s="30">
        <f t="shared" ca="1" si="30"/>
        <v>0</v>
      </c>
      <c r="AA50" s="25"/>
      <c r="AB50" s="170">
        <f t="shared" ca="1" si="9"/>
        <v>-3239.2827700000003</v>
      </c>
      <c r="AC50" s="168">
        <f t="shared" ca="1" si="10"/>
        <v>-2559.5919976128125</v>
      </c>
      <c r="AD50" s="28">
        <f t="shared" ca="1" si="11"/>
        <v>-0.41914842658505758</v>
      </c>
      <c r="AE50" s="48">
        <f ca="1">+Z50/$Z$393</f>
        <v>0</v>
      </c>
      <c r="AF50" s="48">
        <f ca="1">+N50/$N$259</f>
        <v>3.2546427093372758E-3</v>
      </c>
      <c r="AG50" s="204">
        <f ca="1">AVERAGE($AF$5:$AF$257)</f>
        <v>3.9682539682539663E-3</v>
      </c>
      <c r="AH50" s="1" t="str">
        <f t="shared" ca="1" si="12"/>
        <v>no</v>
      </c>
      <c r="AI50" s="28">
        <f t="shared" ca="1" si="31"/>
        <v>-7.9310940333304547E-2</v>
      </c>
    </row>
    <row r="51" spans="1:35" x14ac:dyDescent="0.2">
      <c r="A51" s="14">
        <v>1</v>
      </c>
      <c r="B51" s="14" t="e" vm="32">
        <v>#VALUE!</v>
      </c>
      <c r="C51" s="14"/>
      <c r="D51" s="1" t="str" cm="1">
        <f t="array" aca="1" ref="D51" ca="1">_FV(B51,"Ticker symbol",TRUE)</f>
        <v>BCRX</v>
      </c>
      <c r="E51" s="25" cm="1">
        <f t="array" aca="1" ref="E51" ca="1">_FV(B51,"Price")</f>
        <v>8.9</v>
      </c>
      <c r="F51" s="25" cm="1">
        <f t="array" aca="1" ref="F51" ca="1">_FV(B51,"open")</f>
        <v>8.8800000000000008</v>
      </c>
      <c r="G51" s="5" t="str" cm="1">
        <f t="array" aca="1" ref="G51" ca="1">_FV(B51,"Currency")</f>
        <v>USD</v>
      </c>
      <c r="H51" s="5" t="s">
        <v>183</v>
      </c>
      <c r="I51" s="16">
        <v>45531</v>
      </c>
      <c r="J51" s="172">
        <v>0.90027999999999997</v>
      </c>
      <c r="K51" s="14">
        <v>487</v>
      </c>
      <c r="L51" s="19">
        <v>8.2085000000000008</v>
      </c>
      <c r="M51" s="5">
        <f t="shared" si="0"/>
        <v>4012.5395000000003</v>
      </c>
      <c r="N51" s="5">
        <f t="shared" ca="1" si="1"/>
        <v>3612.4090610600001</v>
      </c>
      <c r="O51" s="14">
        <v>15</v>
      </c>
      <c r="P51" s="14"/>
      <c r="Q51" s="4">
        <f t="shared" ca="1" si="27"/>
        <v>46140</v>
      </c>
      <c r="R51" s="8">
        <f ca="1">+$M$551</f>
        <v>0.85299999999999998</v>
      </c>
      <c r="S51" s="1">
        <f t="shared" si="28"/>
        <v>487</v>
      </c>
      <c r="T51" s="5">
        <f t="shared" ca="1" si="4"/>
        <v>8.9</v>
      </c>
      <c r="U51" s="5">
        <f t="shared" ca="1" si="5"/>
        <v>4319.3</v>
      </c>
      <c r="V51" s="5">
        <f t="shared" ca="1" si="6"/>
        <v>3684.3629000000001</v>
      </c>
      <c r="W51" s="14">
        <v>15</v>
      </c>
      <c r="X51" s="17"/>
      <c r="Y51" s="30">
        <f t="shared" si="29"/>
        <v>0</v>
      </c>
      <c r="Z51" s="30">
        <f t="shared" ca="1" si="30"/>
        <v>0</v>
      </c>
      <c r="AA51" s="14"/>
      <c r="AB51" s="170">
        <f t="shared" ca="1" si="9"/>
        <v>71.953838939999969</v>
      </c>
      <c r="AC51" s="168">
        <f t="shared" ca="1" si="10"/>
        <v>56.855941091041302</v>
      </c>
      <c r="AD51" s="28">
        <f t="shared" ca="1" si="11"/>
        <v>7.6450462356819182E-2</v>
      </c>
      <c r="AE51" s="48">
        <f ca="1">+Z51/$Z$393</f>
        <v>0</v>
      </c>
      <c r="AF51" s="48">
        <f ca="1">+N51/$N$259</f>
        <v>1.6885204095347186E-3</v>
      </c>
      <c r="AG51" s="204">
        <f ca="1">AVERAGE($AF$5:$AF$257)</f>
        <v>3.9682539682539663E-3</v>
      </c>
      <c r="AH51" s="1" t="str">
        <f t="shared" ca="1" si="12"/>
        <v>no</v>
      </c>
      <c r="AI51" s="28">
        <f t="shared" ca="1" si="31"/>
        <v>-5.251699471275606E-2</v>
      </c>
    </row>
    <row r="52" spans="1:35" x14ac:dyDescent="0.2">
      <c r="A52" s="14">
        <v>1</v>
      </c>
      <c r="B52" s="14" t="e" vm="33">
        <v>#VALUE!</v>
      </c>
      <c r="C52" s="14"/>
      <c r="D52" s="1" t="str" cm="1">
        <f t="array" aca="1" ref="D52" ca="1">_FV(B52,"Ticker symbol",TRUE)</f>
        <v>BTDR</v>
      </c>
      <c r="E52" s="25" cm="1">
        <f t="array" aca="1" ref="E52" ca="1">_FV(B52,"Price")</f>
        <v>11.51</v>
      </c>
      <c r="F52" s="25" cm="1">
        <f t="array" aca="1" ref="F52" ca="1">_FV(B52,"open")</f>
        <v>12.06</v>
      </c>
      <c r="G52" s="5" t="str" cm="1">
        <f t="array" aca="1" ref="G52" ca="1">_FV(B52,"Currency")</f>
        <v>USD</v>
      </c>
      <c r="H52" s="5" t="s">
        <v>183</v>
      </c>
      <c r="I52" s="16">
        <v>46121</v>
      </c>
      <c r="J52" s="172">
        <v>0.85919999999999996</v>
      </c>
      <c r="K52" s="14">
        <v>772</v>
      </c>
      <c r="L52" s="19">
        <v>9.9499999999999993</v>
      </c>
      <c r="M52" s="5">
        <f>+K52*L52+O52</f>
        <v>7696.4</v>
      </c>
      <c r="N52" s="5">
        <f ca="1">IF(G52="USD",M52*J52,+K52*L52+O52)</f>
        <v>6612.7468799999997</v>
      </c>
      <c r="O52" s="14">
        <v>15</v>
      </c>
      <c r="P52" s="14"/>
      <c r="Q52" s="4">
        <f t="shared" ca="1" si="27"/>
        <v>46140</v>
      </c>
      <c r="R52" s="8">
        <f ca="1">+$M$551</f>
        <v>0.85299999999999998</v>
      </c>
      <c r="S52" s="1">
        <f>+K52</f>
        <v>772</v>
      </c>
      <c r="T52" s="5">
        <f ca="1">+E52</f>
        <v>11.51</v>
      </c>
      <c r="U52" s="5">
        <f ca="1">+S52*T52-W52</f>
        <v>8870.7199999999993</v>
      </c>
      <c r="V52" s="5">
        <f ca="1">IF(G52="USD",U52*R52,+S52*T52-W52)</f>
        <v>7566.7241599999988</v>
      </c>
      <c r="W52" s="14">
        <v>15</v>
      </c>
      <c r="X52" s="17"/>
      <c r="Y52" s="30">
        <f>IF(A52=0,V52-N52,0)</f>
        <v>0</v>
      </c>
      <c r="Z52" s="30">
        <f ca="1">+Y52-(Y52*$AA$1)</f>
        <v>0</v>
      </c>
      <c r="AA52" s="14"/>
      <c r="AB52" s="170">
        <f ca="1">IF(A52=1,+V52-N52,0)</f>
        <v>953.97727999999915</v>
      </c>
      <c r="AC52" s="168">
        <f ca="1">+AB52-(AB52*$AA$1)</f>
        <v>753.80656310916481</v>
      </c>
      <c r="AD52" s="28">
        <f ca="1">+U52/M52-1</f>
        <v>0.15258042721272269</v>
      </c>
      <c r="AE52" s="48">
        <f ca="1">+Z52/$Z$393</f>
        <v>0</v>
      </c>
      <c r="AF52" s="48">
        <f ca="1">+N52/$N$259</f>
        <v>3.0909450954290955E-3</v>
      </c>
      <c r="AG52" s="204">
        <f ca="1">AVERAGE($AF$5:$AF$257)</f>
        <v>3.9682539682539663E-3</v>
      </c>
      <c r="AH52" s="1" t="str">
        <f ca="1">IF(AF52&lt;AG52,"no","si")</f>
        <v>no</v>
      </c>
      <c r="AI52" s="28">
        <f ca="1">IF(G52="USD",+R52/J52-1,"-")</f>
        <v>-7.2160148975791705E-3</v>
      </c>
    </row>
    <row r="53" spans="1:35" x14ac:dyDescent="0.2">
      <c r="A53" s="1">
        <v>1</v>
      </c>
      <c r="B53" s="1" t="e" vm="34">
        <v>#VALUE!</v>
      </c>
      <c r="D53" s="1" t="str" cm="1">
        <f t="array" aca="1" ref="D53" ca="1">_FV(B53,"Ticker symbol",TRUE)</f>
        <v>BHVN</v>
      </c>
      <c r="E53" s="25" cm="1">
        <f t="array" aca="1" ref="E53" ca="1">_FV(B53,"Price")</f>
        <v>9.59</v>
      </c>
      <c r="F53" s="25" cm="1">
        <f t="array" aca="1" ref="F53" ca="1">_FV(B53,"open")</f>
        <v>9.77</v>
      </c>
      <c r="G53" s="5" t="str" cm="1">
        <f t="array" aca="1" ref="G53" ca="1">_FV(B53,"Currency")</f>
        <v>USD</v>
      </c>
      <c r="H53" s="5" t="s">
        <v>128</v>
      </c>
      <c r="I53" s="4">
        <v>45356</v>
      </c>
      <c r="J53" s="172">
        <v>0.94027000000000005</v>
      </c>
      <c r="K53" s="1">
        <v>150</v>
      </c>
      <c r="L53" s="10">
        <v>56.05</v>
      </c>
      <c r="M53" s="5">
        <f t="shared" si="0"/>
        <v>8409.5</v>
      </c>
      <c r="N53" s="5">
        <f t="shared" ca="1" si="1"/>
        <v>7907.2005650000001</v>
      </c>
      <c r="O53" s="1">
        <v>2</v>
      </c>
      <c r="Q53" s="4">
        <f t="shared" ca="1" si="27"/>
        <v>46140</v>
      </c>
      <c r="R53" s="8">
        <f ca="1">+$M$551</f>
        <v>0.85299999999999998</v>
      </c>
      <c r="S53" s="1">
        <f t="shared" si="28"/>
        <v>150</v>
      </c>
      <c r="T53" s="5">
        <f t="shared" ca="1" si="4"/>
        <v>9.59</v>
      </c>
      <c r="U53" s="5">
        <f t="shared" ca="1" si="5"/>
        <v>1436.5</v>
      </c>
      <c r="V53" s="5">
        <f t="shared" ca="1" si="6"/>
        <v>1225.3344999999999</v>
      </c>
      <c r="W53" s="1">
        <v>2</v>
      </c>
      <c r="Y53" s="30">
        <f t="shared" si="29"/>
        <v>0</v>
      </c>
      <c r="Z53" s="30">
        <f t="shared" ca="1" si="30"/>
        <v>0</v>
      </c>
      <c r="AB53" s="170">
        <f t="shared" ca="1" si="9"/>
        <v>-6681.8660650000002</v>
      </c>
      <c r="AC53" s="168">
        <f t="shared" ca="1" si="10"/>
        <v>-5279.8264688373019</v>
      </c>
      <c r="AD53" s="28">
        <f t="shared" ca="1" si="11"/>
        <v>-0.82918128307271544</v>
      </c>
      <c r="AE53" s="48">
        <f ca="1">+Z53/$Z$393</f>
        <v>0</v>
      </c>
      <c r="AF53" s="48">
        <f ca="1">+N53/$N$259</f>
        <v>3.6960015631145593E-3</v>
      </c>
      <c r="AG53" s="204">
        <f ca="1">AVERAGE($AF$5:$AF$257)</f>
        <v>3.9682539682539663E-3</v>
      </c>
      <c r="AH53" s="1" t="str">
        <f t="shared" ca="1" si="12"/>
        <v>no</v>
      </c>
      <c r="AI53" s="28">
        <f t="shared" ca="1" si="31"/>
        <v>-9.2813766258627917E-2</v>
      </c>
    </row>
    <row r="54" spans="1:35" x14ac:dyDescent="0.2">
      <c r="A54" s="14">
        <v>1</v>
      </c>
      <c r="B54" s="14" t="e" vm="35">
        <v>#VALUE!</v>
      </c>
      <c r="C54" s="14"/>
      <c r="D54" s="1" t="str" cm="1">
        <f t="array" aca="1" ref="D54" ca="1">_FV(B54,"Ticker symbol",TRUE)</f>
        <v>BNR</v>
      </c>
      <c r="E54" s="27" cm="1">
        <f t="array" aca="1" ref="E54" ca="1">_FV(B54,"Price")</f>
        <v>60.28</v>
      </c>
      <c r="F54" s="27" cm="1">
        <f t="array" aca="1" ref="F54" ca="1">_FV(B54,"open")</f>
        <v>59.82</v>
      </c>
      <c r="G54" s="5" t="str" cm="1">
        <f t="array" aca="1" ref="G54" ca="1">_FV(B54,"Currency")</f>
        <v>EUR</v>
      </c>
      <c r="H54" s="5" t="s">
        <v>183</v>
      </c>
      <c r="I54" s="16">
        <v>46111</v>
      </c>
      <c r="J54" s="18"/>
      <c r="K54" s="14">
        <v>195</v>
      </c>
      <c r="L54" s="19">
        <v>57.45</v>
      </c>
      <c r="M54" s="5">
        <f>+K54*L54+O54</f>
        <v>11217.75</v>
      </c>
      <c r="N54" s="5">
        <f ca="1">IF(G54="USD",M54*J54,+K54*L54+O54)</f>
        <v>11217.75</v>
      </c>
      <c r="O54" s="14">
        <v>15</v>
      </c>
      <c r="P54" s="14"/>
      <c r="Q54" s="4">
        <f t="shared" ca="1" si="27"/>
        <v>46140</v>
      </c>
      <c r="S54" s="1">
        <f>+K54</f>
        <v>195</v>
      </c>
      <c r="T54" s="5">
        <f ca="1">+E54</f>
        <v>60.28</v>
      </c>
      <c r="U54" s="5">
        <f ca="1">+S54*T54-W54</f>
        <v>11739.6</v>
      </c>
      <c r="V54" s="5">
        <f ca="1">IF(G54="USD",U54*R54,+S54*T54-W54)</f>
        <v>11739.6</v>
      </c>
      <c r="W54" s="14">
        <v>15</v>
      </c>
      <c r="X54" s="17"/>
      <c r="Y54" s="30">
        <f>IF(A54=0,V54-N54,0)</f>
        <v>0</v>
      </c>
      <c r="Z54" s="30">
        <f ca="1">+Y54-(Y54*$AA$1)</f>
        <v>0</v>
      </c>
      <c r="AA54" s="14"/>
      <c r="AB54" s="170">
        <f ca="1">IF(A54=1,+V54-N54,0)</f>
        <v>521.85000000000036</v>
      </c>
      <c r="AC54" s="168">
        <f ca="1">+AB54-(AB54*$AA$1)</f>
        <v>412.35149222685709</v>
      </c>
      <c r="AD54" s="28">
        <f ca="1">+U54/M54-1</f>
        <v>4.6520024068997801E-2</v>
      </c>
      <c r="AE54" s="48">
        <f ca="1">+Z54/$Z$393</f>
        <v>0</v>
      </c>
      <c r="AF54" s="48">
        <f ca="1">+N54/$N$259</f>
        <v>5.2434260638522644E-3</v>
      </c>
      <c r="AG54" s="204">
        <f ca="1">AVERAGE($AF$5:$AF$257)</f>
        <v>3.9682539682539663E-3</v>
      </c>
      <c r="AH54" s="1" t="str">
        <f ca="1">IF(AF54&lt;AG54,"no","si")</f>
        <v>si</v>
      </c>
      <c r="AI54" s="28" t="str">
        <f ca="1">IF(G54="USD",+R54/J54-1,"-")</f>
        <v>-</v>
      </c>
    </row>
    <row r="55" spans="1:35" x14ac:dyDescent="0.2">
      <c r="A55" s="15">
        <v>1</v>
      </c>
      <c r="B55" s="1" t="e" vm="36">
        <v>#VALUE!</v>
      </c>
      <c r="D55" s="1" t="str" cm="1">
        <f t="array" aca="1" ref="D55" ca="1">_FV(B55,"Ticker symbol",TRUE)</f>
        <v>AI</v>
      </c>
      <c r="E55" s="25" cm="1">
        <f t="array" aca="1" ref="E55" ca="1">_FV(B55,"Price")</f>
        <v>8.7949999999999999</v>
      </c>
      <c r="F55" s="25" cm="1">
        <f t="array" aca="1" ref="F55" ca="1">_FV(B55,"open")</f>
        <v>8.65</v>
      </c>
      <c r="G55" s="5" t="str" cm="1">
        <f t="array" aca="1" ref="G55" ca="1">_FV(B55,"Currency")</f>
        <v>USD</v>
      </c>
      <c r="H55" s="5" t="s">
        <v>183</v>
      </c>
      <c r="I55" s="4">
        <v>45693</v>
      </c>
      <c r="J55" s="172">
        <v>0.96319999999999995</v>
      </c>
      <c r="K55" s="14">
        <v>235</v>
      </c>
      <c r="L55" s="19">
        <v>33.83</v>
      </c>
      <c r="M55" s="5">
        <f t="shared" si="0"/>
        <v>7965.0499999999993</v>
      </c>
      <c r="N55" s="5">
        <f t="shared" ca="1" si="1"/>
        <v>7671.9361599999993</v>
      </c>
      <c r="O55" s="14">
        <v>15</v>
      </c>
      <c r="P55" s="14"/>
      <c r="Q55" s="4">
        <f t="shared" ca="1" si="27"/>
        <v>46140</v>
      </c>
      <c r="R55" s="8">
        <f ca="1">+$M$551</f>
        <v>0.85299999999999998</v>
      </c>
      <c r="S55" s="1">
        <f t="shared" si="28"/>
        <v>235</v>
      </c>
      <c r="T55" s="5">
        <f t="shared" ca="1" si="4"/>
        <v>8.7949999999999999</v>
      </c>
      <c r="U55" s="5">
        <f t="shared" ca="1" si="5"/>
        <v>2051.8249999999998</v>
      </c>
      <c r="V55" s="5">
        <f t="shared" ca="1" si="6"/>
        <v>1750.2067249999998</v>
      </c>
      <c r="W55" s="1">
        <v>15</v>
      </c>
      <c r="X55" s="26"/>
      <c r="Y55" s="30">
        <f t="shared" si="29"/>
        <v>0</v>
      </c>
      <c r="Z55" s="30">
        <f t="shared" ca="1" si="30"/>
        <v>0</v>
      </c>
      <c r="AA55" s="25"/>
      <c r="AB55" s="170">
        <f t="shared" ca="1" si="9"/>
        <v>-5921.7294349999993</v>
      </c>
      <c r="AC55" s="168">
        <f t="shared" ca="1" si="10"/>
        <v>-4679.1874467489724</v>
      </c>
      <c r="AD55" s="28">
        <f t="shared" ca="1" si="11"/>
        <v>-0.74239646957646221</v>
      </c>
      <c r="AE55" s="48">
        <f ca="1">+Z55/$Z$393</f>
        <v>0</v>
      </c>
      <c r="AF55" s="48">
        <f ca="1">+N55/$N$259</f>
        <v>3.5860337430906066E-3</v>
      </c>
      <c r="AG55" s="204">
        <f ca="1">AVERAGE($AF$5:$AF$257)</f>
        <v>3.9682539682539663E-3</v>
      </c>
      <c r="AH55" s="1" t="str">
        <f t="shared" ca="1" si="12"/>
        <v>no</v>
      </c>
      <c r="AI55" s="28">
        <f t="shared" ca="1" si="31"/>
        <v>-0.11441029900332222</v>
      </c>
    </row>
    <row r="56" spans="1:35" x14ac:dyDescent="0.2">
      <c r="A56" s="14">
        <v>1</v>
      </c>
      <c r="B56" s="14" t="e" vm="37">
        <v>#VALUE!</v>
      </c>
      <c r="C56" s="14"/>
      <c r="D56" s="1" t="str" cm="1">
        <f t="array" aca="1" ref="D56" ca="1">_FV(B56,"Ticker symbol",TRUE)</f>
        <v>CABK</v>
      </c>
      <c r="E56" s="27" cm="1">
        <f t="array" aca="1" ref="E56" ca="1">_FV(B56,"Price")</f>
        <v>10.36</v>
      </c>
      <c r="F56" s="27" cm="1">
        <f t="array" aca="1" ref="F56" ca="1">_FV(B56,"open")</f>
        <v>10.4</v>
      </c>
      <c r="G56" s="5" t="str" cm="1">
        <f t="array" aca="1" ref="G56" ca="1">_FV(B56,"Currency")</f>
        <v>EUR</v>
      </c>
      <c r="H56" s="5" t="s">
        <v>240</v>
      </c>
      <c r="I56" s="16">
        <v>43099</v>
      </c>
      <c r="J56" s="18"/>
      <c r="K56" s="14">
        <f>4407+1643</f>
        <v>6050</v>
      </c>
      <c r="L56" s="19">
        <v>4.8890000000000002</v>
      </c>
      <c r="M56" s="5">
        <f t="shared" si="0"/>
        <v>29604.400000000001</v>
      </c>
      <c r="N56" s="5">
        <f t="shared" ca="1" si="1"/>
        <v>29604.400000000001</v>
      </c>
      <c r="O56" s="14">
        <f>11+14.95</f>
        <v>25.95</v>
      </c>
      <c r="P56" s="14"/>
      <c r="Q56" s="4">
        <f t="shared" ca="1" si="27"/>
        <v>46140</v>
      </c>
      <c r="S56" s="1">
        <f t="shared" si="28"/>
        <v>6050</v>
      </c>
      <c r="T56" s="5">
        <f t="shared" ca="1" si="4"/>
        <v>10.36</v>
      </c>
      <c r="U56" s="5">
        <f t="shared" ca="1" si="5"/>
        <v>62657</v>
      </c>
      <c r="V56" s="5">
        <f t="shared" ca="1" si="6"/>
        <v>62657</v>
      </c>
      <c r="W56" s="14">
        <v>21</v>
      </c>
      <c r="Y56" s="30">
        <f t="shared" si="29"/>
        <v>0</v>
      </c>
      <c r="Z56" s="30">
        <f t="shared" ca="1" si="30"/>
        <v>0</v>
      </c>
      <c r="AB56" s="170">
        <f t="shared" ca="1" si="9"/>
        <v>33052.6</v>
      </c>
      <c r="AC56" s="168">
        <f t="shared" ca="1" si="10"/>
        <v>26117.253869842691</v>
      </c>
      <c r="AD56" s="28">
        <f t="shared" ca="1" si="11"/>
        <v>1.1164759292537596</v>
      </c>
      <c r="AE56" s="48">
        <f ca="1">+Z56/$Z$393</f>
        <v>0</v>
      </c>
      <c r="AF56" s="48">
        <f ca="1">+N56/$N$259</f>
        <v>1.3837755571724095E-2</v>
      </c>
      <c r="AG56" s="204">
        <f ca="1">AVERAGE($AF$5:$AF$257)</f>
        <v>3.9682539682539663E-3</v>
      </c>
      <c r="AH56" s="1" t="str">
        <f t="shared" ca="1" si="12"/>
        <v>si</v>
      </c>
      <c r="AI56" s="28" t="str">
        <f t="shared" ca="1" si="31"/>
        <v>-</v>
      </c>
    </row>
    <row r="57" spans="1:35" x14ac:dyDescent="0.2">
      <c r="A57" s="15">
        <v>1</v>
      </c>
      <c r="B57" s="1" t="e" vm="38">
        <v>#VALUE!</v>
      </c>
      <c r="D57" s="1" t="str" cm="1">
        <f t="array" aca="1" ref="D57" ca="1">_FV(B57,"Ticker symbol",TRUE)</f>
        <v>CZR</v>
      </c>
      <c r="E57" s="25" cm="1">
        <f t="array" aca="1" ref="E57" ca="1">_FV(B57,"Price")</f>
        <v>28.03</v>
      </c>
      <c r="F57" s="25" cm="1">
        <f t="array" aca="1" ref="F57" ca="1">_FV(B57,"open")</f>
        <v>28.04</v>
      </c>
      <c r="G57" s="5" t="str" cm="1">
        <f t="array" aca="1" ref="G57" ca="1">_FV(B57,"Currency")</f>
        <v>USD</v>
      </c>
      <c r="H57" s="5" t="s">
        <v>128</v>
      </c>
      <c r="I57" s="4">
        <v>46091</v>
      </c>
      <c r="J57" s="172">
        <v>0.85960000000000003</v>
      </c>
      <c r="K57" s="14">
        <v>400</v>
      </c>
      <c r="L57" s="19">
        <v>25.25</v>
      </c>
      <c r="M57" s="5">
        <f>+K57*L57+O57</f>
        <v>10102</v>
      </c>
      <c r="N57" s="5">
        <f ca="1">IF(G57="USD",M57*J57,+K57*L57+O57)</f>
        <v>8683.6792000000005</v>
      </c>
      <c r="O57" s="14">
        <v>2</v>
      </c>
      <c r="P57" s="14"/>
      <c r="Q57" s="4">
        <f t="shared" ca="1" si="27"/>
        <v>46140</v>
      </c>
      <c r="R57" s="8">
        <f ca="1">+$M$551</f>
        <v>0.85299999999999998</v>
      </c>
      <c r="S57" s="1">
        <f>+K57</f>
        <v>400</v>
      </c>
      <c r="T57" s="5">
        <f ca="1">+E57</f>
        <v>28.03</v>
      </c>
      <c r="U57" s="5">
        <f ca="1">+S57*T57-W57</f>
        <v>11211</v>
      </c>
      <c r="V57" s="5">
        <f ca="1">IF(G57="USD",U57*R57,+S57*T57-W57)</f>
        <v>9562.9830000000002</v>
      </c>
      <c r="W57" s="1">
        <v>1</v>
      </c>
      <c r="X57" s="26"/>
      <c r="Y57" s="30">
        <f>IF(A57=0,V57-N57,0)</f>
        <v>0</v>
      </c>
      <c r="Z57" s="30">
        <f ca="1">+Y57-(Y57*$AA$1)</f>
        <v>0</v>
      </c>
      <c r="AA57" s="25"/>
      <c r="AB57" s="170">
        <f ca="1">IF(A57=1,+V57-N57,0)</f>
        <v>879.30379999999968</v>
      </c>
      <c r="AC57" s="168">
        <f ca="1">+AB57-(AB57*$AA$1)</f>
        <v>694.80163658282174</v>
      </c>
      <c r="AD57" s="28">
        <f ca="1">+U57/M57-1</f>
        <v>0.10978024153632937</v>
      </c>
      <c r="AE57" s="48">
        <f ca="1">+Z57/$Z$393</f>
        <v>0</v>
      </c>
      <c r="AF57" s="48">
        <f ca="1">+N57/$N$259</f>
        <v>4.0589449619943194E-3</v>
      </c>
      <c r="AG57" s="204">
        <f ca="1">AVERAGE($AF$5:$AF$257)</f>
        <v>3.9682539682539663E-3</v>
      </c>
      <c r="AH57" s="1" t="str">
        <f ca="1">IF(AF57&lt;AG57,"no","si")</f>
        <v>si</v>
      </c>
      <c r="AI57" s="28">
        <f ca="1">IF(G57="USD",+R57/J57-1,"-")</f>
        <v>-7.677989762680415E-3</v>
      </c>
    </row>
    <row r="58" spans="1:35" x14ac:dyDescent="0.2">
      <c r="A58" s="15">
        <v>1</v>
      </c>
      <c r="B58" s="1" t="e" vm="39">
        <v>#VALUE!</v>
      </c>
      <c r="D58" s="1" t="str" cm="1">
        <f t="array" aca="1" ref="D58" ca="1">_FV(B58,"Ticker symbol",TRUE)</f>
        <v>CALM</v>
      </c>
      <c r="E58" s="25" cm="1">
        <f t="array" aca="1" ref="E58" ca="1">_FV(B58,"Price")</f>
        <v>77.78</v>
      </c>
      <c r="F58" s="25" cm="1">
        <f t="array" aca="1" ref="F58" ca="1">_FV(B58,"open")</f>
        <v>76.38</v>
      </c>
      <c r="G58" s="5" t="str" cm="1">
        <f t="array" aca="1" ref="G58" ca="1">_FV(B58,"Currency")</f>
        <v>USD</v>
      </c>
      <c r="H58" s="5" t="s">
        <v>128</v>
      </c>
      <c r="I58" s="4">
        <v>46083</v>
      </c>
      <c r="J58" s="172">
        <v>0.85429999999999995</v>
      </c>
      <c r="K58" s="14">
        <v>120</v>
      </c>
      <c r="L58" s="19">
        <v>87.23</v>
      </c>
      <c r="M58" s="5">
        <f>+K58*L58+O58</f>
        <v>10468.6</v>
      </c>
      <c r="N58" s="5">
        <f ca="1">IF(G58="USD",M58*J58,+K58*L58+O58)</f>
        <v>8943.3249799999994</v>
      </c>
      <c r="O58" s="14">
        <v>1</v>
      </c>
      <c r="P58" s="14"/>
      <c r="Q58" s="4">
        <f t="shared" ca="1" si="27"/>
        <v>46140</v>
      </c>
      <c r="R58" s="8">
        <f ca="1">+$M$551</f>
        <v>0.85299999999999998</v>
      </c>
      <c r="S58" s="1">
        <f>+K58</f>
        <v>120</v>
      </c>
      <c r="T58" s="5">
        <f ca="1">+E58</f>
        <v>77.78</v>
      </c>
      <c r="U58" s="5">
        <f ca="1">+S58*T58-W58</f>
        <v>9332.6</v>
      </c>
      <c r="V58" s="5">
        <f ca="1">IF(G58="USD",U58*R58,+S58*T58-W58)</f>
        <v>7960.7078000000001</v>
      </c>
      <c r="W58" s="1">
        <v>1</v>
      </c>
      <c r="X58" s="26"/>
      <c r="Y58" s="30">
        <f>IF(A58=0,V58-N58,0)</f>
        <v>0</v>
      </c>
      <c r="Z58" s="30">
        <f ca="1">+Y58-(Y58*$AA$1)</f>
        <v>0</v>
      </c>
      <c r="AA58" s="25"/>
      <c r="AB58" s="170">
        <f ca="1">IF(A58=1,+V58-N58,0)</f>
        <v>-982.61717999999928</v>
      </c>
      <c r="AC58" s="168">
        <f ca="1">+AB58-(AB58*$AA$1)</f>
        <v>-776.43702301570511</v>
      </c>
      <c r="AD58" s="28">
        <f ca="1">+U58/M58-1</f>
        <v>-0.10851498767743539</v>
      </c>
      <c r="AE58" s="48">
        <f ca="1">+Z58/$Z$393</f>
        <v>0</v>
      </c>
      <c r="AF58" s="48">
        <f ca="1">+N58/$N$259</f>
        <v>4.1803091794373227E-3</v>
      </c>
      <c r="AG58" s="204">
        <f ca="1">AVERAGE($AF$5:$AF$257)</f>
        <v>3.9682539682539663E-3</v>
      </c>
      <c r="AH58" s="1" t="str">
        <f ca="1">IF(AF58&lt;AG58,"no","si")</f>
        <v>si</v>
      </c>
      <c r="AI58" s="28">
        <f ca="1">IF(G58="USD",+R58/J58-1,"-")</f>
        <v>-1.5217136837176737E-3</v>
      </c>
    </row>
    <row r="59" spans="1:35" x14ac:dyDescent="0.2">
      <c r="A59" s="14">
        <v>1</v>
      </c>
      <c r="B59" s="14" t="e" vm="40">
        <v>#VALUE!</v>
      </c>
      <c r="C59" s="14"/>
      <c r="D59" s="1" t="str" cm="1">
        <f t="array" aca="1" ref="D59" ca="1">_FV(B59,"Ticker symbol",TRUE)</f>
        <v>CA</v>
      </c>
      <c r="E59" s="27" cm="1">
        <f t="array" aca="1" ref="E59" ca="1">_FV(B59,"Price")</f>
        <v>16.465</v>
      </c>
      <c r="F59" s="27" cm="1">
        <f t="array" aca="1" ref="F59" ca="1">_FV(B59,"open")</f>
        <v>16.515000000000001</v>
      </c>
      <c r="G59" s="5" t="str" cm="1">
        <f t="array" aca="1" ref="G59" ca="1">_FV(B59,"Currency")</f>
        <v>EUR</v>
      </c>
      <c r="H59" s="5" t="s">
        <v>188</v>
      </c>
      <c r="I59" s="16">
        <v>45775</v>
      </c>
      <c r="J59" s="18"/>
      <c r="K59" s="14">
        <v>500</v>
      </c>
      <c r="L59" s="19">
        <v>13.82</v>
      </c>
      <c r="M59" s="5">
        <f t="shared" si="0"/>
        <v>6937.64</v>
      </c>
      <c r="N59" s="5">
        <f t="shared" ca="1" si="1"/>
        <v>6937.64</v>
      </c>
      <c r="O59" s="14">
        <v>27.64</v>
      </c>
      <c r="P59" s="14"/>
      <c r="Q59" s="4">
        <f t="shared" ca="1" si="27"/>
        <v>46140</v>
      </c>
      <c r="S59" s="1">
        <f t="shared" si="28"/>
        <v>500</v>
      </c>
      <c r="T59" s="5">
        <f t="shared" ca="1" si="4"/>
        <v>16.465</v>
      </c>
      <c r="U59" s="5">
        <f t="shared" ca="1" si="5"/>
        <v>8205.5</v>
      </c>
      <c r="V59" s="5">
        <f t="shared" ca="1" si="6"/>
        <v>8205.5</v>
      </c>
      <c r="W59" s="14">
        <v>27</v>
      </c>
      <c r="Y59" s="30">
        <f t="shared" si="29"/>
        <v>0</v>
      </c>
      <c r="Z59" s="30">
        <f t="shared" ca="1" si="30"/>
        <v>0</v>
      </c>
      <c r="AB59" s="170">
        <f t="shared" ca="1" si="9"/>
        <v>1267.8599999999997</v>
      </c>
      <c r="AC59" s="168">
        <f t="shared" ca="1" si="10"/>
        <v>1001.8280404996503</v>
      </c>
      <c r="AD59" s="28">
        <f t="shared" ca="1" si="11"/>
        <v>0.18275090664837035</v>
      </c>
      <c r="AE59" s="48">
        <f ca="1">+Z59/$Z$393</f>
        <v>0</v>
      </c>
      <c r="AF59" s="48">
        <f ca="1">+N59/$N$259</f>
        <v>3.2428073720330748E-3</v>
      </c>
      <c r="AG59" s="204">
        <f ca="1">AVERAGE($AF$5:$AF$257)</f>
        <v>3.9682539682539663E-3</v>
      </c>
      <c r="AH59" s="1" t="str">
        <f t="shared" ca="1" si="12"/>
        <v>no</v>
      </c>
      <c r="AI59" s="28" t="str">
        <f t="shared" ca="1" si="31"/>
        <v>-</v>
      </c>
    </row>
    <row r="60" spans="1:35" x14ac:dyDescent="0.2">
      <c r="A60" s="15">
        <v>1</v>
      </c>
      <c r="B60" s="1" t="e" vm="41">
        <v>#VALUE!</v>
      </c>
      <c r="D60" s="1" t="str" cm="1">
        <f t="array" aca="1" ref="D60" ca="1">_FV(B60,"Ticker symbol",TRUE)</f>
        <v>CLNX</v>
      </c>
      <c r="E60" s="27" cm="1">
        <f t="array" aca="1" ref="E60" ca="1">_FV(B60,"Price")</f>
        <v>28.33</v>
      </c>
      <c r="F60" s="27" cm="1">
        <f t="array" aca="1" ref="F60" ca="1">_FV(B60,"open")</f>
        <v>28.39</v>
      </c>
      <c r="G60" s="5" t="str" cm="1">
        <f t="array" aca="1" ref="G60" ca="1">_FV(B60,"Currency")</f>
        <v>EUR</v>
      </c>
      <c r="H60" s="5" t="s">
        <v>183</v>
      </c>
      <c r="I60" s="4">
        <v>45757</v>
      </c>
      <c r="J60" s="18"/>
      <c r="K60" s="1">
        <v>219</v>
      </c>
      <c r="L60" s="10">
        <v>31.95</v>
      </c>
      <c r="M60" s="5">
        <f t="shared" si="0"/>
        <v>7011.54</v>
      </c>
      <c r="N60" s="5">
        <f t="shared" ca="1" si="1"/>
        <v>7011.54</v>
      </c>
      <c r="O60" s="1">
        <v>14.49</v>
      </c>
      <c r="Q60" s="4">
        <f t="shared" ca="1" si="27"/>
        <v>46140</v>
      </c>
      <c r="S60" s="1">
        <f t="shared" si="28"/>
        <v>219</v>
      </c>
      <c r="T60" s="5">
        <f t="shared" ca="1" si="4"/>
        <v>28.33</v>
      </c>
      <c r="U60" s="5">
        <f t="shared" ca="1" si="5"/>
        <v>6189.2699999999995</v>
      </c>
      <c r="V60" s="5">
        <f t="shared" ca="1" si="6"/>
        <v>6189.2699999999995</v>
      </c>
      <c r="W60" s="1">
        <v>15</v>
      </c>
      <c r="Y60" s="30">
        <f t="shared" si="29"/>
        <v>0</v>
      </c>
      <c r="Z60" s="30">
        <f t="shared" ca="1" si="30"/>
        <v>0</v>
      </c>
      <c r="AB60" s="170">
        <f t="shared" ca="1" si="9"/>
        <v>-822.27000000000044</v>
      </c>
      <c r="AC60" s="168">
        <f t="shared" ca="1" si="10"/>
        <v>-649.73509919206231</v>
      </c>
      <c r="AD60" s="28">
        <f t="shared" ca="1" si="11"/>
        <v>-0.11727380860695369</v>
      </c>
      <c r="AE60" s="48">
        <f ca="1">+Z60/$Z$393</f>
        <v>0</v>
      </c>
      <c r="AF60" s="48">
        <f ca="1">+N60/$N$259</f>
        <v>3.2773498770914582E-3</v>
      </c>
      <c r="AG60" s="204">
        <f ca="1">AVERAGE($AF$5:$AF$257)</f>
        <v>3.9682539682539663E-3</v>
      </c>
      <c r="AH60" s="1" t="str">
        <f t="shared" ca="1" si="12"/>
        <v>no</v>
      </c>
      <c r="AI60" s="28" t="str">
        <f t="shared" ca="1" si="31"/>
        <v>-</v>
      </c>
    </row>
    <row r="61" spans="1:35" x14ac:dyDescent="0.2">
      <c r="A61" s="15">
        <v>1</v>
      </c>
      <c r="B61" s="1" t="e" vm="41">
        <v>#VALUE!</v>
      </c>
      <c r="D61" s="1" t="str" cm="1">
        <f t="array" aca="1" ref="D61" ca="1">_FV(B61,"Ticker symbol",TRUE)</f>
        <v>CLNX</v>
      </c>
      <c r="E61" s="27" cm="1">
        <f t="array" aca="1" ref="E61" ca="1">_FV(B61,"Price")</f>
        <v>28.33</v>
      </c>
      <c r="F61" s="27" cm="1">
        <f t="array" aca="1" ref="F61" ca="1">_FV(B61,"open")</f>
        <v>28.39</v>
      </c>
      <c r="G61" s="5" t="str" cm="1">
        <f t="array" aca="1" ref="G61" ca="1">_FV(B61,"Currency")</f>
        <v>EUR</v>
      </c>
      <c r="H61" s="5" t="s">
        <v>183</v>
      </c>
      <c r="I61" s="4">
        <v>45881</v>
      </c>
      <c r="J61" s="18"/>
      <c r="K61" s="1">
        <v>133</v>
      </c>
      <c r="L61" s="10">
        <v>29.9</v>
      </c>
      <c r="M61" s="5">
        <f>+K61*L61+O61</f>
        <v>3985.83</v>
      </c>
      <c r="N61" s="5">
        <f ca="1">IF(G61="USD",M61*J61,+K61*L61+O61)</f>
        <v>3985.83</v>
      </c>
      <c r="O61" s="1">
        <v>9.1300000000000008</v>
      </c>
      <c r="Q61" s="4">
        <f t="shared" ca="1" si="27"/>
        <v>46140</v>
      </c>
      <c r="S61" s="1">
        <f>+K61</f>
        <v>133</v>
      </c>
      <c r="T61" s="5">
        <f ca="1">+E61</f>
        <v>28.33</v>
      </c>
      <c r="U61" s="5">
        <f ca="1">+S61*T61-W61</f>
        <v>3758.7599999999998</v>
      </c>
      <c r="V61" s="5">
        <f ca="1">IF(G61="USD",U61*R61,+S61*T61-W61)</f>
        <v>3758.7599999999998</v>
      </c>
      <c r="W61" s="1">
        <v>9.1300000000000008</v>
      </c>
      <c r="Y61" s="30">
        <f>IF(A61=0,V61-N61,0)</f>
        <v>0</v>
      </c>
      <c r="Z61" s="30">
        <f ca="1">+Y61-(Y61*$AA$1)</f>
        <v>0</v>
      </c>
      <c r="AB61" s="170">
        <f t="shared" ca="1" si="9"/>
        <v>-227.07000000000016</v>
      </c>
      <c r="AC61" s="168">
        <f t="shared" ca="1" si="10"/>
        <v>-179.42445787094462</v>
      </c>
      <c r="AD61" s="28">
        <f ca="1">+U61/M61-1</f>
        <v>-5.6969313794115739E-2</v>
      </c>
      <c r="AE61" s="48">
        <f ca="1">+Z61/$Z$393</f>
        <v>0</v>
      </c>
      <c r="AF61" s="48">
        <f ca="1">+N61/$N$259</f>
        <v>1.863065668969648E-3</v>
      </c>
      <c r="AG61" s="204">
        <f ca="1">AVERAGE($AF$5:$AF$257)</f>
        <v>3.9682539682539663E-3</v>
      </c>
      <c r="AH61" s="1" t="str">
        <f ca="1">IF(AF61&lt;AG61,"no","si")</f>
        <v>no</v>
      </c>
      <c r="AI61" s="28" t="str">
        <f ca="1">IF(G61="USD",+R61/J61-1,"-")</f>
        <v>-</v>
      </c>
    </row>
    <row r="62" spans="1:35" x14ac:dyDescent="0.2">
      <c r="A62" s="15">
        <v>1</v>
      </c>
      <c r="B62" s="1" t="e" vm="42">
        <v>#VALUE!</v>
      </c>
      <c r="D62" s="1" t="str" cm="1">
        <f t="array" aca="1" ref="D62" ca="1">_FV(B62,"Ticker symbol",TRUE)</f>
        <v>CERT</v>
      </c>
      <c r="E62" s="25" cm="1">
        <f t="array" aca="1" ref="E62" ca="1">_FV(B62,"Price")</f>
        <v>6.24</v>
      </c>
      <c r="F62" s="25" cm="1">
        <f t="array" aca="1" ref="F62" ca="1">_FV(B62,"open")</f>
        <v>6.27</v>
      </c>
      <c r="G62" s="5" t="str" cm="1">
        <f t="array" aca="1" ref="G62" ca="1">_FV(B62,"Currency")</f>
        <v>USD</v>
      </c>
      <c r="H62" s="5" t="s">
        <v>128</v>
      </c>
      <c r="I62" s="4">
        <v>45813</v>
      </c>
      <c r="J62" s="172">
        <v>0.87150000000000005</v>
      </c>
      <c r="K62" s="1">
        <v>900</v>
      </c>
      <c r="L62" s="10">
        <v>11.85</v>
      </c>
      <c r="M62" s="5">
        <f>+K62*L62+O62</f>
        <v>10669.53</v>
      </c>
      <c r="N62" s="5">
        <f t="shared" ca="1" si="1"/>
        <v>9298.4953950000017</v>
      </c>
      <c r="O62" s="1">
        <v>4.53</v>
      </c>
      <c r="Q62" s="4">
        <f t="shared" ca="1" si="27"/>
        <v>46140</v>
      </c>
      <c r="R62" s="8">
        <f ca="1">+$M$551</f>
        <v>0.85299999999999998</v>
      </c>
      <c r="S62" s="1">
        <f>+K62</f>
        <v>900</v>
      </c>
      <c r="T62" s="5">
        <f ca="1">+E62</f>
        <v>6.24</v>
      </c>
      <c r="U62" s="5">
        <f ca="1">+S62*T62-W62</f>
        <v>5611</v>
      </c>
      <c r="V62" s="5">
        <f ca="1">IF(G62="USD",U62*R62,+S62*T62-W62)</f>
        <v>4786.183</v>
      </c>
      <c r="W62" s="1">
        <v>5</v>
      </c>
      <c r="Y62" s="30">
        <f>IF(A62=0,V62-N62,0)</f>
        <v>0</v>
      </c>
      <c r="Z62" s="30">
        <f ca="1">+Y62-(Y62*$AA$1)</f>
        <v>0</v>
      </c>
      <c r="AB62" s="170">
        <f t="shared" ca="1" si="9"/>
        <v>-4512.3123950000017</v>
      </c>
      <c r="AC62" s="168">
        <f t="shared" ca="1" si="10"/>
        <v>-3565.5049333563147</v>
      </c>
      <c r="AD62" s="28">
        <f ca="1">+U62/M62-1</f>
        <v>-0.47410991861872087</v>
      </c>
      <c r="AE62" s="48">
        <f ca="1">+Z62/$Z$393</f>
        <v>0</v>
      </c>
      <c r="AF62" s="48">
        <f ca="1">+N62/$N$259</f>
        <v>4.3463237377150731E-3</v>
      </c>
      <c r="AG62" s="204">
        <f ca="1">AVERAGE($AF$5:$AF$257)</f>
        <v>3.9682539682539663E-3</v>
      </c>
      <c r="AH62" s="1" t="str">
        <f ca="1">IF(AF62&lt;AG62,"no","si")</f>
        <v>si</v>
      </c>
      <c r="AI62" s="28">
        <f ca="1">IF(G62="USD",+R62/J62-1,"-")</f>
        <v>-2.1227768215720144E-2</v>
      </c>
    </row>
    <row r="63" spans="1:35" x14ac:dyDescent="0.2">
      <c r="A63" s="15">
        <v>1</v>
      </c>
      <c r="B63" s="1" t="e" vm="43">
        <v>#VALUE!</v>
      </c>
      <c r="D63" s="1" t="str" cm="1">
        <f t="array" aca="1" ref="D63" ca="1">_FV(B63,"Ticker symbol",TRUE)</f>
        <v>CRNC</v>
      </c>
      <c r="E63" s="25" cm="1">
        <f t="array" aca="1" ref="E63" ca="1">_FV(B63,"Price")</f>
        <v>8.93</v>
      </c>
      <c r="F63" s="25" cm="1">
        <f t="array" aca="1" ref="F63" ca="1">_FV(B63,"open")</f>
        <v>8.74</v>
      </c>
      <c r="G63" s="5" t="str" cm="1">
        <f t="array" aca="1" ref="G63" ca="1">_FV(B63,"Currency")</f>
        <v>USD</v>
      </c>
      <c r="H63" s="5" t="s">
        <v>183</v>
      </c>
      <c r="I63" s="4">
        <v>45845</v>
      </c>
      <c r="J63" s="172">
        <v>0.85529999999999995</v>
      </c>
      <c r="K63" s="1">
        <v>1087</v>
      </c>
      <c r="L63" s="10">
        <v>10.76</v>
      </c>
      <c r="M63" s="5">
        <f>+K63*L63+O63</f>
        <v>11711.119999999999</v>
      </c>
      <c r="N63" s="5">
        <f ca="1">IF(G63="USD",M63*J63,+K63*L63+O63)</f>
        <v>10016.520935999999</v>
      </c>
      <c r="O63" s="1">
        <v>15</v>
      </c>
      <c r="Q63" s="4">
        <f t="shared" ref="Q63:Q89" ca="1" si="32">TODAY()</f>
        <v>46140</v>
      </c>
      <c r="R63" s="8">
        <f ca="1">+$M$551</f>
        <v>0.85299999999999998</v>
      </c>
      <c r="S63" s="1">
        <f>+K63</f>
        <v>1087</v>
      </c>
      <c r="T63" s="5">
        <f ca="1">+E63</f>
        <v>8.93</v>
      </c>
      <c r="U63" s="5">
        <f ca="1">+S63*T63-W63</f>
        <v>9691.91</v>
      </c>
      <c r="V63" s="5">
        <f ca="1">IF(G63="USD",U63*R63,+S63*T63-W63)</f>
        <v>8267.1992300000002</v>
      </c>
      <c r="W63" s="1">
        <v>15</v>
      </c>
      <c r="Y63" s="30">
        <f>IF(A63=0,V63-N63,0)</f>
        <v>0</v>
      </c>
      <c r="Z63" s="30">
        <f ca="1">+Y63-(Y63*$AA$1)</f>
        <v>0</v>
      </c>
      <c r="AB63" s="170">
        <f t="shared" ca="1" si="9"/>
        <v>-1749.3217059999988</v>
      </c>
      <c r="AC63" s="168">
        <f t="shared" ca="1" si="10"/>
        <v>-1382.2658155675585</v>
      </c>
      <c r="AD63" s="28">
        <f ca="1">+U63/M63-1</f>
        <v>-0.1724181803277568</v>
      </c>
      <c r="AE63" s="48">
        <f ca="1">+Z63/$Z$393</f>
        <v>0</v>
      </c>
      <c r="AF63" s="48">
        <f ca="1">+N63/$N$259</f>
        <v>4.6819448592582535E-3</v>
      </c>
      <c r="AG63" s="204">
        <f ca="1">AVERAGE($AF$5:$AF$257)</f>
        <v>3.9682539682539663E-3</v>
      </c>
      <c r="AH63" s="1" t="str">
        <f ca="1">IF(AF63&lt;AG63,"no","si")</f>
        <v>si</v>
      </c>
      <c r="AI63" s="28">
        <f ca="1">IF(G63="USD",+R63/J63-1,"-")</f>
        <v>-2.689114930433778E-3</v>
      </c>
    </row>
    <row r="64" spans="1:35" x14ac:dyDescent="0.2">
      <c r="A64" s="15">
        <v>1</v>
      </c>
      <c r="B64" s="1" t="e" vm="44">
        <v>#VALUE!</v>
      </c>
      <c r="D64" s="1" t="str" cm="1">
        <f t="array" aca="1" ref="D64" ca="1">_FV(B64,"Ticker symbol",TRUE)</f>
        <v>CHPT</v>
      </c>
      <c r="E64" s="25" cm="1">
        <f t="array" aca="1" ref="E64" ca="1">_FV(B64,"Price")</f>
        <v>6.79</v>
      </c>
      <c r="F64" s="25" cm="1">
        <f t="array" aca="1" ref="F64" ca="1">_FV(B64,"open")</f>
        <v>6.83</v>
      </c>
      <c r="G64" s="5" t="str" cm="1">
        <f t="array" aca="1" ref="G64" ca="1">_FV(B64,"Currency")</f>
        <v>USD</v>
      </c>
      <c r="H64" s="5" t="s">
        <v>128</v>
      </c>
      <c r="I64" s="4">
        <v>45485</v>
      </c>
      <c r="J64" s="172">
        <v>0.90861999999999998</v>
      </c>
      <c r="K64" s="1">
        <f>2000/20</f>
        <v>100</v>
      </c>
      <c r="L64" s="10">
        <f>2.09*20</f>
        <v>41.8</v>
      </c>
      <c r="M64" s="5">
        <f t="shared" si="0"/>
        <v>4190</v>
      </c>
      <c r="N64" s="5">
        <f t="shared" ca="1" si="1"/>
        <v>3807.1178</v>
      </c>
      <c r="O64" s="1">
        <v>10</v>
      </c>
      <c r="Q64" s="4">
        <f t="shared" ca="1" si="32"/>
        <v>46140</v>
      </c>
      <c r="R64" s="8">
        <f ca="1">+$M$551</f>
        <v>0.85299999999999998</v>
      </c>
      <c r="S64" s="1">
        <f t="shared" si="28"/>
        <v>100</v>
      </c>
      <c r="T64" s="5">
        <f t="shared" ca="1" si="4"/>
        <v>6.79</v>
      </c>
      <c r="U64" s="5">
        <f t="shared" ca="1" si="5"/>
        <v>669</v>
      </c>
      <c r="V64" s="5">
        <f t="shared" ca="1" si="6"/>
        <v>570.65700000000004</v>
      </c>
      <c r="W64" s="1">
        <v>10</v>
      </c>
      <c r="Y64" s="30">
        <f t="shared" si="29"/>
        <v>0</v>
      </c>
      <c r="Z64" s="30">
        <f t="shared" ca="1" si="30"/>
        <v>0</v>
      </c>
      <c r="AB64" s="170">
        <f t="shared" ca="1" si="9"/>
        <v>-3236.4607999999998</v>
      </c>
      <c r="AC64" s="168">
        <f t="shared" ca="1" si="10"/>
        <v>-2557.3621546684426</v>
      </c>
      <c r="AD64" s="28">
        <f t="shared" ca="1" si="11"/>
        <v>-0.84033412887828163</v>
      </c>
      <c r="AE64" s="48">
        <f ca="1">+Z64/$Z$393</f>
        <v>0</v>
      </c>
      <c r="AF64" s="48">
        <f ca="1">+N64/$N$259</f>
        <v>1.7795316084487434E-3</v>
      </c>
      <c r="AG64" s="204">
        <f ca="1">AVERAGE($AF$5:$AF$257)</f>
        <v>3.9682539682539663E-3</v>
      </c>
      <c r="AH64" s="1" t="str">
        <f t="shared" ca="1" si="12"/>
        <v>no</v>
      </c>
      <c r="AI64" s="28">
        <f t="shared" ca="1" si="31"/>
        <v>-6.1213708701107206E-2</v>
      </c>
    </row>
    <row r="65" spans="1:35" x14ac:dyDescent="0.2">
      <c r="A65" s="15">
        <v>1</v>
      </c>
      <c r="B65" s="1" t="e" vm="45">
        <v>#VALUE!</v>
      </c>
      <c r="D65" s="1" t="str" cm="1">
        <f t="array" aca="1" ref="D65" ca="1">_FV(B65,"Ticker symbol",TRUE)</f>
        <v>CVX</v>
      </c>
      <c r="E65" s="25" cm="1">
        <f t="array" aca="1" ref="E65" ca="1">_FV(B65,"Price")</f>
        <v>184.79</v>
      </c>
      <c r="F65" s="25" cm="1">
        <f t="array" aca="1" ref="F65" ca="1">_FV(B65,"open")</f>
        <v>186.19</v>
      </c>
      <c r="G65" s="5" t="str" cm="1">
        <f t="array" aca="1" ref="G65" ca="1">_FV(B65,"Currency")</f>
        <v>USD</v>
      </c>
      <c r="H65" s="5" t="s">
        <v>183</v>
      </c>
      <c r="I65" s="4">
        <v>44992</v>
      </c>
      <c r="J65" s="172">
        <v>0.95143999999999995</v>
      </c>
      <c r="K65" s="1">
        <v>81</v>
      </c>
      <c r="L65" s="10">
        <v>147.19999999999999</v>
      </c>
      <c r="M65" s="5">
        <f t="shared" si="0"/>
        <v>11938.199999999999</v>
      </c>
      <c r="N65" s="5">
        <f t="shared" ca="1" si="1"/>
        <v>11358.481007999999</v>
      </c>
      <c r="O65" s="1">
        <v>15</v>
      </c>
      <c r="Q65" s="4">
        <f t="shared" ca="1" si="32"/>
        <v>46140</v>
      </c>
      <c r="R65" s="8">
        <f ca="1">+$M$551</f>
        <v>0.85299999999999998</v>
      </c>
      <c r="S65" s="1">
        <f t="shared" si="28"/>
        <v>81</v>
      </c>
      <c r="T65" s="5">
        <f t="shared" ca="1" si="4"/>
        <v>184.79</v>
      </c>
      <c r="U65" s="5">
        <f t="shared" ca="1" si="5"/>
        <v>14952.99</v>
      </c>
      <c r="V65" s="5">
        <f t="shared" ca="1" si="6"/>
        <v>12754.900469999999</v>
      </c>
      <c r="W65" s="1">
        <v>15</v>
      </c>
      <c r="Y65" s="30">
        <f t="shared" si="29"/>
        <v>0</v>
      </c>
      <c r="Z65" s="30">
        <f t="shared" ca="1" si="30"/>
        <v>0</v>
      </c>
      <c r="AB65" s="170">
        <f t="shared" ca="1" si="9"/>
        <v>1396.4194619999998</v>
      </c>
      <c r="AC65" s="168">
        <f t="shared" ca="1" si="10"/>
        <v>1103.4121853603997</v>
      </c>
      <c r="AD65" s="28">
        <f t="shared" ca="1" si="11"/>
        <v>0.25253304518269104</v>
      </c>
      <c r="AE65" s="48">
        <f ca="1">+Z65/$Z$393</f>
        <v>0</v>
      </c>
      <c r="AF65" s="48">
        <f ca="1">+N65/$N$259</f>
        <v>5.3092068697482234E-3</v>
      </c>
      <c r="AG65" s="204">
        <f ca="1">AVERAGE($AF$5:$AF$257)</f>
        <v>3.9682539682539663E-3</v>
      </c>
      <c r="AH65" s="1" t="str">
        <f t="shared" ca="1" si="12"/>
        <v>si</v>
      </c>
      <c r="AI65" s="28">
        <f t="shared" ca="1" si="31"/>
        <v>-0.10346422265198019</v>
      </c>
    </row>
    <row r="66" spans="1:35" x14ac:dyDescent="0.2">
      <c r="A66" s="15">
        <v>1</v>
      </c>
      <c r="B66" s="1" t="e" vm="46">
        <v>#VALUE!</v>
      </c>
      <c r="D66" s="1" t="str" cm="1">
        <f t="array" aca="1" ref="D66" ca="1">_FV(B66,"Ticker symbol",TRUE)</f>
        <v>CIE</v>
      </c>
      <c r="E66" s="27" cm="1">
        <f t="array" aca="1" ref="E66" ca="1">_FV(B66,"Price")</f>
        <v>28.25</v>
      </c>
      <c r="F66" s="27" cm="1">
        <f t="array" aca="1" ref="F66" ca="1">_FV(B66,"open")</f>
        <v>28.1</v>
      </c>
      <c r="G66" s="5" t="str" cm="1">
        <f t="array" aca="1" ref="G66" ca="1">_FV(B66,"Currency")</f>
        <v>EUR</v>
      </c>
      <c r="H66" s="5" t="s">
        <v>115</v>
      </c>
      <c r="I66" s="4">
        <v>45427</v>
      </c>
      <c r="J66" s="18"/>
      <c r="K66" s="1">
        <v>399</v>
      </c>
      <c r="L66" s="10">
        <v>27.47</v>
      </c>
      <c r="M66" s="5">
        <f t="shared" si="0"/>
        <v>11002.529999999999</v>
      </c>
      <c r="N66" s="5">
        <f t="shared" ca="1" si="1"/>
        <v>11002.529999999999</v>
      </c>
      <c r="O66" s="1">
        <v>42</v>
      </c>
      <c r="Q66" s="4">
        <f t="shared" ca="1" si="32"/>
        <v>46140</v>
      </c>
      <c r="S66" s="1">
        <f t="shared" si="28"/>
        <v>399</v>
      </c>
      <c r="T66" s="5">
        <f t="shared" ca="1" si="4"/>
        <v>28.25</v>
      </c>
      <c r="U66" s="5">
        <f t="shared" ca="1" si="5"/>
        <v>11229.75</v>
      </c>
      <c r="V66" s="5">
        <f t="shared" ca="1" si="6"/>
        <v>11229.75</v>
      </c>
      <c r="W66" s="1">
        <v>42</v>
      </c>
      <c r="Y66" s="30">
        <f t="shared" si="29"/>
        <v>0</v>
      </c>
      <c r="Z66" s="30">
        <f t="shared" ca="1" si="30"/>
        <v>0</v>
      </c>
      <c r="AB66" s="170">
        <f t="shared" ca="1" si="9"/>
        <v>227.22000000000116</v>
      </c>
      <c r="AC66" s="168">
        <f t="shared" ca="1" si="10"/>
        <v>179.54298373821382</v>
      </c>
      <c r="AD66" s="28">
        <f t="shared" ca="1" si="11"/>
        <v>2.0651613765197752E-2</v>
      </c>
      <c r="AE66" s="48">
        <f ca="1">+Z66/$Z$393</f>
        <v>0</v>
      </c>
      <c r="AF66" s="48">
        <f ca="1">+N66/$N$259</f>
        <v>5.1428274449258045E-3</v>
      </c>
      <c r="AG66" s="204">
        <f ca="1">AVERAGE($AF$5:$AF$257)</f>
        <v>3.9682539682539663E-3</v>
      </c>
      <c r="AH66" s="1" t="str">
        <f t="shared" ca="1" si="12"/>
        <v>si</v>
      </c>
      <c r="AI66" s="28" t="str">
        <f t="shared" ca="1" si="31"/>
        <v>-</v>
      </c>
    </row>
    <row r="67" spans="1:35" x14ac:dyDescent="0.2">
      <c r="A67" s="15">
        <v>1</v>
      </c>
      <c r="B67" s="1" t="e" vm="47">
        <v>#VALUE!</v>
      </c>
      <c r="D67" s="1" t="str" cm="1">
        <f t="array" aca="1" ref="D67" ca="1">_FV(B67,"Ticker symbol",TRUE)</f>
        <v>YOU</v>
      </c>
      <c r="E67" s="25" cm="1">
        <f t="array" aca="1" ref="E67" ca="1">_FV(B67,"Price")</f>
        <v>54.74</v>
      </c>
      <c r="F67" s="25" cm="1">
        <f t="array" aca="1" ref="F67" ca="1">_FV(B67,"open")</f>
        <v>55.25</v>
      </c>
      <c r="G67" s="5" t="str" cm="1">
        <f t="array" aca="1" ref="G67" ca="1">_FV(B67,"Currency")</f>
        <v>USD</v>
      </c>
      <c r="H67" s="5" t="s">
        <v>183</v>
      </c>
      <c r="I67" s="4">
        <v>45558</v>
      </c>
      <c r="J67" s="172">
        <v>0.90158000000000005</v>
      </c>
      <c r="K67" s="1">
        <v>350</v>
      </c>
      <c r="L67" s="10">
        <v>32.770000000000003</v>
      </c>
      <c r="M67" s="5">
        <f t="shared" si="0"/>
        <v>11484.940000000002</v>
      </c>
      <c r="N67" s="5">
        <f t="shared" ca="1" si="1"/>
        <v>10354.592205200002</v>
      </c>
      <c r="O67" s="1">
        <v>15.44</v>
      </c>
      <c r="Q67" s="4">
        <f t="shared" ca="1" si="32"/>
        <v>46140</v>
      </c>
      <c r="R67" s="8">
        <f ca="1">+$M$551</f>
        <v>0.85299999999999998</v>
      </c>
      <c r="S67" s="1">
        <f t="shared" si="28"/>
        <v>350</v>
      </c>
      <c r="T67" s="5">
        <f t="shared" ca="1" si="4"/>
        <v>54.74</v>
      </c>
      <c r="U67" s="5">
        <f t="shared" ca="1" si="5"/>
        <v>19143.560000000001</v>
      </c>
      <c r="V67" s="5">
        <f t="shared" ca="1" si="6"/>
        <v>16329.456680000001</v>
      </c>
      <c r="W67" s="1">
        <v>15.44</v>
      </c>
      <c r="Y67" s="30">
        <f t="shared" si="29"/>
        <v>0</v>
      </c>
      <c r="Z67" s="30">
        <f t="shared" ca="1" si="30"/>
        <v>0</v>
      </c>
      <c r="AB67" s="170">
        <f t="shared" ca="1" si="9"/>
        <v>5974.8644747999988</v>
      </c>
      <c r="AC67" s="168">
        <f t="shared" ca="1" si="10"/>
        <v>4721.173291246555</v>
      </c>
      <c r="AD67" s="28">
        <f t="shared" ca="1" si="11"/>
        <v>0.66684022728895376</v>
      </c>
      <c r="AE67" s="48">
        <f ca="1">+Z67/$Z$393</f>
        <v>0</v>
      </c>
      <c r="AF67" s="48">
        <f ca="1">+N67/$N$259</f>
        <v>4.8399668961518292E-3</v>
      </c>
      <c r="AG67" s="204">
        <f ca="1">AVERAGE($AF$5:$AF$257)</f>
        <v>3.9682539682539663E-3</v>
      </c>
      <c r="AH67" s="1" t="str">
        <f t="shared" ca="1" si="12"/>
        <v>si</v>
      </c>
      <c r="AI67" s="28">
        <f t="shared" ca="1" si="31"/>
        <v>-5.3883182856762635E-2</v>
      </c>
    </row>
    <row r="68" spans="1:35" x14ac:dyDescent="0.2">
      <c r="A68" s="15">
        <v>1</v>
      </c>
      <c r="B68" s="1" t="e" vm="48">
        <v>#VALUE!</v>
      </c>
      <c r="D68" s="1" t="str" cm="1">
        <f t="array" aca="1" ref="D68" ca="1">_FV(B68,"Ticker symbol",TRUE)</f>
        <v>COIN</v>
      </c>
      <c r="E68" s="25" cm="1">
        <f t="array" aca="1" ref="E68" ca="1">_FV(B68,"Price")</f>
        <v>196.71</v>
      </c>
      <c r="F68" s="25" cm="1">
        <f t="array" aca="1" ref="F68" ca="1">_FV(B68,"open")</f>
        <v>199.1</v>
      </c>
      <c r="G68" s="5" t="str" cm="1">
        <f t="array" aca="1" ref="G68" ca="1">_FV(B68,"Currency")</f>
        <v>USD</v>
      </c>
      <c r="H68" s="5" t="s">
        <v>128</v>
      </c>
      <c r="I68" s="4">
        <v>46098</v>
      </c>
      <c r="J68" s="172">
        <v>0.86680000000000001</v>
      </c>
      <c r="K68" s="1">
        <v>23</v>
      </c>
      <c r="L68" s="10">
        <v>207.15</v>
      </c>
      <c r="M68" s="5">
        <f>+K68*L68+O68</f>
        <v>4765.45</v>
      </c>
      <c r="N68" s="5">
        <f ca="1">IF(G68="USD",M68*J68,+K68*L68+O68)</f>
        <v>4130.6920600000003</v>
      </c>
      <c r="O68" s="1">
        <v>1</v>
      </c>
      <c r="Q68" s="4">
        <f t="shared" ca="1" si="32"/>
        <v>46140</v>
      </c>
      <c r="R68" s="8">
        <f ca="1">+$M$551</f>
        <v>0.85299999999999998</v>
      </c>
      <c r="S68" s="1">
        <f>+K68</f>
        <v>23</v>
      </c>
      <c r="T68" s="5">
        <f ca="1">+E68</f>
        <v>196.71</v>
      </c>
      <c r="U68" s="5">
        <f ca="1">+S68*T68-W68</f>
        <v>4523.33</v>
      </c>
      <c r="V68" s="5">
        <f ca="1">IF(G68="USD",U68*R68,+S68*T68-W68)</f>
        <v>3858.40049</v>
      </c>
      <c r="W68" s="1">
        <v>1</v>
      </c>
      <c r="Y68" s="30">
        <f>IF(A68=0,V68-N68,0)</f>
        <v>0</v>
      </c>
      <c r="Z68" s="30">
        <f ca="1">+Y68-(Y68*$AA$1)</f>
        <v>0</v>
      </c>
      <c r="AB68" s="170">
        <f ca="1">IF(A68=1,+V68-N68,0)</f>
        <v>-272.29157000000032</v>
      </c>
      <c r="AC68" s="168">
        <f ca="1">+AB68-(AB68*$AA$1)</f>
        <v>-215.15729656087723</v>
      </c>
      <c r="AD68" s="28">
        <f ca="1">+U68/M68-1</f>
        <v>-5.080737391012391E-2</v>
      </c>
      <c r="AE68" s="48">
        <f ca="1">+Z68/$Z$393</f>
        <v>0</v>
      </c>
      <c r="AF68" s="48">
        <f ca="1">+N68/$N$259</f>
        <v>1.9307774205301065E-3</v>
      </c>
      <c r="AG68" s="204">
        <f ca="1">AVERAGE($AF$5:$AF$257)</f>
        <v>3.9682539682539663E-3</v>
      </c>
      <c r="AH68" s="1" t="str">
        <f ca="1">IF(AF68&lt;AG68,"no","si")</f>
        <v>no</v>
      </c>
      <c r="AI68" s="28">
        <f ca="1">IF(G68="USD",+R68/J68-1,"-")</f>
        <v>-1.5920627595754522E-2</v>
      </c>
    </row>
    <row r="69" spans="1:35" x14ac:dyDescent="0.2">
      <c r="A69" s="1">
        <v>1</v>
      </c>
      <c r="B69" s="14" t="e" vm="49">
        <v>#VALUE!</v>
      </c>
      <c r="D69" s="1" t="str" cm="1">
        <f t="array" aca="1" ref="D69" ca="1">_FV(B69,"Ticker symbol",TRUE)</f>
        <v>CNDT</v>
      </c>
      <c r="E69" s="25" cm="1">
        <f t="array" aca="1" ref="E69" ca="1">_FV(B69,"Price")</f>
        <v>1.7</v>
      </c>
      <c r="F69" s="25" cm="1">
        <f t="array" aca="1" ref="F69" ca="1">_FV(B69,"open")</f>
        <v>1.71</v>
      </c>
      <c r="G69" s="5" t="str" cm="1">
        <f t="array" aca="1" ref="G69" ca="1">_FV(B69,"Currency")</f>
        <v>USD</v>
      </c>
      <c r="H69" s="5" t="s">
        <v>183</v>
      </c>
      <c r="I69" s="4">
        <v>45315</v>
      </c>
      <c r="J69" s="172">
        <v>0.91901999999999995</v>
      </c>
      <c r="K69" s="1">
        <v>1900</v>
      </c>
      <c r="L69" s="10">
        <v>3.75</v>
      </c>
      <c r="M69" s="5">
        <f t="shared" si="0"/>
        <v>7134</v>
      </c>
      <c r="N69" s="5">
        <f t="shared" ca="1" si="1"/>
        <v>6556.2886799999997</v>
      </c>
      <c r="O69" s="1">
        <v>9</v>
      </c>
      <c r="Q69" s="4">
        <f t="shared" ca="1" si="32"/>
        <v>46140</v>
      </c>
      <c r="R69" s="8">
        <f ca="1">+$M$551</f>
        <v>0.85299999999999998</v>
      </c>
      <c r="S69" s="1">
        <f t="shared" si="28"/>
        <v>1900</v>
      </c>
      <c r="T69" s="5">
        <f t="shared" ca="1" si="4"/>
        <v>1.7</v>
      </c>
      <c r="U69" s="5">
        <f t="shared" ca="1" si="5"/>
        <v>3221</v>
      </c>
      <c r="V69" s="5">
        <f t="shared" ca="1" si="6"/>
        <v>2747.5129999999999</v>
      </c>
      <c r="W69" s="1">
        <v>9</v>
      </c>
      <c r="Y69" s="30">
        <f t="shared" si="29"/>
        <v>0</v>
      </c>
      <c r="Z69" s="30">
        <f t="shared" ca="1" si="30"/>
        <v>0</v>
      </c>
      <c r="AB69" s="170">
        <f t="shared" ca="1" si="9"/>
        <v>-3808.7756799999997</v>
      </c>
      <c r="AC69" s="168">
        <f t="shared" ca="1" si="10"/>
        <v>-3009.5896046859466</v>
      </c>
      <c r="AD69" s="28">
        <f t="shared" ca="1" si="11"/>
        <v>-0.54850014017381554</v>
      </c>
      <c r="AE69" s="48">
        <f ca="1">+Z69/$Z$393</f>
        <v>0</v>
      </c>
      <c r="AF69" s="48">
        <f ca="1">+N69/$N$259</f>
        <v>3.0645552759556555E-3</v>
      </c>
      <c r="AG69" s="204">
        <f ca="1">AVERAGE($AF$5:$AF$257)</f>
        <v>3.9682539682539663E-3</v>
      </c>
      <c r="AH69" s="1" t="str">
        <f t="shared" ca="1" si="12"/>
        <v>no</v>
      </c>
      <c r="AI69" s="28">
        <f t="shared" ca="1" si="31"/>
        <v>-7.1837392004526546E-2</v>
      </c>
    </row>
    <row r="70" spans="1:35" x14ac:dyDescent="0.2">
      <c r="A70" s="1">
        <v>1</v>
      </c>
      <c r="B70" s="14" t="e" vm="49">
        <v>#VALUE!</v>
      </c>
      <c r="D70" s="1" t="str" cm="1">
        <f t="array" aca="1" ref="D70" ca="1">_FV(B70,"Ticker symbol",TRUE)</f>
        <v>CNDT</v>
      </c>
      <c r="E70" s="25" cm="1">
        <f t="array" aca="1" ref="E70" ca="1">_FV(B70,"Price")</f>
        <v>1.7</v>
      </c>
      <c r="F70" s="25" cm="1">
        <f t="array" aca="1" ref="F70" ca="1">_FV(B70,"open")</f>
        <v>1.71</v>
      </c>
      <c r="G70" s="5" t="str" cm="1">
        <f t="array" aca="1" ref="G70" ca="1">_FV(B70,"Currency")</f>
        <v>USD</v>
      </c>
      <c r="H70" s="5" t="s">
        <v>183</v>
      </c>
      <c r="I70" s="4">
        <v>45919</v>
      </c>
      <c r="J70" s="172">
        <v>0.85270000000000001</v>
      </c>
      <c r="K70" s="1">
        <v>2027</v>
      </c>
      <c r="L70" s="10">
        <v>2.96</v>
      </c>
      <c r="M70" s="5">
        <f>+K70*L70+O70</f>
        <v>6014.92</v>
      </c>
      <c r="N70" s="5">
        <f ca="1">IF(G70="USD",M70*J70,+K70*L70+O70)</f>
        <v>5128.9222840000002</v>
      </c>
      <c r="O70" s="1">
        <v>15</v>
      </c>
      <c r="Q70" s="4">
        <f t="shared" ca="1" si="32"/>
        <v>46140</v>
      </c>
      <c r="R70" s="8">
        <f ca="1">+$M$551</f>
        <v>0.85299999999999998</v>
      </c>
      <c r="S70" s="1">
        <f>+K70</f>
        <v>2027</v>
      </c>
      <c r="T70" s="5">
        <f ca="1">+E70</f>
        <v>1.7</v>
      </c>
      <c r="U70" s="5">
        <f ca="1">+S70*T70-W70</f>
        <v>3430.9</v>
      </c>
      <c r="V70" s="5">
        <f ca="1">IF(G70="USD",U70*R70,+S70*T70-W70)</f>
        <v>2926.5576999999998</v>
      </c>
      <c r="W70" s="1">
        <v>15</v>
      </c>
      <c r="Y70" s="30">
        <f>IF(A70=0,V70-N70,0)</f>
        <v>0</v>
      </c>
      <c r="Z70" s="30">
        <f ca="1">+Y70-(Y70*$AA$1)</f>
        <v>0</v>
      </c>
      <c r="AB70" s="170">
        <f t="shared" ca="1" si="9"/>
        <v>-2202.3645840000004</v>
      </c>
      <c r="AC70" s="168">
        <f t="shared" ca="1" si="10"/>
        <v>-1740.2478157324535</v>
      </c>
      <c r="AD70" s="28">
        <f ca="1">+U70/M70-1</f>
        <v>-0.42960172371369865</v>
      </c>
      <c r="AE70" s="48">
        <f ca="1">+Z70/$Z$393</f>
        <v>0</v>
      </c>
      <c r="AF70" s="48">
        <f ca="1">+N70/$N$259</f>
        <v>2.3973724484320194E-3</v>
      </c>
      <c r="AG70" s="204">
        <f ca="1">AVERAGE($AF$5:$AF$257)</f>
        <v>3.9682539682539663E-3</v>
      </c>
      <c r="AH70" s="1" t="str">
        <f ca="1">IF(AF70&lt;AG70,"no","si")</f>
        <v>no</v>
      </c>
      <c r="AI70" s="28">
        <f ca="1">IF(G70="USD",+R70/J70-1,"-")</f>
        <v>3.5182361909225079E-4</v>
      </c>
    </row>
    <row r="71" spans="1:35" ht="15" customHeight="1" x14ac:dyDescent="0.2">
      <c r="A71" s="1">
        <v>1</v>
      </c>
      <c r="B71" s="14" t="e" vm="50">
        <v>#VALUE!</v>
      </c>
      <c r="D71" s="1" t="str" cm="1">
        <f t="array" aca="1" ref="D71" ca="1">_FV(B71,"Ticker symbol",TRUE)</f>
        <v>CON</v>
      </c>
      <c r="E71" s="27" cm="1">
        <f t="array" aca="1" ref="E71" ca="1">_FV(B71,"Price")</f>
        <v>64.599999999999994</v>
      </c>
      <c r="F71" s="27" cm="1">
        <f t="array" aca="1" ref="F71" ca="1">_FV(B71,"open")</f>
        <v>65.42</v>
      </c>
      <c r="G71" s="5" t="str" cm="1">
        <f t="array" aca="1" ref="G71" ca="1">_FV(B71,"Currency")</f>
        <v>EUR</v>
      </c>
      <c r="H71" s="5" t="s">
        <v>115</v>
      </c>
      <c r="I71" s="4">
        <v>45539</v>
      </c>
      <c r="J71" s="18"/>
      <c r="K71" s="1">
        <v>150</v>
      </c>
      <c r="L71" s="10">
        <v>46.38</v>
      </c>
      <c r="M71" s="5">
        <f t="shared" si="0"/>
        <v>6963</v>
      </c>
      <c r="N71" s="5">
        <f t="shared" ca="1" si="1"/>
        <v>6963</v>
      </c>
      <c r="O71" s="1">
        <v>6</v>
      </c>
      <c r="Q71" s="4">
        <f t="shared" ca="1" si="32"/>
        <v>46140</v>
      </c>
      <c r="S71" s="1">
        <f t="shared" si="28"/>
        <v>150</v>
      </c>
      <c r="T71" s="5">
        <f t="shared" ca="1" si="4"/>
        <v>64.599999999999994</v>
      </c>
      <c r="U71" s="5">
        <f t="shared" ca="1" si="5"/>
        <v>9685</v>
      </c>
      <c r="V71" s="5">
        <f t="shared" ca="1" si="6"/>
        <v>9685</v>
      </c>
      <c r="W71" s="1">
        <v>5</v>
      </c>
      <c r="Y71" s="30">
        <f t="shared" si="29"/>
        <v>0</v>
      </c>
      <c r="Z71" s="30">
        <f t="shared" ca="1" si="30"/>
        <v>0</v>
      </c>
      <c r="AB71" s="170">
        <f t="shared" ca="1" si="9"/>
        <v>2722</v>
      </c>
      <c r="AC71" s="168">
        <f t="shared" ca="1" si="10"/>
        <v>2150.8494046977185</v>
      </c>
      <c r="AD71" s="28">
        <f t="shared" ca="1" si="11"/>
        <v>0.39092345253482685</v>
      </c>
      <c r="AE71" s="48">
        <f ca="1">+Z71/$Z$393</f>
        <v>0</v>
      </c>
      <c r="AF71" s="48">
        <f ca="1">+N71/$N$259</f>
        <v>3.2546612005619055E-3</v>
      </c>
      <c r="AG71" s="204">
        <f ca="1">AVERAGE($AF$5:$AF$257)</f>
        <v>3.9682539682539663E-3</v>
      </c>
      <c r="AH71" s="1" t="str">
        <f t="shared" ca="1" si="12"/>
        <v>no</v>
      </c>
      <c r="AI71" s="28" t="str">
        <f t="shared" ca="1" si="31"/>
        <v>-</v>
      </c>
    </row>
    <row r="72" spans="1:35" ht="15" customHeight="1" x14ac:dyDescent="0.2">
      <c r="A72" s="1">
        <v>1</v>
      </c>
      <c r="B72" s="14" t="e" vm="50">
        <v>#VALUE!</v>
      </c>
      <c r="D72" s="1" t="str" cm="1">
        <f t="array" aca="1" ref="D72" ca="1">_FV(B72,"Ticker symbol",TRUE)</f>
        <v>CON</v>
      </c>
      <c r="E72" s="27" cm="1">
        <f t="array" aca="1" ref="E72" ca="1">_FV(B72,"Price")</f>
        <v>64.599999999999994</v>
      </c>
      <c r="F72" s="27" cm="1">
        <f t="array" aca="1" ref="F72" ca="1">_FV(B72,"open")</f>
        <v>65.42</v>
      </c>
      <c r="G72" s="5" t="str" cm="1">
        <f t="array" aca="1" ref="G72" ca="1">_FV(B72,"Currency")</f>
        <v>EUR</v>
      </c>
      <c r="H72" s="5" t="s">
        <v>204</v>
      </c>
      <c r="I72" s="4">
        <v>45797</v>
      </c>
      <c r="J72" s="18"/>
      <c r="K72" s="1">
        <v>90</v>
      </c>
      <c r="L72" s="10">
        <v>58.53</v>
      </c>
      <c r="M72" s="5">
        <f>+K72*L72+O72</f>
        <v>5274.7</v>
      </c>
      <c r="N72" s="5">
        <f ca="1">IF(G72="USD",M72*J72,+K72*L72+O72)</f>
        <v>5274.7</v>
      </c>
      <c r="O72" s="1">
        <v>7</v>
      </c>
      <c r="Q72" s="4">
        <f t="shared" ca="1" si="32"/>
        <v>46140</v>
      </c>
      <c r="S72" s="1">
        <f>+K72</f>
        <v>90</v>
      </c>
      <c r="T72" s="5">
        <f ca="1">+E72</f>
        <v>64.599999999999994</v>
      </c>
      <c r="U72" s="5">
        <f ca="1">+S72*T72-W72</f>
        <v>5808.9999999999991</v>
      </c>
      <c r="V72" s="5">
        <f ca="1">IF(G72="USD",U72*R72,+S72*T72-W72)</f>
        <v>5808.9999999999991</v>
      </c>
      <c r="W72" s="1">
        <v>5</v>
      </c>
      <c r="Y72" s="30">
        <f>IF(A72=0,V72-N72,0)</f>
        <v>0</v>
      </c>
      <c r="Z72" s="30">
        <f ca="1">+Y72-(Y72*$AA$1)</f>
        <v>0</v>
      </c>
      <c r="AB72" s="170">
        <f ca="1">IF(A72=1,+V72-N72,0)</f>
        <v>534.29999999999927</v>
      </c>
      <c r="AC72" s="168">
        <f ca="1">+AB72-(AB72*$AA$1)</f>
        <v>422.18913921013569</v>
      </c>
      <c r="AD72" s="28">
        <f ca="1">+U72/M72-1</f>
        <v>0.10129486037120583</v>
      </c>
      <c r="AE72" s="48">
        <f ca="1">+Z72/$Z$393</f>
        <v>0</v>
      </c>
      <c r="AF72" s="48">
        <f ca="1">+N72/$N$259</f>
        <v>2.46551219798993E-3</v>
      </c>
      <c r="AG72" s="204">
        <f ca="1">AVERAGE($AF$5:$AF$257)</f>
        <v>3.9682539682539663E-3</v>
      </c>
      <c r="AH72" s="1" t="str">
        <f ca="1">IF(AF72&lt;AG72,"no","si")</f>
        <v>no</v>
      </c>
      <c r="AI72" s="28" t="str">
        <f ca="1">IF(G72="USD",+R72/J72-1,"-")</f>
        <v>-</v>
      </c>
    </row>
    <row r="73" spans="1:35" x14ac:dyDescent="0.2">
      <c r="A73" s="14">
        <v>1</v>
      </c>
      <c r="B73" s="14" t="e" vm="51">
        <v>#VALUE!</v>
      </c>
      <c r="C73" s="14"/>
      <c r="D73" s="1" t="str" cm="1">
        <f t="array" aca="1" ref="D73" ca="1">_FV(B73,"Ticker symbol",TRUE)</f>
        <v>AMV0</v>
      </c>
      <c r="E73" s="27" cm="1">
        <f t="array" aca="1" ref="E73" ca="1">_FV(B73,"Price")</f>
        <v>37.700000000000003</v>
      </c>
      <c r="F73" s="27" cm="1">
        <f t="array" aca="1" ref="F73" ca="1">_FV(B73,"open")</f>
        <v>35.85</v>
      </c>
      <c r="G73" s="5" t="s">
        <v>148</v>
      </c>
      <c r="H73" s="5" t="s">
        <v>184</v>
      </c>
      <c r="I73" s="16">
        <v>45918</v>
      </c>
      <c r="J73" s="18"/>
      <c r="K73" s="14">
        <v>75</v>
      </c>
      <c r="L73" s="19">
        <v>27.12</v>
      </c>
      <c r="M73" s="5">
        <f>+K73*L73+O73</f>
        <v>2034</v>
      </c>
      <c r="N73" s="5">
        <f>IF(G73="USD",M73*J73,+K73*L73+O73)</f>
        <v>2034</v>
      </c>
      <c r="O73" s="14">
        <v>0</v>
      </c>
      <c r="P73" s="14"/>
      <c r="Q73" s="4">
        <f t="shared" ca="1" si="32"/>
        <v>46140</v>
      </c>
      <c r="S73" s="1">
        <f>+K73</f>
        <v>75</v>
      </c>
      <c r="T73" s="246">
        <v>36.32</v>
      </c>
      <c r="U73" s="5">
        <f>+S73*T73-W73</f>
        <v>2724</v>
      </c>
      <c r="V73" s="5">
        <f>IF(G73="USD",U73*R73,+S73*T73-W73)</f>
        <v>2724</v>
      </c>
      <c r="W73" s="14">
        <v>0</v>
      </c>
      <c r="X73" s="17"/>
      <c r="Y73" s="30">
        <f>IF(A73=0,V73-N73,0)</f>
        <v>0</v>
      </c>
      <c r="Z73" s="30">
        <f ca="1">+Y73-(Y73*$AA$1)</f>
        <v>0</v>
      </c>
      <c r="AA73" s="14"/>
      <c r="AB73" s="170">
        <f>IF(A73=1,+V73-N73,0)</f>
        <v>690</v>
      </c>
      <c r="AC73" s="168">
        <f ca="1">+AB73-(AB73*$AA$1)</f>
        <v>545.21898943476322</v>
      </c>
      <c r="AD73" s="28">
        <f>+U73/M73-1</f>
        <v>0.33923303834808261</v>
      </c>
      <c r="AE73" s="48">
        <f ca="1">+Z73/$Z$393</f>
        <v>0</v>
      </c>
      <c r="AF73" s="48">
        <f ca="1">+N73/$N$259</f>
        <v>9.5073687806159922E-4</v>
      </c>
      <c r="AG73" s="204">
        <f ca="1">AVERAGE($AF$5:$AF$257)</f>
        <v>3.9682539682539663E-3</v>
      </c>
      <c r="AH73" s="1" t="str">
        <f ca="1">IF(AF73&lt;AG73,"no","si")</f>
        <v>no</v>
      </c>
      <c r="AI73" s="28" t="str">
        <f>IF(G73="USD",+R73/J73-1,"-")</f>
        <v>-</v>
      </c>
    </row>
    <row r="74" spans="1:35" x14ac:dyDescent="0.2">
      <c r="A74" s="14">
        <v>1</v>
      </c>
      <c r="B74" s="14" t="e" vm="51">
        <v>#VALUE!</v>
      </c>
      <c r="C74" s="14"/>
      <c r="D74" s="1" t="str" cm="1">
        <f t="array" aca="1" ref="D74" ca="1">_FV(B74,"Ticker symbol",TRUE)</f>
        <v>AMV0</v>
      </c>
      <c r="E74" s="27" cm="1">
        <f t="array" aca="1" ref="E74" ca="1">_FV(B74,"Price")</f>
        <v>37.700000000000003</v>
      </c>
      <c r="F74" s="27" cm="1">
        <f t="array" aca="1" ref="F74" ca="1">_FV(B74,"open")</f>
        <v>35.85</v>
      </c>
      <c r="G74" s="5" t="s">
        <v>148</v>
      </c>
      <c r="H74" s="5" t="s">
        <v>204</v>
      </c>
      <c r="I74" s="16">
        <v>45918</v>
      </c>
      <c r="J74" s="18"/>
      <c r="K74" s="14">
        <v>45</v>
      </c>
      <c r="L74" s="19">
        <v>34.18</v>
      </c>
      <c r="M74" s="5">
        <f>+K74*L74+O74</f>
        <v>1538.1</v>
      </c>
      <c r="N74" s="5">
        <f>IF(G74="USD",M74*J74,+K74*L74+O74)</f>
        <v>1538.1</v>
      </c>
      <c r="O74" s="14">
        <v>0</v>
      </c>
      <c r="P74" s="14"/>
      <c r="Q74" s="4">
        <f t="shared" ca="1" si="32"/>
        <v>46140</v>
      </c>
      <c r="S74" s="1">
        <f>+K74</f>
        <v>45</v>
      </c>
      <c r="T74" s="246">
        <v>36.32</v>
      </c>
      <c r="U74" s="5">
        <f>+S74*T74-W74</f>
        <v>1634.4</v>
      </c>
      <c r="V74" s="5">
        <f>IF(G74="USD",U74*R74,+S74*T74-W74)</f>
        <v>1634.4</v>
      </c>
      <c r="W74" s="14">
        <v>0</v>
      </c>
      <c r="X74" s="17"/>
      <c r="Y74" s="30">
        <f>IF(A74=0,V74-N74,0)</f>
        <v>0</v>
      </c>
      <c r="Z74" s="30">
        <f ca="1">+Y74-(Y74*$AA$1)</f>
        <v>0</v>
      </c>
      <c r="AA74" s="14"/>
      <c r="AB74" s="170">
        <f>IF(A74=1,+V74-N74,0)</f>
        <v>96.300000000000182</v>
      </c>
      <c r="AC74" s="168">
        <f ca="1">+AB74-(AB74*$AA$1)</f>
        <v>76.093606786330156</v>
      </c>
      <c r="AD74" s="28">
        <f>+U74/M74-1</f>
        <v>6.2609713282621549E-2</v>
      </c>
      <c r="AE74" s="48">
        <f ca="1">+Z74/$Z$393</f>
        <v>0</v>
      </c>
      <c r="AF74" s="48">
        <f ca="1">+N74/$N$259</f>
        <v>7.1894217902976679E-4</v>
      </c>
      <c r="AG74" s="204">
        <f ca="1">AVERAGE($AF$5:$AF$257)</f>
        <v>3.9682539682539663E-3</v>
      </c>
      <c r="AH74" s="1" t="str">
        <f ca="1">IF(AF74&lt;AG74,"no","si")</f>
        <v>no</v>
      </c>
      <c r="AI74" s="28" t="str">
        <f>IF(G74="USD",+R74/J74-1,"-")</f>
        <v>-</v>
      </c>
    </row>
    <row r="75" spans="1:35" ht="15" customHeight="1" x14ac:dyDescent="0.2">
      <c r="A75" s="14">
        <v>1</v>
      </c>
      <c r="B75" s="14" t="e" vm="52">
        <v>#VALUE!</v>
      </c>
      <c r="C75" s="14"/>
      <c r="D75" s="1" t="str" cm="1">
        <f t="array" aca="1" ref="D75" ca="1">_FV(B75,"Ticker symbol",TRUE)</f>
        <v>ACA</v>
      </c>
      <c r="E75" s="27" cm="1">
        <f t="array" aca="1" ref="E75" ca="1">_FV(B75,"Price")</f>
        <v>17.135000000000002</v>
      </c>
      <c r="F75" s="27" cm="1">
        <f t="array" aca="1" ref="F75" ca="1">_FV(B75,"open")</f>
        <v>17.085000000000001</v>
      </c>
      <c r="G75" s="5" t="str" cm="1">
        <f t="array" aca="1" ref="G75" ca="1">_FV(B75,"Currency")</f>
        <v>EUR</v>
      </c>
      <c r="H75" s="5" t="s">
        <v>26</v>
      </c>
      <c r="I75" s="16">
        <v>46050</v>
      </c>
      <c r="J75" s="18"/>
      <c r="K75" s="14">
        <v>827</v>
      </c>
      <c r="L75" s="19">
        <v>18.05</v>
      </c>
      <c r="M75" s="5">
        <f>+K75*L75+O75</f>
        <v>14942.35</v>
      </c>
      <c r="N75" s="5">
        <f ca="1">IF(G75="USD",M75*J75,+K75*L75+O75)</f>
        <v>14942.35</v>
      </c>
      <c r="O75" s="14">
        <v>15</v>
      </c>
      <c r="P75" s="14"/>
      <c r="Q75" s="4">
        <f t="shared" ca="1" si="32"/>
        <v>46140</v>
      </c>
      <c r="S75" s="1">
        <f>+K75</f>
        <v>827</v>
      </c>
      <c r="T75" s="5">
        <f ca="1">+E75</f>
        <v>17.135000000000002</v>
      </c>
      <c r="U75" s="5">
        <f ca="1">+S75*T75-W75</f>
        <v>14155.645</v>
      </c>
      <c r="V75" s="5">
        <f ca="1">IF(G75="USD",U75*R75,+S75*T75-W75)</f>
        <v>14155.645</v>
      </c>
      <c r="W75" s="14">
        <v>15</v>
      </c>
      <c r="Y75" s="30">
        <f>IF(A75=0,V75-N75,0)</f>
        <v>0</v>
      </c>
      <c r="Z75" s="30">
        <f ca="1">+Y75-(Y75*$AA$1)</f>
        <v>0</v>
      </c>
      <c r="AB75" s="170">
        <f ca="1">IF(A75=1,+V75-N75,0)</f>
        <v>-786.70499999999993</v>
      </c>
      <c r="AC75" s="168">
        <f ca="1">+AB75-(AB75*$AA$1)</f>
        <v>-621.63261606271794</v>
      </c>
      <c r="AD75" s="28">
        <f ca="1">+U75/M75-1</f>
        <v>-5.2649348997982237E-2</v>
      </c>
      <c r="AE75" s="48">
        <f ca="1">+Z75/$Z$393</f>
        <v>0</v>
      </c>
      <c r="AF75" s="48">
        <f ca="1">+N75/$N$259</f>
        <v>6.9843870156852204E-3</v>
      </c>
      <c r="AG75" s="204">
        <f ca="1">AVERAGE($AF$5:$AF$257)</f>
        <v>3.9682539682539663E-3</v>
      </c>
      <c r="AH75" s="1" t="str">
        <f ca="1">IF(AF75&lt;AG75,"no","si")</f>
        <v>si</v>
      </c>
      <c r="AI75" s="28" t="str">
        <f ca="1">IF(G75="USD",+R75/J75-1,"-")</f>
        <v>-</v>
      </c>
    </row>
    <row r="76" spans="1:35" ht="15" customHeight="1" x14ac:dyDescent="0.2">
      <c r="A76" s="1">
        <v>1</v>
      </c>
      <c r="B76" s="1" t="e" vm="53">
        <v>#VALUE!</v>
      </c>
      <c r="D76" s="1" t="str" cm="1">
        <f t="array" aca="1" ref="D76" ca="1">_FV(B76,"Ticker symbol",TRUE)</f>
        <v>CRBP</v>
      </c>
      <c r="E76" s="25" cm="1">
        <f t="array" aca="1" ref="E76" ca="1">_FV(B76,"Price")</f>
        <v>10.08</v>
      </c>
      <c r="F76" s="25" cm="1">
        <f t="array" aca="1" ref="F76" ca="1">_FV(B76,"open")</f>
        <v>10.06</v>
      </c>
      <c r="G76" s="5" t="str" cm="1">
        <f t="array" aca="1" ref="G76" ca="1">_FV(B76,"Currency")</f>
        <v>USD</v>
      </c>
      <c r="H76" s="5" t="s">
        <v>199</v>
      </c>
      <c r="I76" s="4">
        <v>46179</v>
      </c>
      <c r="J76" s="172">
        <v>0.86660000000000004</v>
      </c>
      <c r="K76" s="1">
        <v>456</v>
      </c>
      <c r="L76" s="10">
        <v>10.32</v>
      </c>
      <c r="M76" s="5">
        <f>+K76*L76+O76</f>
        <v>4705.92</v>
      </c>
      <c r="N76" s="5">
        <f ca="1">IF(G76="USD",M76*J76,+K76*L76+O76)</f>
        <v>4078.1502720000003</v>
      </c>
      <c r="O76" s="1">
        <v>0</v>
      </c>
      <c r="Q76" s="4">
        <f t="shared" ca="1" si="32"/>
        <v>46140</v>
      </c>
      <c r="R76" s="8">
        <f ca="1">+$M$551</f>
        <v>0.85299999999999998</v>
      </c>
      <c r="S76" s="1">
        <f>+K76</f>
        <v>456</v>
      </c>
      <c r="T76" s="5">
        <f ca="1">+E76</f>
        <v>10.08</v>
      </c>
      <c r="U76" s="5">
        <f ca="1">+S76*T76-W76</f>
        <v>4596.4800000000005</v>
      </c>
      <c r="V76" s="5">
        <f ca="1">IF(G76="USD",U76*R76,+S76*T76-W76)</f>
        <v>3920.7974400000003</v>
      </c>
      <c r="W76" s="1">
        <v>0</v>
      </c>
      <c r="Y76" s="30">
        <f>IF(A76=0,V76-N76,0)</f>
        <v>0</v>
      </c>
      <c r="Z76" s="30">
        <f ca="1">+Y76-(Y76*$AA$1)</f>
        <v>0</v>
      </c>
      <c r="AB76" s="170">
        <f ca="1">IF(A76=1,+V76-N76,0)</f>
        <v>-157.35283200000003</v>
      </c>
      <c r="AC76" s="168">
        <f ca="1">+AB76-(AB76*$AA$1)</f>
        <v>-124.33587253295377</v>
      </c>
      <c r="AD76" s="28">
        <f ca="1">+U76/M76-1</f>
        <v>-2.3255813953488302E-2</v>
      </c>
      <c r="AE76" s="48">
        <f ca="1">+Z76/$Z$393</f>
        <v>0</v>
      </c>
      <c r="AF76" s="48">
        <f ca="1">+N76/$N$259</f>
        <v>1.9062182192071495E-3</v>
      </c>
      <c r="AG76" s="204">
        <f ca="1">AVERAGE($AF$5:$AF$257)</f>
        <v>3.9682539682539663E-3</v>
      </c>
      <c r="AH76" s="1" t="str">
        <f ca="1">IF(AF76&lt;AG76,"no","si")</f>
        <v>no</v>
      </c>
      <c r="AI76" s="28">
        <f ca="1">IF(G76="USD",+R76/J76-1,"-")</f>
        <v>-1.569351488576054E-2</v>
      </c>
    </row>
    <row r="77" spans="1:35" ht="15" customHeight="1" x14ac:dyDescent="0.2">
      <c r="A77" s="14">
        <v>1</v>
      </c>
      <c r="B77" s="14" t="e" vm="54">
        <v>#VALUE!</v>
      </c>
      <c r="C77" s="14"/>
      <c r="D77" s="1" t="str" cm="1">
        <f t="array" aca="1" ref="D77" ca="1">_FV(B77,"Ticker symbol",TRUE)</f>
        <v>DTG</v>
      </c>
      <c r="E77" s="27" cm="1">
        <f t="array" aca="1" ref="E77" ca="1">_FV(B77,"Price")</f>
        <v>43.16</v>
      </c>
      <c r="F77" s="27" cm="1">
        <f t="array" aca="1" ref="F77" ca="1">_FV(B77,"open")</f>
        <v>43.97</v>
      </c>
      <c r="G77" s="5" t="str" cm="1">
        <f t="array" aca="1" ref="G77" ca="1">_FV(B77,"Currency")</f>
        <v>EUR</v>
      </c>
      <c r="H77" s="5" t="s">
        <v>26</v>
      </c>
      <c r="I77" s="16">
        <v>45575</v>
      </c>
      <c r="J77" s="18"/>
      <c r="K77" s="14">
        <v>320</v>
      </c>
      <c r="L77" s="19">
        <v>35.25</v>
      </c>
      <c r="M77" s="5">
        <f t="shared" si="0"/>
        <v>11295</v>
      </c>
      <c r="N77" s="5">
        <f t="shared" ca="1" si="1"/>
        <v>11295</v>
      </c>
      <c r="O77" s="14">
        <v>15</v>
      </c>
      <c r="P77" s="14"/>
      <c r="Q77" s="4">
        <f t="shared" ca="1" si="32"/>
        <v>46140</v>
      </c>
      <c r="S77" s="1">
        <f t="shared" si="28"/>
        <v>320</v>
      </c>
      <c r="T77" s="5">
        <f t="shared" ca="1" si="4"/>
        <v>43.16</v>
      </c>
      <c r="U77" s="5">
        <f t="shared" ca="1" si="5"/>
        <v>13796.199999999999</v>
      </c>
      <c r="V77" s="5">
        <f t="shared" ca="1" si="6"/>
        <v>13796.199999999999</v>
      </c>
      <c r="W77" s="14">
        <v>15</v>
      </c>
      <c r="Y77" s="30">
        <f t="shared" si="29"/>
        <v>0</v>
      </c>
      <c r="Z77" s="30">
        <f t="shared" ca="1" si="30"/>
        <v>0</v>
      </c>
      <c r="AB77" s="170">
        <f t="shared" ca="1" si="9"/>
        <v>2501.1999999999989</v>
      </c>
      <c r="AC77" s="168">
        <f t="shared" ca="1" si="10"/>
        <v>1976.3793280785931</v>
      </c>
      <c r="AD77" s="28">
        <f t="shared" ca="1" si="11"/>
        <v>0.22144311642319603</v>
      </c>
      <c r="AE77" s="48">
        <f ca="1">+Z77/$Z$393</f>
        <v>0</v>
      </c>
      <c r="AF77" s="48">
        <f ca="1">+N77/$N$259</f>
        <v>5.2795344334836593E-3</v>
      </c>
      <c r="AG77" s="204">
        <f ca="1">AVERAGE($AF$5:$AF$257)</f>
        <v>3.9682539682539663E-3</v>
      </c>
      <c r="AH77" s="1" t="str">
        <f t="shared" ca="1" si="12"/>
        <v>si</v>
      </c>
      <c r="AI77" s="28" t="str">
        <f t="shared" ca="1" si="31"/>
        <v>-</v>
      </c>
    </row>
    <row r="78" spans="1:35" ht="15" customHeight="1" x14ac:dyDescent="0.2">
      <c r="A78" s="1">
        <v>1</v>
      </c>
      <c r="B78" s="1" t="e" vm="55">
        <v>#VALUE!</v>
      </c>
      <c r="D78" s="1" t="str" cm="1">
        <f t="array" aca="1" ref="D78" ca="1">_FV(B78,"Ticker symbol",TRUE)</f>
        <v>DHR</v>
      </c>
      <c r="E78" s="25" cm="1">
        <f t="array" aca="1" ref="E78" ca="1">_FV(B78,"Price")</f>
        <v>180.59</v>
      </c>
      <c r="F78" s="25" cm="1">
        <f t="array" aca="1" ref="F78" ca="1">_FV(B78,"open")</f>
        <v>176.76</v>
      </c>
      <c r="G78" s="5" t="str" cm="1">
        <f t="array" aca="1" ref="G78" ca="1">_FV(B78,"Currency")</f>
        <v>USD</v>
      </c>
      <c r="H78" s="5" t="s">
        <v>26</v>
      </c>
      <c r="I78" s="4">
        <v>45502</v>
      </c>
      <c r="J78" s="172">
        <v>0.92681999999999998</v>
      </c>
      <c r="K78" s="1">
        <v>36</v>
      </c>
      <c r="L78" s="10">
        <v>271.93</v>
      </c>
      <c r="M78" s="5">
        <f t="shared" si="0"/>
        <v>9804.48</v>
      </c>
      <c r="N78" s="5">
        <f t="shared" ca="1" si="1"/>
        <v>9086.9881535999994</v>
      </c>
      <c r="O78" s="1">
        <v>15</v>
      </c>
      <c r="Q78" s="4">
        <f t="shared" ca="1" si="32"/>
        <v>46140</v>
      </c>
      <c r="R78" s="8">
        <f ca="1">+$M$551</f>
        <v>0.85299999999999998</v>
      </c>
      <c r="S78" s="1">
        <f t="shared" si="28"/>
        <v>36</v>
      </c>
      <c r="T78" s="5">
        <f t="shared" ca="1" si="4"/>
        <v>180.59</v>
      </c>
      <c r="U78" s="5">
        <f t="shared" ca="1" si="5"/>
        <v>6486.24</v>
      </c>
      <c r="V78" s="5">
        <f t="shared" ca="1" si="6"/>
        <v>5532.7627199999997</v>
      </c>
      <c r="W78" s="1">
        <v>15</v>
      </c>
      <c r="Y78" s="30">
        <f t="shared" si="29"/>
        <v>0</v>
      </c>
      <c r="Z78" s="30">
        <f t="shared" ca="1" si="30"/>
        <v>0</v>
      </c>
      <c r="AB78" s="170">
        <f t="shared" ca="1" si="9"/>
        <v>-3554.2254335999996</v>
      </c>
      <c r="AC78" s="168">
        <f t="shared" ca="1" si="10"/>
        <v>-2808.4510132329351</v>
      </c>
      <c r="AD78" s="28">
        <f t="shared" ca="1" si="11"/>
        <v>-0.33844120238911191</v>
      </c>
      <c r="AE78" s="48">
        <f ca="1">+Z78/$Z$393</f>
        <v>0</v>
      </c>
      <c r="AF78" s="48">
        <f ca="1">+N78/$N$259</f>
        <v>4.2474605448064896E-3</v>
      </c>
      <c r="AG78" s="204">
        <f ca="1">AVERAGE($AF$5:$AF$257)</f>
        <v>3.9682539682539663E-3</v>
      </c>
      <c r="AH78" s="1" t="str">
        <f t="shared" ca="1" si="12"/>
        <v>si</v>
      </c>
      <c r="AI78" s="28">
        <f t="shared" ca="1" si="31"/>
        <v>-7.9648691223754287E-2</v>
      </c>
    </row>
    <row r="79" spans="1:35" ht="15" customHeight="1" x14ac:dyDescent="0.2">
      <c r="A79" s="1">
        <v>1</v>
      </c>
      <c r="B79" s="1" t="e" vm="55">
        <v>#VALUE!</v>
      </c>
      <c r="D79" s="1" t="str" cm="1">
        <f t="array" aca="1" ref="D79" ca="1">_FV(B79,"Ticker symbol",TRUE)</f>
        <v>DHR</v>
      </c>
      <c r="E79" s="25" cm="1">
        <f t="array" aca="1" ref="E79" ca="1">_FV(B79,"Price")</f>
        <v>180.59</v>
      </c>
      <c r="F79" s="25" cm="1">
        <f t="array" aca="1" ref="F79" ca="1">_FV(B79,"open")</f>
        <v>176.76</v>
      </c>
      <c r="G79" s="5" t="str" cm="1">
        <f t="array" aca="1" ref="G79" ca="1">_FV(B79,"Currency")</f>
        <v>USD</v>
      </c>
      <c r="H79" s="5" t="s">
        <v>199</v>
      </c>
      <c r="I79" s="4">
        <v>45819</v>
      </c>
      <c r="J79" s="172">
        <v>0.87060000000000004</v>
      </c>
      <c r="K79" s="1">
        <v>16</v>
      </c>
      <c r="L79" s="10">
        <v>203.07</v>
      </c>
      <c r="M79" s="5">
        <f>+K79*L79+O79</f>
        <v>3249.12</v>
      </c>
      <c r="N79" s="5">
        <f ca="1">IF(G79="USD",M79*J79,+K79*L79+O79)</f>
        <v>2828.6838720000001</v>
      </c>
      <c r="O79" s="1">
        <v>0</v>
      </c>
      <c r="Q79" s="4">
        <f t="shared" ca="1" si="32"/>
        <v>46140</v>
      </c>
      <c r="R79" s="8">
        <f ca="1">+$M$551</f>
        <v>0.85299999999999998</v>
      </c>
      <c r="S79" s="1">
        <f>+K79</f>
        <v>16</v>
      </c>
      <c r="T79" s="5">
        <f ca="1">+E79</f>
        <v>180.59</v>
      </c>
      <c r="U79" s="5">
        <f ca="1">+S79*T79-W79</f>
        <v>2889.44</v>
      </c>
      <c r="V79" s="5">
        <f ca="1">IF(G79="USD",U79*R79,+S79*T79-W79)</f>
        <v>2464.6923200000001</v>
      </c>
      <c r="W79" s="1">
        <v>0</v>
      </c>
      <c r="Y79" s="30">
        <f>IF(A79=0,V79-N79,0)</f>
        <v>0</v>
      </c>
      <c r="Z79" s="30">
        <f ca="1">+Y79-(Y79*$AA$1)</f>
        <v>0</v>
      </c>
      <c r="AB79" s="170">
        <f t="shared" ca="1" si="9"/>
        <v>-363.99155199999996</v>
      </c>
      <c r="AC79" s="168">
        <f t="shared" ca="1" si="10"/>
        <v>-287.61609586120443</v>
      </c>
      <c r="AD79" s="28">
        <f ca="1">+U79/M79-1</f>
        <v>-0.1107007435859555</v>
      </c>
      <c r="AE79" s="48">
        <f ca="1">+Z79/$Z$393</f>
        <v>0</v>
      </c>
      <c r="AF79" s="48">
        <f ca="1">+N79/$N$259</f>
        <v>1.3221898099746688E-3</v>
      </c>
      <c r="AG79" s="204">
        <f ca="1">AVERAGE($AF$5:$AF$257)</f>
        <v>3.9682539682539663E-3</v>
      </c>
      <c r="AH79" s="1" t="str">
        <f ca="1">IF(AF79&lt;AG79,"no","si")</f>
        <v>no</v>
      </c>
      <c r="AI79" s="28">
        <f ca="1">IF(G79="USD",+R79/J79-1,"-")</f>
        <v>-2.0215943027796945E-2</v>
      </c>
    </row>
    <row r="80" spans="1:35" ht="15" customHeight="1" x14ac:dyDescent="0.2">
      <c r="A80" s="1">
        <v>1</v>
      </c>
      <c r="B80" s="1" t="e" vm="56">
        <v>#VALUE!</v>
      </c>
      <c r="D80" s="1" t="str" cm="1">
        <f t="array" aca="1" ref="D80" ca="1">_FV(B80,"Ticker symbol",TRUE)</f>
        <v>DDOG</v>
      </c>
      <c r="E80" s="25" cm="1">
        <f t="array" aca="1" ref="E80" ca="1">_FV(B80,"Price")</f>
        <v>132.66</v>
      </c>
      <c r="F80" s="25" cm="1">
        <f t="array" aca="1" ref="F80" ca="1">_FV(B80,"open")</f>
        <v>129.4</v>
      </c>
      <c r="G80" s="5" t="str" cm="1">
        <f t="array" aca="1" ref="G80" ca="1">_FV(B80,"Currency")</f>
        <v>USD</v>
      </c>
      <c r="H80" s="5" t="s">
        <v>26</v>
      </c>
      <c r="I80" s="4">
        <v>45685</v>
      </c>
      <c r="J80" s="172">
        <v>0.96199999999999997</v>
      </c>
      <c r="K80" s="1">
        <v>78</v>
      </c>
      <c r="L80" s="10">
        <v>143.4</v>
      </c>
      <c r="M80" s="5">
        <f t="shared" si="0"/>
        <v>11200.2</v>
      </c>
      <c r="N80" s="5">
        <f t="shared" ca="1" si="1"/>
        <v>10774.5924</v>
      </c>
      <c r="O80" s="1">
        <v>15</v>
      </c>
      <c r="Q80" s="4">
        <f t="shared" ca="1" si="32"/>
        <v>46140</v>
      </c>
      <c r="R80" s="8">
        <f ca="1">+$M$551</f>
        <v>0.85299999999999998</v>
      </c>
      <c r="S80" s="1">
        <f t="shared" si="28"/>
        <v>78</v>
      </c>
      <c r="T80" s="5">
        <f t="shared" ca="1" si="4"/>
        <v>132.66</v>
      </c>
      <c r="U80" s="5">
        <f t="shared" ca="1" si="5"/>
        <v>10332.48</v>
      </c>
      <c r="V80" s="5">
        <f t="shared" ca="1" si="6"/>
        <v>8813.6054399999994</v>
      </c>
      <c r="W80" s="1">
        <v>15</v>
      </c>
      <c r="Y80" s="30">
        <f t="shared" si="29"/>
        <v>0</v>
      </c>
      <c r="Z80" s="30">
        <f t="shared" ca="1" si="30"/>
        <v>0</v>
      </c>
      <c r="AB80" s="170">
        <f t="shared" ca="1" si="9"/>
        <v>-1960.9869600000002</v>
      </c>
      <c r="AC80" s="168">
        <f t="shared" ca="1" si="10"/>
        <v>-1549.5178675738387</v>
      </c>
      <c r="AD80" s="28">
        <f t="shared" ca="1" si="11"/>
        <v>-7.7473616542561796E-2</v>
      </c>
      <c r="AE80" s="48">
        <f ca="1">+Z80/$Z$393</f>
        <v>0</v>
      </c>
      <c r="AF80" s="48">
        <f ca="1">+N80/$N$259</f>
        <v>5.0362843366579318E-3</v>
      </c>
      <c r="AG80" s="204">
        <f ca="1">AVERAGE($AF$5:$AF$257)</f>
        <v>3.9682539682539663E-3</v>
      </c>
      <c r="AH80" s="1" t="str">
        <f t="shared" ca="1" si="12"/>
        <v>si</v>
      </c>
      <c r="AI80" s="28">
        <f t="shared" ca="1" si="31"/>
        <v>-0.11330561330561328</v>
      </c>
    </row>
    <row r="81" spans="1:35" ht="15" customHeight="1" x14ac:dyDescent="0.2">
      <c r="A81" s="15">
        <v>1</v>
      </c>
      <c r="B81" s="1" t="e" vm="57">
        <v>#VALUE!</v>
      </c>
      <c r="D81" s="1" t="str" cm="1">
        <f t="array" aca="1" ref="D81" ca="1">_FV(B81,"Ticker symbol",TRUE)</f>
        <v>LHA</v>
      </c>
      <c r="E81" s="27" cm="1">
        <f t="array" aca="1" ref="E81" ca="1">_FV(B81,"Price")</f>
        <v>7.3380000000000001</v>
      </c>
      <c r="F81" s="27" cm="1">
        <f t="array" aca="1" ref="F81" ca="1">_FV(B81,"open")</f>
        <v>7.3019999999999996</v>
      </c>
      <c r="G81" s="5" t="str" cm="1">
        <f t="array" aca="1" ref="G81" ca="1">_FV(B81,"Currency")</f>
        <v>EUR</v>
      </c>
      <c r="H81" s="5" t="s">
        <v>183</v>
      </c>
      <c r="I81" s="4">
        <v>45163</v>
      </c>
      <c r="J81" s="18"/>
      <c r="K81" s="1">
        <f>993+146+61</f>
        <v>1200</v>
      </c>
      <c r="L81" s="10">
        <v>8.14</v>
      </c>
      <c r="M81" s="5">
        <f t="shared" si="0"/>
        <v>9783</v>
      </c>
      <c r="N81" s="5">
        <f t="shared" ca="1" si="1"/>
        <v>9783</v>
      </c>
      <c r="O81" s="1">
        <v>15</v>
      </c>
      <c r="Q81" s="4">
        <f t="shared" ca="1" si="32"/>
        <v>46140</v>
      </c>
      <c r="S81" s="1">
        <f t="shared" si="28"/>
        <v>1200</v>
      </c>
      <c r="T81" s="5">
        <f t="shared" ca="1" si="4"/>
        <v>7.3380000000000001</v>
      </c>
      <c r="U81" s="5">
        <f t="shared" ca="1" si="5"/>
        <v>8790.6</v>
      </c>
      <c r="V81" s="5">
        <f t="shared" ca="1" si="6"/>
        <v>8790.6</v>
      </c>
      <c r="W81" s="14">
        <v>15</v>
      </c>
      <c r="Y81" s="30">
        <f t="shared" si="29"/>
        <v>0</v>
      </c>
      <c r="Z81" s="30">
        <f t="shared" ca="1" si="30"/>
        <v>0</v>
      </c>
      <c r="AB81" s="170">
        <f t="shared" ref="AB81:AB147" ca="1" si="33">IF(A81=1,+V81-N81,0)</f>
        <v>-992.39999999999964</v>
      </c>
      <c r="AC81" s="168">
        <f t="shared" ref="AC81:AC147" ca="1" si="34">+AB81-(AB81*$AA$1)</f>
        <v>-784.16713784791136</v>
      </c>
      <c r="AD81" s="28">
        <f t="shared" ca="1" si="11"/>
        <v>-0.10144127568230599</v>
      </c>
      <c r="AE81" s="48">
        <f ca="1">+Z81/$Z$393</f>
        <v>0</v>
      </c>
      <c r="AF81" s="48">
        <f ca="1">+N81/$N$259</f>
        <v>4.5727919754555684E-3</v>
      </c>
      <c r="AG81" s="204">
        <f ca="1">AVERAGE($AF$5:$AF$257)</f>
        <v>3.9682539682539663E-3</v>
      </c>
      <c r="AH81" s="1" t="str">
        <f t="shared" ca="1" si="12"/>
        <v>si</v>
      </c>
      <c r="AI81" s="28" t="str">
        <f t="shared" ca="1" si="31"/>
        <v>-</v>
      </c>
    </row>
    <row r="82" spans="1:35" ht="15" customHeight="1" x14ac:dyDescent="0.2">
      <c r="A82" s="15">
        <v>1</v>
      </c>
      <c r="B82" s="1" t="e" vm="58">
        <v>#VALUE!</v>
      </c>
      <c r="D82" s="1" t="str" cm="1">
        <f t="array" aca="1" ref="D82" ca="1">_FV(B82,"Ticker symbol",TRUE)</f>
        <v>DB1</v>
      </c>
      <c r="E82" s="27" cm="1">
        <f t="array" aca="1" ref="E82" ca="1">_FV(B82,"Price")</f>
        <v>266.89999999999998</v>
      </c>
      <c r="F82" s="27" cm="1">
        <f t="array" aca="1" ref="F82" ca="1">_FV(B82,"open")</f>
        <v>266.8</v>
      </c>
      <c r="G82" s="5" t="str" cm="1">
        <f t="array" aca="1" ref="G82" ca="1">_FV(B82,"Currency")</f>
        <v>EUR</v>
      </c>
      <c r="H82" s="5" t="s">
        <v>183</v>
      </c>
      <c r="I82" s="4">
        <v>46093</v>
      </c>
      <c r="J82" s="18"/>
      <c r="K82" s="1">
        <v>45</v>
      </c>
      <c r="L82" s="10">
        <v>235</v>
      </c>
      <c r="M82" s="5">
        <f>+K82*L82+O82</f>
        <v>10590</v>
      </c>
      <c r="N82" s="5">
        <f ca="1">IF(G82="USD",M82*J82,+K82*L82+O82)</f>
        <v>10590</v>
      </c>
      <c r="O82" s="1">
        <v>15</v>
      </c>
      <c r="Q82" s="4">
        <f t="shared" ca="1" si="32"/>
        <v>46140</v>
      </c>
      <c r="S82" s="1">
        <f>+K82</f>
        <v>45</v>
      </c>
      <c r="T82" s="5">
        <f ca="1">+E82</f>
        <v>266.89999999999998</v>
      </c>
      <c r="U82" s="5">
        <f ca="1">+S82*T82-W82</f>
        <v>11995.499999999998</v>
      </c>
      <c r="V82" s="5">
        <f ca="1">IF(G82="USD",U82*R82,+S82*T82-W82)</f>
        <v>11995.499999999998</v>
      </c>
      <c r="W82" s="14">
        <v>15</v>
      </c>
      <c r="Y82" s="30">
        <f>IF(A82=0,V82-N82,0)</f>
        <v>0</v>
      </c>
      <c r="Z82" s="30">
        <f ca="1">+Y82-(Y82*$AA$1)</f>
        <v>0</v>
      </c>
      <c r="AB82" s="170">
        <f ca="1">IF(A82=1,+V82-N82,0)</f>
        <v>1405.4999999999982</v>
      </c>
      <c r="AC82" s="168">
        <f ca="1">+AB82-(AB82*$AA$1)</f>
        <v>1110.5873763051577</v>
      </c>
      <c r="AD82" s="28">
        <f ca="1">+U82/M82-1</f>
        <v>0.13271954674220954</v>
      </c>
      <c r="AE82" s="48">
        <f ca="1">+Z82/$Z$393</f>
        <v>0</v>
      </c>
      <c r="AF82" s="48">
        <f ca="1">+N82/$N$259</f>
        <v>4.9500017397602443E-3</v>
      </c>
      <c r="AG82" s="204">
        <f ca="1">AVERAGE($AF$5:$AF$257)</f>
        <v>3.9682539682539663E-3</v>
      </c>
      <c r="AH82" s="1" t="str">
        <f ca="1">IF(AF82&lt;AG82,"no","si")</f>
        <v>si</v>
      </c>
      <c r="AI82" s="28" t="str">
        <f ca="1">IF(G82="USD",+R82/J82-1,"-")</f>
        <v>-</v>
      </c>
    </row>
    <row r="83" spans="1:35" ht="15" customHeight="1" x14ac:dyDescent="0.2">
      <c r="A83" s="1">
        <v>1</v>
      </c>
      <c r="B83" s="1" t="e" vm="59">
        <v>#VALUE!</v>
      </c>
      <c r="D83" s="1" t="str" cm="1">
        <f t="array" aca="1" ref="D83" ca="1">_FV(B83,"Ticker symbol",TRUE)</f>
        <v>DOCU</v>
      </c>
      <c r="E83" s="25" cm="1">
        <f t="array" aca="1" ref="E83" ca="1">_FV(B83,"Price")</f>
        <v>45.66</v>
      </c>
      <c r="F83" s="25" cm="1">
        <f t="array" aca="1" ref="F83" ca="1">_FV(B83,"open")</f>
        <v>46.19</v>
      </c>
      <c r="G83" s="5" t="str" cm="1">
        <f t="array" aca="1" ref="G83" ca="1">_FV(B83,"Currency")</f>
        <v>USD</v>
      </c>
      <c r="H83" s="5" t="s">
        <v>183</v>
      </c>
      <c r="I83" s="4">
        <v>45917</v>
      </c>
      <c r="J83" s="172">
        <v>0.84709999999999996</v>
      </c>
      <c r="K83" s="1">
        <v>156</v>
      </c>
      <c r="L83" s="10">
        <v>83.038899999999998</v>
      </c>
      <c r="M83" s="5">
        <f>+K83*L83+O83</f>
        <v>12969.0684</v>
      </c>
      <c r="N83" s="5">
        <f ca="1">IF(G83="USD",M83*J83,+K83*L83+O83)</f>
        <v>10986.097841639999</v>
      </c>
      <c r="O83" s="1">
        <v>15</v>
      </c>
      <c r="Q83" s="4">
        <f t="shared" ca="1" si="32"/>
        <v>46140</v>
      </c>
      <c r="R83" s="8">
        <f ca="1">+$M$551</f>
        <v>0.85299999999999998</v>
      </c>
      <c r="S83" s="1">
        <f>+K83</f>
        <v>156</v>
      </c>
      <c r="T83" s="5">
        <f ca="1">+E83</f>
        <v>45.66</v>
      </c>
      <c r="U83" s="5">
        <f ca="1">+S83*T83-W83</f>
        <v>7107.9599999999991</v>
      </c>
      <c r="V83" s="5">
        <f ca="1">IF(G83="USD",U83*R83,+S83*T83-W83)</f>
        <v>6063.0898799999995</v>
      </c>
      <c r="W83" s="1">
        <v>15</v>
      </c>
      <c r="Y83" s="30">
        <f>IF(A83=0,V83-N83,0)</f>
        <v>0</v>
      </c>
      <c r="Z83" s="30">
        <f ca="1">+Y83-(Y83*$AA$1)</f>
        <v>0</v>
      </c>
      <c r="AB83" s="170">
        <f t="shared" ca="1" si="33"/>
        <v>-4923.0079616399998</v>
      </c>
      <c r="AC83" s="168">
        <f t="shared" ca="1" si="34"/>
        <v>-3890.0252548183398</v>
      </c>
      <c r="AD83" s="28">
        <f ca="1">+U83/M83-1</f>
        <v>-0.45192979319933269</v>
      </c>
      <c r="AE83" s="48">
        <f ca="1">+Z83/$Z$393</f>
        <v>0</v>
      </c>
      <c r="AF83" s="48">
        <f ca="1">+N83/$N$259</f>
        <v>5.1351466883186271E-3</v>
      </c>
      <c r="AG83" s="204">
        <f ca="1">AVERAGE($AF$5:$AF$257)</f>
        <v>3.9682539682539663E-3</v>
      </c>
      <c r="AH83" s="1" t="str">
        <f ca="1">IF(AF83&lt;AG83,"no","si")</f>
        <v>si</v>
      </c>
      <c r="AI83" s="28">
        <f ca="1">IF(G83="USD",+R83/J83-1,"-")</f>
        <v>6.9649392043442671E-3</v>
      </c>
    </row>
    <row r="84" spans="1:35" x14ac:dyDescent="0.2">
      <c r="A84" s="15">
        <v>1</v>
      </c>
      <c r="B84" s="1" t="e" vm="60">
        <v>#VALUE!</v>
      </c>
      <c r="D84" s="1" t="str" cm="1">
        <f t="array" aca="1" ref="D84" ca="1">_FV(B84,"Ticker symbol",TRUE)</f>
        <v>EDP</v>
      </c>
      <c r="E84" s="27" cm="1">
        <f t="array" aca="1" ref="E84" ca="1">_FV(B84,"Price")</f>
        <v>4.5289999999999999</v>
      </c>
      <c r="F84" s="27" cm="1">
        <f t="array" aca="1" ref="F84" ca="1">_FV(B84,"open")</f>
        <v>4.5289999999999999</v>
      </c>
      <c r="G84" s="5" t="str" cm="1">
        <f t="array" aca="1" ref="G84" ca="1">_FV(B84,"Currency")</f>
        <v>EUR</v>
      </c>
      <c r="H84" s="5" t="s">
        <v>188</v>
      </c>
      <c r="I84" s="4">
        <v>45751</v>
      </c>
      <c r="J84" s="18"/>
      <c r="K84" s="1">
        <v>5000</v>
      </c>
      <c r="L84" s="10">
        <v>3.3180000000000001</v>
      </c>
      <c r="M84" s="5">
        <f t="shared" si="0"/>
        <v>16609</v>
      </c>
      <c r="N84" s="5">
        <f t="shared" ca="1" si="1"/>
        <v>16609</v>
      </c>
      <c r="O84" s="1">
        <v>19</v>
      </c>
      <c r="Q84" s="4">
        <f t="shared" ca="1" si="32"/>
        <v>46140</v>
      </c>
      <c r="S84" s="1">
        <f t="shared" si="28"/>
        <v>5000</v>
      </c>
      <c r="T84" s="5">
        <f t="shared" ca="1" si="4"/>
        <v>4.5289999999999999</v>
      </c>
      <c r="U84" s="5">
        <f t="shared" ca="1" si="5"/>
        <v>22626</v>
      </c>
      <c r="V84" s="5">
        <f t="shared" ca="1" si="6"/>
        <v>22626</v>
      </c>
      <c r="W84" s="14">
        <v>19</v>
      </c>
      <c r="X84" s="17"/>
      <c r="Y84" s="30">
        <f t="shared" si="29"/>
        <v>0</v>
      </c>
      <c r="Z84" s="30">
        <f t="shared" ca="1" si="30"/>
        <v>0</v>
      </c>
      <c r="AB84" s="170">
        <f t="shared" ca="1" si="33"/>
        <v>6017</v>
      </c>
      <c r="AC84" s="168">
        <f t="shared" ca="1" si="34"/>
        <v>4754.4676223608267</v>
      </c>
      <c r="AD84" s="28">
        <f t="shared" ca="1" si="11"/>
        <v>0.3622734661930278</v>
      </c>
      <c r="AE84" s="48">
        <f ca="1">+Z84/$Z$393</f>
        <v>0</v>
      </c>
      <c r="AF84" s="48">
        <f ca="1">+N84/$N$259</f>
        <v>7.7634163263151932E-3</v>
      </c>
      <c r="AG84" s="204">
        <f ca="1">AVERAGE($AF$5:$AF$257)</f>
        <v>3.9682539682539663E-3</v>
      </c>
      <c r="AH84" s="1" t="str">
        <f t="shared" ca="1" si="12"/>
        <v>si</v>
      </c>
      <c r="AI84" s="28" t="str">
        <f t="shared" ca="1" si="31"/>
        <v>-</v>
      </c>
    </row>
    <row r="85" spans="1:35" x14ac:dyDescent="0.2">
      <c r="A85" s="15">
        <v>1</v>
      </c>
      <c r="B85" s="1" t="e" vm="61">
        <v>#VALUE!</v>
      </c>
      <c r="D85" s="1" t="str" cm="1">
        <f t="array" aca="1" ref="D85" ca="1">_FV(B85,"Ticker symbol",TRUE)</f>
        <v>EDIT</v>
      </c>
      <c r="E85" s="25" cm="1">
        <f t="array" aca="1" ref="E85" ca="1">_FV(B85,"Price")</f>
        <v>2.89</v>
      </c>
      <c r="F85" s="25" cm="1">
        <f t="array" aca="1" ref="F85" ca="1">_FV(B85,"open")</f>
        <v>2.85</v>
      </c>
      <c r="G85" s="5" t="str" cm="1">
        <f t="array" aca="1" ref="G85" ca="1">_FV(B85,"Currency")</f>
        <v>USD</v>
      </c>
      <c r="H85" s="5" t="s">
        <v>204</v>
      </c>
      <c r="I85" s="4">
        <v>46045</v>
      </c>
      <c r="J85" s="172">
        <v>0.8508</v>
      </c>
      <c r="K85" s="1">
        <v>4500</v>
      </c>
      <c r="L85" s="10">
        <v>2.35</v>
      </c>
      <c r="M85" s="5">
        <f>+K85*L85+O85</f>
        <v>10575</v>
      </c>
      <c r="N85" s="5">
        <f ca="1">IF(G85="USD",M85*J85,+K85*L85+O85)</f>
        <v>8997.2099999999991</v>
      </c>
      <c r="O85" s="1">
        <v>0</v>
      </c>
      <c r="Q85" s="4">
        <f t="shared" ca="1" si="32"/>
        <v>46140</v>
      </c>
      <c r="R85" s="8">
        <f ca="1">+$M$551</f>
        <v>0.85299999999999998</v>
      </c>
      <c r="S85" s="1">
        <f>+K85</f>
        <v>4500</v>
      </c>
      <c r="T85" s="5">
        <f ca="1">+E85</f>
        <v>2.89</v>
      </c>
      <c r="U85" s="5">
        <f ca="1">+S85*T85-W85</f>
        <v>13005</v>
      </c>
      <c r="V85" s="5">
        <f ca="1">IF(G85="USD",U85*R85,+S85*T85-W85)</f>
        <v>11093.264999999999</v>
      </c>
      <c r="W85" s="1">
        <v>0</v>
      </c>
      <c r="Y85" s="30">
        <f>IF(A85=0,V85-N85,0)</f>
        <v>0</v>
      </c>
      <c r="Z85" s="30">
        <f ca="1">+Y85-(Y85*$AA$1)</f>
        <v>0</v>
      </c>
      <c r="AB85" s="170">
        <f ca="1">IF(A85=1,+V85-N85,0)</f>
        <v>2096.0550000000003</v>
      </c>
      <c r="AC85" s="168">
        <f ca="1">+AB85-(AB85*$AA$1)</f>
        <v>1656.2449114488159</v>
      </c>
      <c r="AD85" s="28">
        <f ca="1">+U85/M85-1</f>
        <v>0.2297872340425533</v>
      </c>
      <c r="AE85" s="48">
        <f ca="1">+Z85/$Z$393</f>
        <v>0</v>
      </c>
      <c r="AF85" s="48">
        <f ca="1">+N85/$N$259</f>
        <v>4.2054962372982301E-3</v>
      </c>
      <c r="AG85" s="204">
        <f ca="1">AVERAGE($AF$5:$AF$257)</f>
        <v>3.9682539682539663E-3</v>
      </c>
      <c r="AH85" s="1" t="str">
        <f ca="1">IF(AF85&lt;AG85,"no","si")</f>
        <v>si</v>
      </c>
      <c r="AI85" s="28">
        <f ca="1">IF(G85="USD",+R85/J85-1,"-")</f>
        <v>2.5858015984954186E-3</v>
      </c>
    </row>
    <row r="86" spans="1:35" x14ac:dyDescent="0.2">
      <c r="A86" s="15">
        <v>1</v>
      </c>
      <c r="B86" s="1" t="e" vm="62">
        <v>#VALUE!</v>
      </c>
      <c r="D86" s="1" t="str" cm="1">
        <f t="array" aca="1" ref="D86" ca="1">_FV(B86,"Ticker symbol",TRUE)</f>
        <v>ENG</v>
      </c>
      <c r="E86" s="27" cm="1">
        <f t="array" aca="1" ref="E86" ca="1">_FV(B86,"Price")</f>
        <v>16.89</v>
      </c>
      <c r="F86" s="27" cm="1">
        <f t="array" aca="1" ref="F86" ca="1">_FV(B86,"open")</f>
        <v>16.93</v>
      </c>
      <c r="G86" s="5" t="str" cm="1">
        <f t="array" aca="1" ref="G86" ca="1">_FV(B86,"Currency")</f>
        <v>EUR</v>
      </c>
      <c r="H86" s="5" t="s">
        <v>115</v>
      </c>
      <c r="I86" s="4">
        <v>45806</v>
      </c>
      <c r="J86" s="18"/>
      <c r="K86" s="1">
        <v>495</v>
      </c>
      <c r="L86" s="10">
        <v>14.09</v>
      </c>
      <c r="M86" s="5">
        <f t="shared" si="0"/>
        <v>7000.05</v>
      </c>
      <c r="N86" s="5">
        <f t="shared" ca="1" si="1"/>
        <v>7000.05</v>
      </c>
      <c r="O86" s="1">
        <v>25.5</v>
      </c>
      <c r="Q86" s="4">
        <f t="shared" ca="1" si="32"/>
        <v>46140</v>
      </c>
      <c r="S86" s="1">
        <f t="shared" si="28"/>
        <v>495</v>
      </c>
      <c r="T86" s="5">
        <f t="shared" ca="1" si="4"/>
        <v>16.89</v>
      </c>
      <c r="U86" s="5">
        <f t="shared" ca="1" si="5"/>
        <v>8335.5500000000011</v>
      </c>
      <c r="V86" s="5">
        <f t="shared" ca="1" si="6"/>
        <v>8335.5500000000011</v>
      </c>
      <c r="W86" s="14">
        <v>25</v>
      </c>
      <c r="X86" s="17"/>
      <c r="Y86" s="30">
        <f t="shared" si="29"/>
        <v>0</v>
      </c>
      <c r="Z86" s="30">
        <f t="shared" ca="1" si="30"/>
        <v>0</v>
      </c>
      <c r="AB86" s="170">
        <f t="shared" ca="1" si="33"/>
        <v>1335.5000000000009</v>
      </c>
      <c r="AC86" s="168">
        <f t="shared" ca="1" si="34"/>
        <v>1055.2753049132273</v>
      </c>
      <c r="AD86" s="28">
        <f t="shared" ca="1" si="11"/>
        <v>0.19078435154034623</v>
      </c>
      <c r="AE86" s="48">
        <f ca="1">+Z86/$Z$393</f>
        <v>0</v>
      </c>
      <c r="AF86" s="48">
        <f ca="1">+N86/$N$259</f>
        <v>3.2719791953171574E-3</v>
      </c>
      <c r="AG86" s="204">
        <f ca="1">AVERAGE($AF$5:$AF$257)</f>
        <v>3.9682539682539663E-3</v>
      </c>
      <c r="AH86" s="1" t="str">
        <f t="shared" ca="1" si="12"/>
        <v>no</v>
      </c>
      <c r="AI86" s="28" t="str">
        <f t="shared" ca="1" si="31"/>
        <v>-</v>
      </c>
    </row>
    <row r="87" spans="1:35" x14ac:dyDescent="0.2">
      <c r="A87" s="15">
        <v>1</v>
      </c>
      <c r="B87" s="1" t="e" vm="62">
        <v>#VALUE!</v>
      </c>
      <c r="D87" s="1" t="str" cm="1">
        <f t="array" aca="1" ref="D87" ca="1">_FV(B87,"Ticker symbol",TRUE)</f>
        <v>ENG</v>
      </c>
      <c r="E87" s="27" cm="1">
        <f t="array" aca="1" ref="E87" ca="1">_FV(B87,"Price")</f>
        <v>16.89</v>
      </c>
      <c r="F87" s="27" cm="1">
        <f t="array" aca="1" ref="F87" ca="1">_FV(B87,"open")</f>
        <v>16.93</v>
      </c>
      <c r="G87" s="5" t="str" cm="1">
        <f t="array" aca="1" ref="G87" ca="1">_FV(B87,"Currency")</f>
        <v>EUR</v>
      </c>
      <c r="H87" s="5" t="s">
        <v>115</v>
      </c>
      <c r="I87" s="4">
        <v>45861</v>
      </c>
      <c r="J87" s="18"/>
      <c r="K87" s="1">
        <v>375</v>
      </c>
      <c r="L87" s="10">
        <v>13.29</v>
      </c>
      <c r="M87" s="5">
        <f>+K87*L87+O87</f>
        <v>5003.07</v>
      </c>
      <c r="N87" s="5">
        <f ca="1">IF(G87="USD",M87*J87,+K87*L87+O87)</f>
        <v>5003.07</v>
      </c>
      <c r="O87" s="1">
        <v>19.32</v>
      </c>
      <c r="Q87" s="4">
        <f t="shared" ca="1" si="32"/>
        <v>46140</v>
      </c>
      <c r="S87" s="1">
        <f>+K87</f>
        <v>375</v>
      </c>
      <c r="T87" s="5">
        <f ca="1">+E87</f>
        <v>16.89</v>
      </c>
      <c r="U87" s="5">
        <f ca="1">+S87*T87-W87</f>
        <v>6313.75</v>
      </c>
      <c r="V87" s="5">
        <f ca="1">IF(G87="USD",U87*R87,+S87*T87-W87)</f>
        <v>6313.75</v>
      </c>
      <c r="W87" s="14">
        <v>20</v>
      </c>
      <c r="X87" s="17"/>
      <c r="Y87" s="30">
        <f>IF(A87=0,V87-N87,0)</f>
        <v>0</v>
      </c>
      <c r="Z87" s="30">
        <f ca="1">+Y87-(Y87*$AA$1)</f>
        <v>0</v>
      </c>
      <c r="AB87" s="170">
        <f t="shared" ca="1" si="33"/>
        <v>1310.6800000000003</v>
      </c>
      <c r="AC87" s="168">
        <f t="shared" ca="1" si="34"/>
        <v>1035.6632247425446</v>
      </c>
      <c r="AD87" s="28">
        <f ca="1">+U87/M87-1</f>
        <v>0.2619751472595826</v>
      </c>
      <c r="AE87" s="48">
        <f ca="1">+Z87/$Z$393</f>
        <v>0</v>
      </c>
      <c r="AF87" s="48">
        <f ca="1">+N87/$N$259</f>
        <v>2.3385462893429918E-3</v>
      </c>
      <c r="AG87" s="204">
        <f ca="1">AVERAGE($AF$5:$AF$257)</f>
        <v>3.9682539682539663E-3</v>
      </c>
      <c r="AH87" s="1" t="str">
        <f ca="1">IF(AF87&lt;AG87,"no","si")</f>
        <v>no</v>
      </c>
      <c r="AI87" s="28" t="str">
        <f ca="1">IF(G87="USD",+R87/J87-1,"-")</f>
        <v>-</v>
      </c>
    </row>
    <row r="88" spans="1:35" x14ac:dyDescent="0.2">
      <c r="A88" s="15">
        <v>1</v>
      </c>
      <c r="B88" s="1" t="e" vm="62">
        <v>#VALUE!</v>
      </c>
      <c r="D88" s="1" t="str" cm="1">
        <f t="array" aca="1" ref="D88" ca="1">_FV(B88,"Ticker symbol",TRUE)</f>
        <v>ENG</v>
      </c>
      <c r="E88" s="27" cm="1">
        <f t="array" aca="1" ref="E88" ca="1">_FV(B88,"Price")</f>
        <v>16.89</v>
      </c>
      <c r="F88" s="27" cm="1">
        <f t="array" aca="1" ref="F88" ca="1">_FV(B88,"open")</f>
        <v>16.93</v>
      </c>
      <c r="G88" s="5" t="str" cm="1">
        <f t="array" aca="1" ref="G88" ca="1">_FV(B88,"Currency")</f>
        <v>EUR</v>
      </c>
      <c r="H88" s="5" t="s">
        <v>183</v>
      </c>
      <c r="I88" s="4">
        <v>45155</v>
      </c>
      <c r="J88" s="18"/>
      <c r="K88" s="1">
        <v>742</v>
      </c>
      <c r="L88" s="10">
        <v>15.41</v>
      </c>
      <c r="M88" s="5">
        <f>+K88*L88+O88</f>
        <v>11471.13</v>
      </c>
      <c r="N88" s="5">
        <f ca="1">IF(G88="USD",M88*J88,+K88*L88+O88)</f>
        <v>11471.13</v>
      </c>
      <c r="O88" s="1">
        <v>36.909999999999997</v>
      </c>
      <c r="Q88" s="4">
        <f t="shared" ca="1" si="32"/>
        <v>46140</v>
      </c>
      <c r="S88" s="1">
        <f>+K88</f>
        <v>742</v>
      </c>
      <c r="T88" s="5">
        <f ca="1">+E88</f>
        <v>16.89</v>
      </c>
      <c r="U88" s="5">
        <f ca="1">+S88*T88-W88</f>
        <v>12496.380000000001</v>
      </c>
      <c r="V88" s="5">
        <f ca="1">IF(G88="USD",U88*R88,+S88*T88-W88)</f>
        <v>12496.380000000001</v>
      </c>
      <c r="W88" s="14">
        <v>36</v>
      </c>
      <c r="X88" s="17"/>
      <c r="Y88" s="30">
        <f>IF(A88=0,V88-N88,0)</f>
        <v>0</v>
      </c>
      <c r="Z88" s="30">
        <f ca="1">+Y88-(Y88*$AA$1)</f>
        <v>0</v>
      </c>
      <c r="AB88" s="170">
        <f t="shared" ca="1" si="33"/>
        <v>1025.2500000000018</v>
      </c>
      <c r="AC88" s="168">
        <f t="shared" ca="1" si="34"/>
        <v>810.12430277969861</v>
      </c>
      <c r="AD88" s="28">
        <f ca="1">+U88/M88-1</f>
        <v>8.9376547907660475E-2</v>
      </c>
      <c r="AE88" s="48">
        <f ca="1">+Z88/$Z$393</f>
        <v>0</v>
      </c>
      <c r="AF88" s="48">
        <f ca="1">+N88/$N$259</f>
        <v>5.3618615162432407E-3</v>
      </c>
      <c r="AG88" s="204">
        <f ca="1">AVERAGE($AF$5:$AF$257)</f>
        <v>3.9682539682539663E-3</v>
      </c>
      <c r="AH88" s="1" t="str">
        <f ca="1">IF(AF88&lt;AG88,"no","si")</f>
        <v>si</v>
      </c>
      <c r="AI88" s="28" t="str">
        <f ca="1">IF(G88="USD",+R88/J88-1,"-")</f>
        <v>-</v>
      </c>
    </row>
    <row r="89" spans="1:35" ht="15" customHeight="1" x14ac:dyDescent="0.2">
      <c r="A89" s="14">
        <v>1</v>
      </c>
      <c r="B89" s="14" t="e" vm="63">
        <v>#VALUE!</v>
      </c>
      <c r="C89" s="14"/>
      <c r="D89" s="1" t="str" cm="1">
        <f t="array" aca="1" ref="D89" ca="1">_FV(B89,"Ticker symbol",TRUE)</f>
        <v>ENC</v>
      </c>
      <c r="E89" s="27" cm="1">
        <f t="array" aca="1" ref="E89" ca="1">_FV(B89,"Price")</f>
        <v>2.3439999999999999</v>
      </c>
      <c r="F89" s="27" cm="1">
        <f t="array" aca="1" ref="F89" ca="1">_FV(B89,"open")</f>
        <v>2.3660000000000001</v>
      </c>
      <c r="G89" s="5" t="str" cm="1">
        <f t="array" aca="1" ref="G89" ca="1">_FV(B89,"Currency")</f>
        <v>EUR</v>
      </c>
      <c r="H89" s="5" t="s">
        <v>115</v>
      </c>
      <c r="I89" s="16">
        <v>43096</v>
      </c>
      <c r="J89" s="18"/>
      <c r="K89" s="14">
        <v>9045</v>
      </c>
      <c r="L89" s="19">
        <v>3.4940000000000002</v>
      </c>
      <c r="M89" s="5">
        <f t="shared" si="0"/>
        <v>31623.230000000003</v>
      </c>
      <c r="N89" s="5">
        <f t="shared" ca="1" si="1"/>
        <v>31623.230000000003</v>
      </c>
      <c r="O89" s="14">
        <v>20</v>
      </c>
      <c r="P89" s="14"/>
      <c r="Q89" s="4">
        <f t="shared" ca="1" si="32"/>
        <v>46140</v>
      </c>
      <c r="S89" s="1">
        <f t="shared" si="28"/>
        <v>9045</v>
      </c>
      <c r="T89" s="5">
        <f t="shared" ca="1" si="4"/>
        <v>2.3439999999999999</v>
      </c>
      <c r="U89" s="5">
        <f t="shared" ca="1" si="5"/>
        <v>21181.48</v>
      </c>
      <c r="V89" s="5">
        <f t="shared" ca="1" si="6"/>
        <v>21181.48</v>
      </c>
      <c r="W89" s="14">
        <v>20</v>
      </c>
      <c r="Y89" s="30">
        <f t="shared" si="29"/>
        <v>0</v>
      </c>
      <c r="Z89" s="30">
        <f t="shared" ca="1" si="30"/>
        <v>0</v>
      </c>
      <c r="AB89" s="170">
        <f t="shared" ca="1" si="33"/>
        <v>-10441.750000000004</v>
      </c>
      <c r="AC89" s="168">
        <f t="shared" ca="1" si="34"/>
        <v>-8250.7831636673072</v>
      </c>
      <c r="AD89" s="28">
        <f t="shared" ca="1" si="11"/>
        <v>-0.33019239337664119</v>
      </c>
      <c r="AE89" s="48">
        <f ca="1">+Z89/$Z$393</f>
        <v>0</v>
      </c>
      <c r="AF89" s="48">
        <f ca="1">+N89/$N$259</f>
        <v>1.4781401654092384E-2</v>
      </c>
      <c r="AG89" s="204">
        <f ca="1">AVERAGE($AF$5:$AF$257)</f>
        <v>3.9682539682539663E-3</v>
      </c>
      <c r="AH89" s="1" t="str">
        <f t="shared" ca="1" si="12"/>
        <v>si</v>
      </c>
      <c r="AI89" s="28" t="str">
        <f t="shared" ca="1" si="31"/>
        <v>-</v>
      </c>
    </row>
    <row r="90" spans="1:35" x14ac:dyDescent="0.2">
      <c r="A90" s="15">
        <v>1</v>
      </c>
      <c r="B90" s="1" t="e" vm="64">
        <v>#VALUE!</v>
      </c>
      <c r="D90" s="1" t="str" cm="1">
        <f t="array" aca="1" ref="D90" ca="1">_FV(B90,"Ticker symbol",TRUE)</f>
        <v>EGLA</v>
      </c>
      <c r="E90" s="27" cm="1">
        <f t="array" aca="1" ref="E90" ca="1">_FV(B90,"Price")</f>
        <v>1.1919999999999999</v>
      </c>
      <c r="F90" s="27" cm="1">
        <f t="array" aca="1" ref="F90" ca="1">_FV(B90,"open")</f>
        <v>1.1910000000000001</v>
      </c>
      <c r="G90" s="5" t="str" cm="1">
        <f t="array" aca="1" ref="G90" ca="1">_FV(B90,"Currency")</f>
        <v>EUR</v>
      </c>
      <c r="H90" s="5" t="s">
        <v>183</v>
      </c>
      <c r="I90" s="4">
        <v>45390</v>
      </c>
      <c r="J90" s="18"/>
      <c r="K90" s="1">
        <v>2000</v>
      </c>
      <c r="L90" s="10">
        <v>4.2699999999999996</v>
      </c>
      <c r="M90" s="5">
        <f t="shared" ref="M90:M159" si="35">+K90*L90+O90</f>
        <v>8555</v>
      </c>
      <c r="N90" s="5">
        <f t="shared" ref="N90:N159" ca="1" si="36">IF(G90="USD",M90*J90,+K90*L90+O90)</f>
        <v>8555</v>
      </c>
      <c r="O90" s="1">
        <v>15</v>
      </c>
      <c r="Q90" s="4">
        <f t="shared" ref="Q90:Q126" ca="1" si="37">TODAY()</f>
        <v>46140</v>
      </c>
      <c r="S90" s="1">
        <f t="shared" ref="S90:S107" si="38">+K90</f>
        <v>2000</v>
      </c>
      <c r="T90" s="5">
        <f t="shared" ref="T90:T159" ca="1" si="39">+E90</f>
        <v>1.1919999999999999</v>
      </c>
      <c r="U90" s="5">
        <f t="shared" ref="U90:U159" ca="1" si="40">+S90*T90-W90</f>
        <v>2356</v>
      </c>
      <c r="V90" s="5">
        <f t="shared" ref="V90:V159" ca="1" si="41">IF(G90="USD",U90*R90,+S90*T90-W90)</f>
        <v>2356</v>
      </c>
      <c r="W90" s="14">
        <v>28</v>
      </c>
      <c r="Y90" s="30">
        <f t="shared" ref="Y90:Y122" si="42">IF(A90=0,V90-N90,0)</f>
        <v>0</v>
      </c>
      <c r="Z90" s="30">
        <f t="shared" ref="Z90:Z122" ca="1" si="43">+Y90-(Y90*$AA$1)</f>
        <v>0</v>
      </c>
      <c r="AB90" s="170">
        <f t="shared" ca="1" si="33"/>
        <v>-6199</v>
      </c>
      <c r="AC90" s="168">
        <f t="shared" ca="1" si="34"/>
        <v>-4898.2790079798515</v>
      </c>
      <c r="AD90" s="28">
        <f t="shared" ref="AD90:AD159" ca="1" si="44">+U90/M90-1</f>
        <v>-0.7246054938632378</v>
      </c>
      <c r="AE90" s="48">
        <f ca="1">+Z90/$Z$393</f>
        <v>0</v>
      </c>
      <c r="AF90" s="48">
        <f ca="1">+N90/$N$259</f>
        <v>3.9987974394380442E-3</v>
      </c>
      <c r="AG90" s="204">
        <f ca="1">AVERAGE($AF$5:$AF$257)</f>
        <v>3.9682539682539663E-3</v>
      </c>
      <c r="AH90" s="1" t="str">
        <f t="shared" ref="AH90:AH159" ca="1" si="45">IF(AF90&lt;AG90,"no","si")</f>
        <v>si</v>
      </c>
      <c r="AI90" s="28" t="str">
        <f t="shared" ref="AI90:AI126" ca="1" si="46">IF(G90="USD",+R90/J90-1,"-")</f>
        <v>-</v>
      </c>
    </row>
    <row r="91" spans="1:35" x14ac:dyDescent="0.2">
      <c r="A91" s="15">
        <v>1</v>
      </c>
      <c r="B91" s="1" t="e" vm="65">
        <v>#VALUE!</v>
      </c>
      <c r="D91" s="1" t="str" cm="1">
        <f t="array" aca="1" ref="D91" ca="1">_FV(B91,"Ticker symbol",TRUE)</f>
        <v>ENXB</v>
      </c>
      <c r="E91" s="27" cm="1">
        <f t="array" aca="1" ref="E91" ca="1">_FV(B91,"Price")</f>
        <v>145</v>
      </c>
      <c r="F91" s="27" cm="1">
        <f t="array" aca="1" ref="F91" ca="1">_FV(B91,"open")</f>
        <v>145</v>
      </c>
      <c r="G91" s="5" t="str" cm="1">
        <f t="array" aca="1" ref="G91" ca="1">_FV(B91,"Currency")</f>
        <v>EUR</v>
      </c>
      <c r="H91" s="5" t="s">
        <v>183</v>
      </c>
      <c r="I91" s="4">
        <v>46076</v>
      </c>
      <c r="J91" s="18"/>
      <c r="K91" s="1">
        <v>100</v>
      </c>
      <c r="L91" s="10">
        <v>128.19999999999999</v>
      </c>
      <c r="M91" s="5">
        <f>+K91*L91+O91</f>
        <v>12834.999999999998</v>
      </c>
      <c r="N91" s="5">
        <f ca="1">IF(G91="USD",M91*J91,+K91*L91+O91)</f>
        <v>12834.999999999998</v>
      </c>
      <c r="O91" s="1">
        <v>15</v>
      </c>
      <c r="Q91" s="4">
        <f t="shared" ca="1" si="37"/>
        <v>46140</v>
      </c>
      <c r="S91" s="1">
        <f>+K91</f>
        <v>100</v>
      </c>
      <c r="T91" s="5">
        <f ca="1">+E91</f>
        <v>145</v>
      </c>
      <c r="U91" s="5">
        <f ca="1">+S91*T91-W91</f>
        <v>14485</v>
      </c>
      <c r="V91" s="5">
        <f ca="1">IF(G91="USD",U91*R91,+S91*T91-W91)</f>
        <v>14485</v>
      </c>
      <c r="W91" s="14">
        <v>15</v>
      </c>
      <c r="Y91" s="30">
        <f>IF(A91=0,V91-N91,0)</f>
        <v>0</v>
      </c>
      <c r="Z91" s="30">
        <f ca="1">+Y91-(Y91*$AA$1)</f>
        <v>0</v>
      </c>
      <c r="AB91" s="170">
        <f ca="1">IF(A91=1,+V91-N91,0)</f>
        <v>1650.0000000000018</v>
      </c>
      <c r="AC91" s="168">
        <f ca="1">+AB91-(AB91*$AA$1)</f>
        <v>1303.7845399526962</v>
      </c>
      <c r="AD91" s="28">
        <f ca="1">+U91/M91-1</f>
        <v>0.12855473315153887</v>
      </c>
      <c r="AE91" s="48">
        <f ca="1">+Z91/$Z$393</f>
        <v>0</v>
      </c>
      <c r="AF91" s="48">
        <f ca="1">+N91/$N$259</f>
        <v>5.9993647148085666E-3</v>
      </c>
      <c r="AG91" s="204">
        <f ca="1">AVERAGE($AF$5:$AF$257)</f>
        <v>3.9682539682539663E-3</v>
      </c>
      <c r="AH91" s="1" t="str">
        <f ca="1">IF(AF91&lt;AG91,"no","si")</f>
        <v>si</v>
      </c>
      <c r="AI91" s="28" t="str">
        <f ca="1">IF(G91="USD",+R91/J91-1,"-")</f>
        <v>-</v>
      </c>
    </row>
    <row r="92" spans="1:35" x14ac:dyDescent="0.2">
      <c r="A92" s="15">
        <v>1</v>
      </c>
      <c r="B92" s="1" t="e" vm="66">
        <v>#VALUE!</v>
      </c>
      <c r="D92" s="1" t="str" cm="1">
        <f t="array" aca="1" ref="D92" ca="1">_FV(B92,"Ticker symbol",TRUE)</f>
        <v>ERF</v>
      </c>
      <c r="E92" s="27" cm="1">
        <f t="array" aca="1" ref="E92" ca="1">_FV(B92,"Price")</f>
        <v>61.54</v>
      </c>
      <c r="F92" s="27" cm="1">
        <f t="array" aca="1" ref="F92" ca="1">_FV(B92,"open")</f>
        <v>62.32</v>
      </c>
      <c r="G92" s="5" t="str" cm="1">
        <f t="array" aca="1" ref="G92" ca="1">_FV(B92,"Currency")</f>
        <v>EUR</v>
      </c>
      <c r="H92" s="5" t="s">
        <v>183</v>
      </c>
      <c r="I92" s="4">
        <v>46121</v>
      </c>
      <c r="J92" s="18"/>
      <c r="K92" s="1">
        <v>233</v>
      </c>
      <c r="L92" s="10">
        <v>64.2</v>
      </c>
      <c r="M92" s="5">
        <f>+K92*L92+O92</f>
        <v>14973.6</v>
      </c>
      <c r="N92" s="5">
        <f ca="1">IF(G92="USD",M92*J92,+K92*L92+O92)</f>
        <v>14973.6</v>
      </c>
      <c r="O92" s="1">
        <v>15</v>
      </c>
      <c r="Q92" s="4">
        <f t="shared" ca="1" si="37"/>
        <v>46140</v>
      </c>
      <c r="S92" s="1">
        <f>+K92</f>
        <v>233</v>
      </c>
      <c r="T92" s="5">
        <f ca="1">+E92</f>
        <v>61.54</v>
      </c>
      <c r="U92" s="5">
        <f ca="1">+S92*T92-W92</f>
        <v>14322.82</v>
      </c>
      <c r="V92" s="5">
        <f ca="1">IF(G92="USD",U92*R92,+S92*T92-W92)</f>
        <v>14322.82</v>
      </c>
      <c r="W92" s="14">
        <v>16</v>
      </c>
      <c r="Y92" s="30">
        <f>IF(A92=0,V92-N92,0)</f>
        <v>0</v>
      </c>
      <c r="Z92" s="30">
        <f ca="1">+Y92-(Y92*$AA$1)</f>
        <v>0</v>
      </c>
      <c r="AB92" s="170">
        <f ca="1">IF(A92=1,+V92-N92,0)</f>
        <v>-650.78000000000065</v>
      </c>
      <c r="AC92" s="168">
        <f ca="1">+AB92-(AB92*$AA$1)</f>
        <v>-514.22842600631247</v>
      </c>
      <c r="AD92" s="28">
        <f ca="1">+U92/M92-1</f>
        <v>-4.3461826147352722E-2</v>
      </c>
      <c r="AE92" s="48">
        <f ca="1">+Z92/$Z$393</f>
        <v>0</v>
      </c>
      <c r="AF92" s="48">
        <f ca="1">+N92/$N$259</f>
        <v>6.9989939613289889E-3</v>
      </c>
      <c r="AG92" s="204">
        <f ca="1">AVERAGE($AF$5:$AF$257)</f>
        <v>3.9682539682539663E-3</v>
      </c>
      <c r="AH92" s="1" t="str">
        <f ca="1">IF(AF92&lt;AG92,"no","si")</f>
        <v>si</v>
      </c>
      <c r="AI92" s="28" t="str">
        <f ca="1">IF(G92="USD",+R92/J92-1,"-")</f>
        <v>-</v>
      </c>
    </row>
    <row r="93" spans="1:35" x14ac:dyDescent="0.2">
      <c r="A93" s="1">
        <v>1</v>
      </c>
      <c r="B93" s="1" t="e" vm="67">
        <v>#VALUE!</v>
      </c>
      <c r="D93" s="1" t="str" cm="1">
        <f t="array" aca="1" ref="D93" ca="1">_FV(B93,"Ticker symbol",TRUE)</f>
        <v>EVK</v>
      </c>
      <c r="E93" s="27" cm="1">
        <f t="array" aca="1" ref="E93" ca="1">_FV(B93,"Price")</f>
        <v>17.63</v>
      </c>
      <c r="F93" s="27" cm="1">
        <f t="array" aca="1" ref="F93" ca="1">_FV(B93,"open")</f>
        <v>17.53</v>
      </c>
      <c r="G93" s="5" t="str" cm="1">
        <f t="array" aca="1" ref="G93" ca="1">_FV(B93,"Currency")</f>
        <v>EUR</v>
      </c>
      <c r="H93" s="5" t="s">
        <v>115</v>
      </c>
      <c r="I93" s="4">
        <v>45007</v>
      </c>
      <c r="J93" s="18"/>
      <c r="K93" s="1">
        <v>624</v>
      </c>
      <c r="L93" s="10">
        <v>19.184999999999999</v>
      </c>
      <c r="M93" s="5">
        <f t="shared" si="35"/>
        <v>11986.439999999999</v>
      </c>
      <c r="N93" s="5">
        <f t="shared" ca="1" si="36"/>
        <v>11986.439999999999</v>
      </c>
      <c r="O93" s="1">
        <v>15</v>
      </c>
      <c r="Q93" s="4">
        <f t="shared" ca="1" si="37"/>
        <v>46140</v>
      </c>
      <c r="S93" s="1">
        <f t="shared" si="38"/>
        <v>624</v>
      </c>
      <c r="T93" s="5">
        <f t="shared" ca="1" si="39"/>
        <v>17.63</v>
      </c>
      <c r="U93" s="5">
        <f t="shared" ca="1" si="40"/>
        <v>10993.589999999998</v>
      </c>
      <c r="V93" s="5">
        <f t="shared" ca="1" si="41"/>
        <v>10993.589999999998</v>
      </c>
      <c r="W93" s="1">
        <v>7.53</v>
      </c>
      <c r="X93" s="17"/>
      <c r="Y93" s="30">
        <f t="shared" si="42"/>
        <v>0</v>
      </c>
      <c r="Z93" s="30">
        <f t="shared" ca="1" si="43"/>
        <v>0</v>
      </c>
      <c r="AB93" s="170">
        <f t="shared" ca="1" si="33"/>
        <v>-992.85000000000036</v>
      </c>
      <c r="AC93" s="168">
        <f t="shared" ca="1" si="34"/>
        <v>-784.52271544971723</v>
      </c>
      <c r="AD93" s="28">
        <f t="shared" ca="1" si="44"/>
        <v>-8.2831099142030573E-2</v>
      </c>
      <c r="AE93" s="48">
        <f ca="1">+Z93/$Z$393</f>
        <v>0</v>
      </c>
      <c r="AF93" s="48">
        <f ca="1">+N93/$N$259</f>
        <v>5.602728881353331E-3</v>
      </c>
      <c r="AG93" s="204">
        <f ca="1">AVERAGE($AF$5:$AF$257)</f>
        <v>3.9682539682539663E-3</v>
      </c>
      <c r="AH93" s="1" t="str">
        <f t="shared" ca="1" si="45"/>
        <v>si</v>
      </c>
      <c r="AI93" s="28" t="str">
        <f t="shared" ca="1" si="46"/>
        <v>-</v>
      </c>
    </row>
    <row r="94" spans="1:35" x14ac:dyDescent="0.2">
      <c r="A94" s="14">
        <v>1</v>
      </c>
      <c r="B94" s="14" t="e" vm="68">
        <v>#VALUE!</v>
      </c>
      <c r="C94" s="14"/>
      <c r="D94" s="1" t="str" cm="1">
        <f t="array" aca="1" ref="D94" ca="1">_FV(B94,"Ticker symbol",TRUE)</f>
        <v>FAE</v>
      </c>
      <c r="E94" s="27" cm="1">
        <f t="array" aca="1" ref="E94" ca="1">_FV(B94,"Price")</f>
        <v>4.7850000000000001</v>
      </c>
      <c r="F94" s="27" cm="1">
        <f t="array" aca="1" ref="F94" ca="1">_FV(B94,"open")</f>
        <v>4.79</v>
      </c>
      <c r="G94" s="5" t="str" cm="1">
        <f t="array" aca="1" ref="G94" ca="1">_FV(B94,"Currency")</f>
        <v>EUR</v>
      </c>
      <c r="H94" s="5" t="s">
        <v>184</v>
      </c>
      <c r="I94" s="16">
        <v>43097</v>
      </c>
      <c r="J94" s="18"/>
      <c r="K94" s="14">
        <v>3640</v>
      </c>
      <c r="L94" s="19">
        <v>2.88</v>
      </c>
      <c r="M94" s="5">
        <f t="shared" si="35"/>
        <v>10497.55</v>
      </c>
      <c r="N94" s="5">
        <f t="shared" ca="1" si="36"/>
        <v>10497.55</v>
      </c>
      <c r="O94" s="14">
        <v>14.35</v>
      </c>
      <c r="P94" s="14"/>
      <c r="Q94" s="4">
        <f t="shared" ca="1" si="37"/>
        <v>46140</v>
      </c>
      <c r="S94" s="1">
        <f t="shared" si="38"/>
        <v>3640</v>
      </c>
      <c r="T94" s="5">
        <f t="shared" ca="1" si="39"/>
        <v>4.7850000000000001</v>
      </c>
      <c r="U94" s="5">
        <f t="shared" ca="1" si="40"/>
        <v>17403.050000000003</v>
      </c>
      <c r="V94" s="5">
        <f t="shared" ca="1" si="41"/>
        <v>17403.050000000003</v>
      </c>
      <c r="W94" s="14">
        <f t="shared" ref="W94:W99" si="47">+O94</f>
        <v>14.35</v>
      </c>
      <c r="Y94" s="30">
        <f t="shared" si="42"/>
        <v>0</v>
      </c>
      <c r="Z94" s="30">
        <f t="shared" ca="1" si="43"/>
        <v>0</v>
      </c>
      <c r="AB94" s="170">
        <f t="shared" ca="1" si="33"/>
        <v>6905.5000000000036</v>
      </c>
      <c r="AC94" s="168">
        <f t="shared" ca="1" si="34"/>
        <v>5456.5358428141444</v>
      </c>
      <c r="AD94" s="28">
        <f t="shared" ca="1" si="44"/>
        <v>0.65782015803687566</v>
      </c>
      <c r="AE94" s="48">
        <f ca="1">+Z94/$Z$393</f>
        <v>0</v>
      </c>
      <c r="AF94" s="48">
        <f ca="1">+N94/$N$259</f>
        <v>4.9067885517677188E-3</v>
      </c>
      <c r="AG94" s="204">
        <f ca="1">AVERAGE($AF$5:$AF$257)</f>
        <v>3.9682539682539663E-3</v>
      </c>
      <c r="AH94" s="1" t="str">
        <f t="shared" ca="1" si="45"/>
        <v>si</v>
      </c>
      <c r="AI94" s="28" t="str">
        <f t="shared" ca="1" si="46"/>
        <v>-</v>
      </c>
    </row>
    <row r="95" spans="1:35" x14ac:dyDescent="0.2">
      <c r="A95" s="14">
        <v>1</v>
      </c>
      <c r="B95" s="14" t="e" vm="68">
        <v>#VALUE!</v>
      </c>
      <c r="C95" s="14"/>
      <c r="D95" s="1" t="str" cm="1">
        <f t="array" aca="1" ref="D95" ca="1">_FV(B95,"Ticker symbol",TRUE)</f>
        <v>FAE</v>
      </c>
      <c r="E95" s="27" cm="1">
        <f t="array" aca="1" ref="E95" ca="1">_FV(B95,"Price")</f>
        <v>4.7850000000000001</v>
      </c>
      <c r="F95" s="27" cm="1">
        <f t="array" aca="1" ref="F95" ca="1">_FV(B95,"open")</f>
        <v>4.79</v>
      </c>
      <c r="G95" s="5" t="str" cm="1">
        <f t="array" aca="1" ref="G95" ca="1">_FV(B95,"Currency")</f>
        <v>EUR</v>
      </c>
      <c r="H95" s="5" t="s">
        <v>184</v>
      </c>
      <c r="I95" s="16">
        <v>43098</v>
      </c>
      <c r="J95" s="18"/>
      <c r="K95" s="14">
        <v>2032</v>
      </c>
      <c r="L95" s="19">
        <v>2.9449999999999998</v>
      </c>
      <c r="M95" s="5">
        <f t="shared" si="35"/>
        <v>5998.59</v>
      </c>
      <c r="N95" s="5">
        <f t="shared" ca="1" si="36"/>
        <v>5998.59</v>
      </c>
      <c r="O95" s="14">
        <v>14.35</v>
      </c>
      <c r="P95" s="14"/>
      <c r="Q95" s="4">
        <f t="shared" ca="1" si="37"/>
        <v>46140</v>
      </c>
      <c r="S95" s="1">
        <f t="shared" si="38"/>
        <v>2032</v>
      </c>
      <c r="T95" s="5">
        <f t="shared" ca="1" si="39"/>
        <v>4.7850000000000001</v>
      </c>
      <c r="U95" s="5">
        <f t="shared" ca="1" si="40"/>
        <v>9708.77</v>
      </c>
      <c r="V95" s="5">
        <f t="shared" ca="1" si="41"/>
        <v>9708.77</v>
      </c>
      <c r="W95" s="14">
        <f t="shared" si="47"/>
        <v>14.35</v>
      </c>
      <c r="Y95" s="30">
        <f t="shared" si="42"/>
        <v>0</v>
      </c>
      <c r="Z95" s="30">
        <f t="shared" ca="1" si="43"/>
        <v>0</v>
      </c>
      <c r="AB95" s="170">
        <f t="shared" ca="1" si="33"/>
        <v>3710.1800000000003</v>
      </c>
      <c r="AC95" s="168">
        <f t="shared" ca="1" si="34"/>
        <v>2931.6820148131451</v>
      </c>
      <c r="AD95" s="28">
        <f t="shared" ca="1" si="44"/>
        <v>0.61850868287380867</v>
      </c>
      <c r="AE95" s="48">
        <f ca="1">+Z95/$Z$393</f>
        <v>0</v>
      </c>
      <c r="AF95" s="48">
        <f ca="1">+N95/$N$259</f>
        <v>2.8038744982160908E-3</v>
      </c>
      <c r="AG95" s="204">
        <f ca="1">AVERAGE($AF$5:$AF$257)</f>
        <v>3.9682539682539663E-3</v>
      </c>
      <c r="AH95" s="1" t="str">
        <f t="shared" ca="1" si="45"/>
        <v>no</v>
      </c>
      <c r="AI95" s="28" t="str">
        <f t="shared" ca="1" si="46"/>
        <v>-</v>
      </c>
    </row>
    <row r="96" spans="1:35" x14ac:dyDescent="0.2">
      <c r="A96" s="14">
        <v>1</v>
      </c>
      <c r="B96" s="14" t="e" vm="68">
        <v>#VALUE!</v>
      </c>
      <c r="C96" s="14"/>
      <c r="D96" s="1" t="str" cm="1">
        <f t="array" aca="1" ref="D96" ca="1">_FV(B96,"Ticker symbol",TRUE)</f>
        <v>FAE</v>
      </c>
      <c r="E96" s="27" cm="1">
        <f t="array" aca="1" ref="E96" ca="1">_FV(B96,"Price")</f>
        <v>4.7850000000000001</v>
      </c>
      <c r="F96" s="27" cm="1">
        <f t="array" aca="1" ref="F96" ca="1">_FV(B96,"open")</f>
        <v>4.79</v>
      </c>
      <c r="G96" s="5" t="str" cm="1">
        <f t="array" aca="1" ref="G96" ca="1">_FV(B96,"Currency")</f>
        <v>EUR</v>
      </c>
      <c r="H96" s="5" t="s">
        <v>184</v>
      </c>
      <c r="I96" s="16">
        <v>43099</v>
      </c>
      <c r="J96" s="18"/>
      <c r="K96" s="14">
        <v>162</v>
      </c>
      <c r="L96" s="19">
        <v>3.02</v>
      </c>
      <c r="M96" s="5">
        <f t="shared" si="35"/>
        <v>499.92</v>
      </c>
      <c r="N96" s="5">
        <f t="shared" ca="1" si="36"/>
        <v>499.92</v>
      </c>
      <c r="O96" s="14">
        <v>10.68</v>
      </c>
      <c r="P96" s="14"/>
      <c r="Q96" s="4">
        <f t="shared" ca="1" si="37"/>
        <v>46140</v>
      </c>
      <c r="S96" s="1">
        <f t="shared" si="38"/>
        <v>162</v>
      </c>
      <c r="T96" s="5">
        <f t="shared" ca="1" si="39"/>
        <v>4.7850000000000001</v>
      </c>
      <c r="U96" s="5">
        <f t="shared" ca="1" si="40"/>
        <v>764.49000000000012</v>
      </c>
      <c r="V96" s="5">
        <f t="shared" ca="1" si="41"/>
        <v>764.49000000000012</v>
      </c>
      <c r="W96" s="14">
        <f t="shared" si="47"/>
        <v>10.68</v>
      </c>
      <c r="Y96" s="30">
        <f t="shared" si="42"/>
        <v>0</v>
      </c>
      <c r="Z96" s="30">
        <f t="shared" ca="1" si="43"/>
        <v>0</v>
      </c>
      <c r="AB96" s="170">
        <f t="shared" ca="1" si="33"/>
        <v>264.57000000000011</v>
      </c>
      <c r="AC96" s="168">
        <f t="shared" ca="1" si="34"/>
        <v>209.05592468805128</v>
      </c>
      <c r="AD96" s="28">
        <f t="shared" ca="1" si="44"/>
        <v>0.52922467594815181</v>
      </c>
      <c r="AE96" s="48">
        <f ca="1">+Z96/$Z$393</f>
        <v>0</v>
      </c>
      <c r="AF96" s="48">
        <f ca="1">+N96/$N$259</f>
        <v>2.3367373651944677E-4</v>
      </c>
      <c r="AG96" s="204">
        <f ca="1">AVERAGE($AF$5:$AF$257)</f>
        <v>3.9682539682539663E-3</v>
      </c>
      <c r="AH96" s="1" t="str">
        <f t="shared" ca="1" si="45"/>
        <v>no</v>
      </c>
      <c r="AI96" s="28" t="str">
        <f t="shared" ca="1" si="46"/>
        <v>-</v>
      </c>
    </row>
    <row r="97" spans="1:35" x14ac:dyDescent="0.2">
      <c r="A97" s="14">
        <v>1</v>
      </c>
      <c r="B97" s="14" t="e" vm="68">
        <v>#VALUE!</v>
      </c>
      <c r="C97" s="14"/>
      <c r="D97" s="1" t="str" cm="1">
        <f t="array" aca="1" ref="D97" ca="1">_FV(B97,"Ticker symbol",TRUE)</f>
        <v>FAE</v>
      </c>
      <c r="E97" s="27" cm="1">
        <f t="array" aca="1" ref="E97" ca="1">_FV(B97,"Price")</f>
        <v>4.7850000000000001</v>
      </c>
      <c r="F97" s="27" cm="1">
        <f t="array" aca="1" ref="F97" ca="1">_FV(B97,"open")</f>
        <v>4.79</v>
      </c>
      <c r="G97" s="5" t="str" cm="1">
        <f t="array" aca="1" ref="G97" ca="1">_FV(B97,"Currency")</f>
        <v>EUR</v>
      </c>
      <c r="H97" s="5" t="s">
        <v>184</v>
      </c>
      <c r="I97" s="16">
        <v>43100</v>
      </c>
      <c r="J97" s="18"/>
      <c r="K97" s="14">
        <v>1490</v>
      </c>
      <c r="L97" s="19">
        <v>3.01</v>
      </c>
      <c r="M97" s="5">
        <f t="shared" si="35"/>
        <v>4498.2</v>
      </c>
      <c r="N97" s="5">
        <f t="shared" ca="1" si="36"/>
        <v>4498.2</v>
      </c>
      <c r="O97" s="14">
        <v>13.3</v>
      </c>
      <c r="P97" s="14"/>
      <c r="Q97" s="4">
        <f t="shared" ca="1" si="37"/>
        <v>46140</v>
      </c>
      <c r="S97" s="1">
        <f t="shared" si="38"/>
        <v>1490</v>
      </c>
      <c r="T97" s="5">
        <f t="shared" ca="1" si="39"/>
        <v>4.7850000000000001</v>
      </c>
      <c r="U97" s="5">
        <f t="shared" ca="1" si="40"/>
        <v>7116.35</v>
      </c>
      <c r="V97" s="5">
        <f t="shared" ca="1" si="41"/>
        <v>7116.35</v>
      </c>
      <c r="W97" s="14">
        <f t="shared" si="47"/>
        <v>13.3</v>
      </c>
      <c r="Y97" s="30">
        <f t="shared" si="42"/>
        <v>0</v>
      </c>
      <c r="Z97" s="30">
        <f t="shared" ca="1" si="43"/>
        <v>0</v>
      </c>
      <c r="AB97" s="170">
        <f t="shared" ca="1" si="33"/>
        <v>2618.1500000000005</v>
      </c>
      <c r="AC97" s="168">
        <f t="shared" ca="1" si="34"/>
        <v>2068.7899959255446</v>
      </c>
      <c r="AD97" s="28">
        <f t="shared" ca="1" si="44"/>
        <v>0.58204392868258426</v>
      </c>
      <c r="AE97" s="48">
        <f ca="1">+Z97/$Z$393</f>
        <v>0</v>
      </c>
      <c r="AF97" s="48">
        <f ca="1">+N97/$N$259</f>
        <v>2.102558812633572E-3</v>
      </c>
      <c r="AG97" s="204">
        <f ca="1">AVERAGE($AF$5:$AF$257)</f>
        <v>3.9682539682539663E-3</v>
      </c>
      <c r="AH97" s="1" t="str">
        <f t="shared" ca="1" si="45"/>
        <v>no</v>
      </c>
      <c r="AI97" s="28" t="str">
        <f t="shared" ca="1" si="46"/>
        <v>-</v>
      </c>
    </row>
    <row r="98" spans="1:35" x14ac:dyDescent="0.2">
      <c r="A98" s="14">
        <v>1</v>
      </c>
      <c r="B98" s="14" t="e" vm="68">
        <v>#VALUE!</v>
      </c>
      <c r="C98" s="14"/>
      <c r="D98" s="1" t="str" cm="1">
        <f t="array" aca="1" ref="D98" ca="1">_FV(B98,"Ticker symbol",TRUE)</f>
        <v>FAE</v>
      </c>
      <c r="E98" s="27" cm="1">
        <f t="array" aca="1" ref="E98" ca="1">_FV(B98,"Price")</f>
        <v>4.7850000000000001</v>
      </c>
      <c r="F98" s="27" cm="1">
        <f t="array" aca="1" ref="F98" ca="1">_FV(B98,"open")</f>
        <v>4.79</v>
      </c>
      <c r="G98" s="5" t="str" cm="1">
        <f t="array" aca="1" ref="G98" ca="1">_FV(B98,"Currency")</f>
        <v>EUR</v>
      </c>
      <c r="H98" s="5" t="s">
        <v>184</v>
      </c>
      <c r="I98" s="16">
        <v>43101</v>
      </c>
      <c r="J98" s="18"/>
      <c r="K98" s="14">
        <v>1673</v>
      </c>
      <c r="L98" s="19">
        <v>2.98</v>
      </c>
      <c r="M98" s="5">
        <f t="shared" si="35"/>
        <v>4998.8999999999996</v>
      </c>
      <c r="N98" s="5">
        <f t="shared" ca="1" si="36"/>
        <v>4998.8999999999996</v>
      </c>
      <c r="O98" s="14">
        <v>13.36</v>
      </c>
      <c r="P98" s="14"/>
      <c r="Q98" s="4">
        <f t="shared" ca="1" si="37"/>
        <v>46140</v>
      </c>
      <c r="S98" s="1">
        <f t="shared" si="38"/>
        <v>1673</v>
      </c>
      <c r="T98" s="5">
        <f t="shared" ca="1" si="39"/>
        <v>4.7850000000000001</v>
      </c>
      <c r="U98" s="5">
        <f t="shared" ca="1" si="40"/>
        <v>7991.9450000000006</v>
      </c>
      <c r="V98" s="5">
        <f t="shared" ca="1" si="41"/>
        <v>7991.9450000000006</v>
      </c>
      <c r="W98" s="14">
        <f t="shared" si="47"/>
        <v>13.36</v>
      </c>
      <c r="Y98" s="30">
        <f t="shared" si="42"/>
        <v>0</v>
      </c>
      <c r="Z98" s="30">
        <f t="shared" ca="1" si="43"/>
        <v>0</v>
      </c>
      <c r="AB98" s="170">
        <f t="shared" ca="1" si="33"/>
        <v>2993.045000000001</v>
      </c>
      <c r="AC98" s="168">
        <f t="shared" ca="1" si="34"/>
        <v>2365.0216959895242</v>
      </c>
      <c r="AD98" s="28">
        <f t="shared" ca="1" si="44"/>
        <v>0.59874072295905134</v>
      </c>
      <c r="AE98" s="48">
        <f ca="1">+Z98/$Z$393</f>
        <v>0</v>
      </c>
      <c r="AF98" s="48">
        <f ca="1">+N98/$N$259</f>
        <v>2.3365971385162871E-3</v>
      </c>
      <c r="AG98" s="204">
        <f ca="1">AVERAGE($AF$5:$AF$257)</f>
        <v>3.9682539682539663E-3</v>
      </c>
      <c r="AH98" s="1" t="str">
        <f t="shared" ca="1" si="45"/>
        <v>no</v>
      </c>
      <c r="AI98" s="28" t="str">
        <f t="shared" ca="1" si="46"/>
        <v>-</v>
      </c>
    </row>
    <row r="99" spans="1:35" x14ac:dyDescent="0.2">
      <c r="A99" s="14">
        <v>1</v>
      </c>
      <c r="B99" s="14" t="e" vm="68">
        <v>#VALUE!</v>
      </c>
      <c r="C99" s="14"/>
      <c r="D99" s="1" t="str" cm="1">
        <f t="array" aca="1" ref="D99" ca="1">_FV(B99,"Ticker symbol",TRUE)</f>
        <v>FAE</v>
      </c>
      <c r="E99" s="27" cm="1">
        <f t="array" aca="1" ref="E99" ca="1">_FV(B99,"Price")</f>
        <v>4.7850000000000001</v>
      </c>
      <c r="F99" s="27" cm="1">
        <f t="array" aca="1" ref="F99" ca="1">_FV(B99,"open")</f>
        <v>4.79</v>
      </c>
      <c r="G99" s="5" t="str" cm="1">
        <f t="array" aca="1" ref="G99" ca="1">_FV(B99,"Currency")</f>
        <v>EUR</v>
      </c>
      <c r="H99" s="5" t="s">
        <v>184</v>
      </c>
      <c r="I99" s="16">
        <v>43102</v>
      </c>
      <c r="J99" s="18"/>
      <c r="K99" s="14">
        <v>1404</v>
      </c>
      <c r="L99" s="19">
        <v>3.55</v>
      </c>
      <c r="M99" s="5">
        <f t="shared" si="35"/>
        <v>5003.55</v>
      </c>
      <c r="N99" s="5">
        <f t="shared" ca="1" si="36"/>
        <v>5003.55</v>
      </c>
      <c r="O99" s="14">
        <v>19.350000000000001</v>
      </c>
      <c r="P99" s="14"/>
      <c r="Q99" s="4">
        <f t="shared" ca="1" si="37"/>
        <v>46140</v>
      </c>
      <c r="S99" s="1">
        <f t="shared" si="38"/>
        <v>1404</v>
      </c>
      <c r="T99" s="5">
        <f t="shared" ca="1" si="39"/>
        <v>4.7850000000000001</v>
      </c>
      <c r="U99" s="5">
        <f t="shared" ca="1" si="40"/>
        <v>6698.79</v>
      </c>
      <c r="V99" s="5">
        <f t="shared" ca="1" si="41"/>
        <v>6698.79</v>
      </c>
      <c r="W99" s="14">
        <f t="shared" si="47"/>
        <v>19.350000000000001</v>
      </c>
      <c r="Y99" s="30">
        <f t="shared" si="42"/>
        <v>0</v>
      </c>
      <c r="Z99" s="30">
        <f t="shared" ca="1" si="43"/>
        <v>0</v>
      </c>
      <c r="AB99" s="170">
        <f t="shared" ca="1" si="33"/>
        <v>1695.2399999999998</v>
      </c>
      <c r="AC99" s="168">
        <f t="shared" ca="1" si="34"/>
        <v>1339.5319415208521</v>
      </c>
      <c r="AD99" s="28">
        <f t="shared" ca="1" si="44"/>
        <v>0.33880744671283392</v>
      </c>
      <c r="AE99" s="48">
        <f ca="1">+Z99/$Z$393</f>
        <v>0</v>
      </c>
      <c r="AF99" s="48">
        <f ca="1">+N99/$N$259</f>
        <v>2.3387706520280804E-3</v>
      </c>
      <c r="AG99" s="204">
        <f ca="1">AVERAGE($AF$5:$AF$257)</f>
        <v>3.9682539682539663E-3</v>
      </c>
      <c r="AH99" s="1" t="str">
        <f t="shared" ca="1" si="45"/>
        <v>no</v>
      </c>
      <c r="AI99" s="28" t="str">
        <f t="shared" ca="1" si="46"/>
        <v>-</v>
      </c>
    </row>
    <row r="100" spans="1:35" x14ac:dyDescent="0.2">
      <c r="A100" s="14">
        <v>1</v>
      </c>
      <c r="B100" s="14" t="e" vm="68">
        <v>#VALUE!</v>
      </c>
      <c r="C100" s="14"/>
      <c r="D100" s="1" t="str" cm="1">
        <f t="array" aca="1" ref="D100" ca="1">_FV(B100,"Ticker symbol",TRUE)</f>
        <v>FAE</v>
      </c>
      <c r="E100" s="27" cm="1">
        <f t="array" aca="1" ref="E100" ca="1">_FV(B100,"Price")</f>
        <v>4.7850000000000001</v>
      </c>
      <c r="F100" s="27" cm="1">
        <f t="array" aca="1" ref="F100" ca="1">_FV(B100,"open")</f>
        <v>4.79</v>
      </c>
      <c r="G100" s="5" t="str" cm="1">
        <f t="array" aca="1" ref="G100" ca="1">_FV(B100,"Currency")</f>
        <v>EUR</v>
      </c>
      <c r="H100" s="5" t="s">
        <v>184</v>
      </c>
      <c r="I100" s="16">
        <v>43103</v>
      </c>
      <c r="J100" s="18"/>
      <c r="K100" s="14">
        <v>2009</v>
      </c>
      <c r="L100" s="19">
        <v>0.01</v>
      </c>
      <c r="M100" s="5">
        <f t="shared" si="35"/>
        <v>20.09</v>
      </c>
      <c r="N100" s="5">
        <f t="shared" ca="1" si="36"/>
        <v>20.09</v>
      </c>
      <c r="O100" s="14">
        <v>0</v>
      </c>
      <c r="P100" s="14"/>
      <c r="Q100" s="4">
        <f t="shared" ca="1" si="37"/>
        <v>46140</v>
      </c>
      <c r="S100" s="1">
        <f t="shared" si="38"/>
        <v>2009</v>
      </c>
      <c r="T100" s="5">
        <f t="shared" ca="1" si="39"/>
        <v>4.7850000000000001</v>
      </c>
      <c r="U100" s="5">
        <f t="shared" ca="1" si="40"/>
        <v>9586.0650000000005</v>
      </c>
      <c r="V100" s="5">
        <f t="shared" ca="1" si="41"/>
        <v>9586.0650000000005</v>
      </c>
      <c r="W100" s="14">
        <v>27</v>
      </c>
      <c r="Y100" s="30">
        <f t="shared" si="42"/>
        <v>0</v>
      </c>
      <c r="Z100" s="30">
        <f t="shared" ca="1" si="43"/>
        <v>0</v>
      </c>
      <c r="AB100" s="170">
        <f t="shared" ca="1" si="33"/>
        <v>9565.9750000000004</v>
      </c>
      <c r="AC100" s="168">
        <f t="shared" ca="1" si="34"/>
        <v>7558.7698876205941</v>
      </c>
      <c r="AD100" s="28">
        <f t="shared" ca="1" si="44"/>
        <v>476.15604778496765</v>
      </c>
      <c r="AE100" s="48">
        <f ca="1">+Z100/$Z$393</f>
        <v>0</v>
      </c>
      <c r="AF100" s="48">
        <f ca="1">+N100/$N$259</f>
        <v>9.3905132154658456E-6</v>
      </c>
      <c r="AG100" s="204">
        <f ca="1">AVERAGE($AF$5:$AF$257)</f>
        <v>3.9682539682539663E-3</v>
      </c>
      <c r="AH100" s="1" t="str">
        <f t="shared" ca="1" si="45"/>
        <v>no</v>
      </c>
      <c r="AI100" s="28" t="str">
        <f t="shared" ca="1" si="46"/>
        <v>-</v>
      </c>
    </row>
    <row r="101" spans="1:35" x14ac:dyDescent="0.2">
      <c r="A101" s="14">
        <v>1</v>
      </c>
      <c r="B101" s="14" t="e" vm="68">
        <v>#VALUE!</v>
      </c>
      <c r="C101" s="14"/>
      <c r="D101" s="1" t="str" cm="1">
        <f t="array" aca="1" ref="D101" ca="1">_FV(B101,"Ticker symbol",TRUE)</f>
        <v>FAE</v>
      </c>
      <c r="E101" s="27" cm="1">
        <f t="array" aca="1" ref="E101" ca="1">_FV(B101,"Price")</f>
        <v>4.7850000000000001</v>
      </c>
      <c r="F101" s="27" cm="1">
        <f t="array" aca="1" ref="F101" ca="1">_FV(B101,"open")</f>
        <v>4.79</v>
      </c>
      <c r="G101" s="5" t="str" cm="1">
        <f t="array" aca="1" ref="G101" ca="1">_FV(B101,"Currency")</f>
        <v>EUR</v>
      </c>
      <c r="H101" s="5" t="s">
        <v>183</v>
      </c>
      <c r="I101" s="16">
        <v>45063</v>
      </c>
      <c r="J101" s="18"/>
      <c r="K101" s="14">
        <v>1420</v>
      </c>
      <c r="L101" s="19">
        <v>3.5</v>
      </c>
      <c r="M101" s="5">
        <f t="shared" si="35"/>
        <v>4985.3</v>
      </c>
      <c r="N101" s="5">
        <f t="shared" ca="1" si="36"/>
        <v>4985.3</v>
      </c>
      <c r="O101" s="14">
        <v>15.3</v>
      </c>
      <c r="P101" s="14"/>
      <c r="Q101" s="4">
        <f t="shared" ca="1" si="37"/>
        <v>46140</v>
      </c>
      <c r="S101" s="1">
        <f t="shared" si="38"/>
        <v>1420</v>
      </c>
      <c r="T101" s="5">
        <f t="shared" ca="1" si="39"/>
        <v>4.7850000000000001</v>
      </c>
      <c r="U101" s="5">
        <f t="shared" ca="1" si="40"/>
        <v>6766.7</v>
      </c>
      <c r="V101" s="5">
        <f t="shared" ca="1" si="41"/>
        <v>6766.7</v>
      </c>
      <c r="W101" s="14">
        <v>28</v>
      </c>
      <c r="Y101" s="30">
        <f t="shared" si="42"/>
        <v>0</v>
      </c>
      <c r="Z101" s="30">
        <f t="shared" ca="1" si="43"/>
        <v>0</v>
      </c>
      <c r="AB101" s="170">
        <f t="shared" ca="1" si="33"/>
        <v>1781.3999999999996</v>
      </c>
      <c r="AC101" s="168">
        <f t="shared" ca="1" si="34"/>
        <v>1407.6131996798363</v>
      </c>
      <c r="AD101" s="28">
        <f t="shared" ca="1" si="44"/>
        <v>0.35733055182235773</v>
      </c>
      <c r="AE101" s="48">
        <f ca="1">+Z101/$Z$393</f>
        <v>0</v>
      </c>
      <c r="AF101" s="48">
        <f ca="1">+N101/$N$259</f>
        <v>2.3302401957721194E-3</v>
      </c>
      <c r="AG101" s="204">
        <f ca="1">AVERAGE($AF$5:$AF$257)</f>
        <v>3.9682539682539663E-3</v>
      </c>
      <c r="AH101" s="1" t="str">
        <f t="shared" ca="1" si="45"/>
        <v>no</v>
      </c>
      <c r="AI101" s="28" t="str">
        <f t="shared" ca="1" si="46"/>
        <v>-</v>
      </c>
    </row>
    <row r="102" spans="1:35" x14ac:dyDescent="0.2">
      <c r="A102" s="14">
        <v>1</v>
      </c>
      <c r="B102" s="14" t="e" vm="68">
        <v>#VALUE!</v>
      </c>
      <c r="C102" s="14"/>
      <c r="D102" s="1" t="str" cm="1">
        <f t="array" aca="1" ref="D102" ca="1">_FV(B102,"Ticker symbol",TRUE)</f>
        <v>FAE</v>
      </c>
      <c r="E102" s="27" cm="1">
        <f t="array" aca="1" ref="E102" ca="1">_FV(B102,"Price")</f>
        <v>4.7850000000000001</v>
      </c>
      <c r="F102" s="27" cm="1">
        <f t="array" aca="1" ref="F102" ca="1">_FV(B102,"open")</f>
        <v>4.79</v>
      </c>
      <c r="G102" s="5" t="str" cm="1">
        <f t="array" aca="1" ref="G102" ca="1">_FV(B102,"Currency")</f>
        <v>EUR</v>
      </c>
      <c r="H102" s="5" t="s">
        <v>183</v>
      </c>
      <c r="I102" s="16">
        <v>44952</v>
      </c>
      <c r="J102" s="18"/>
      <c r="K102" s="14">
        <v>57</v>
      </c>
      <c r="L102" s="19">
        <v>0.01</v>
      </c>
      <c r="M102" s="5">
        <f t="shared" si="35"/>
        <v>0.57000000000000006</v>
      </c>
      <c r="N102" s="5">
        <f t="shared" ca="1" si="36"/>
        <v>0.57000000000000006</v>
      </c>
      <c r="O102" s="14">
        <v>0</v>
      </c>
      <c r="P102" s="14"/>
      <c r="Q102" s="4">
        <f t="shared" ca="1" si="37"/>
        <v>46140</v>
      </c>
      <c r="S102" s="1">
        <f t="shared" si="38"/>
        <v>57</v>
      </c>
      <c r="T102" s="5">
        <f t="shared" ca="1" si="39"/>
        <v>4.7850000000000001</v>
      </c>
      <c r="U102" s="5">
        <f t="shared" ca="1" si="40"/>
        <v>243.745</v>
      </c>
      <c r="V102" s="5">
        <f t="shared" ca="1" si="41"/>
        <v>243.745</v>
      </c>
      <c r="W102" s="14">
        <v>29</v>
      </c>
      <c r="Y102" s="30">
        <f t="shared" si="42"/>
        <v>0</v>
      </c>
      <c r="Z102" s="30">
        <f t="shared" ca="1" si="43"/>
        <v>0</v>
      </c>
      <c r="AB102" s="170">
        <f t="shared" ca="1" si="33"/>
        <v>243.17500000000001</v>
      </c>
      <c r="AC102" s="168">
        <f t="shared" ca="1" si="34"/>
        <v>192.15018515333125</v>
      </c>
      <c r="AD102" s="28">
        <f t="shared" ca="1" si="44"/>
        <v>426.62280701754383</v>
      </c>
      <c r="AE102" s="48">
        <f ca="1">+Z102/$Z$393</f>
        <v>0</v>
      </c>
      <c r="AF102" s="48">
        <f ca="1">+N102/$N$259</f>
        <v>2.6643068854233613E-7</v>
      </c>
      <c r="AG102" s="204">
        <f ca="1">AVERAGE($AF$5:$AF$257)</f>
        <v>3.9682539682539663E-3</v>
      </c>
      <c r="AH102" s="1" t="str">
        <f t="shared" ca="1" si="45"/>
        <v>no</v>
      </c>
      <c r="AI102" s="28" t="str">
        <f t="shared" ca="1" si="46"/>
        <v>-</v>
      </c>
    </row>
    <row r="103" spans="1:35" x14ac:dyDescent="0.2">
      <c r="A103" s="14">
        <v>1</v>
      </c>
      <c r="B103" s="14" t="e" vm="68">
        <v>#VALUE!</v>
      </c>
      <c r="C103" s="14"/>
      <c r="D103" s="1" t="str" cm="1">
        <f t="array" aca="1" ref="D103" ca="1">_FV(B103,"Ticker symbol",TRUE)</f>
        <v>FAE</v>
      </c>
      <c r="E103" s="27" cm="1">
        <f t="array" aca="1" ref="E103" ca="1">_FV(B103,"Price")</f>
        <v>4.7850000000000001</v>
      </c>
      <c r="F103" s="27" cm="1">
        <f t="array" aca="1" ref="F103" ca="1">_FV(B103,"open")</f>
        <v>4.79</v>
      </c>
      <c r="G103" s="5" t="str" cm="1">
        <f t="array" aca="1" ref="G103" ca="1">_FV(B103,"Currency")</f>
        <v>EUR</v>
      </c>
      <c r="H103" s="5" t="s">
        <v>183</v>
      </c>
      <c r="I103" s="16">
        <v>45068</v>
      </c>
      <c r="J103" s="18"/>
      <c r="K103" s="14">
        <v>74</v>
      </c>
      <c r="L103" s="19">
        <v>0.01</v>
      </c>
      <c r="M103" s="5">
        <f t="shared" si="35"/>
        <v>0.74</v>
      </c>
      <c r="N103" s="5">
        <f t="shared" ca="1" si="36"/>
        <v>0.74</v>
      </c>
      <c r="O103" s="14">
        <v>0</v>
      </c>
      <c r="P103" s="14"/>
      <c r="Q103" s="4">
        <f t="shared" ca="1" si="37"/>
        <v>46140</v>
      </c>
      <c r="S103" s="1">
        <f t="shared" si="38"/>
        <v>74</v>
      </c>
      <c r="T103" s="5">
        <f t="shared" ca="1" si="39"/>
        <v>4.7850000000000001</v>
      </c>
      <c r="U103" s="5">
        <f t="shared" ca="1" si="40"/>
        <v>324.09000000000003</v>
      </c>
      <c r="V103" s="5">
        <f t="shared" ca="1" si="41"/>
        <v>324.09000000000003</v>
      </c>
      <c r="W103" s="14">
        <v>30</v>
      </c>
      <c r="Y103" s="30">
        <f t="shared" si="42"/>
        <v>0</v>
      </c>
      <c r="Z103" s="30">
        <f t="shared" ca="1" si="43"/>
        <v>0</v>
      </c>
      <c r="AB103" s="170">
        <f t="shared" ca="1" si="33"/>
        <v>323.35000000000002</v>
      </c>
      <c r="AC103" s="168">
        <f t="shared" ca="1" si="34"/>
        <v>255.50226120830538</v>
      </c>
      <c r="AD103" s="28">
        <f t="shared" ca="1" si="44"/>
        <v>436.95945945945948</v>
      </c>
      <c r="AE103" s="48">
        <f ca="1">+Z103/$Z$393</f>
        <v>0</v>
      </c>
      <c r="AF103" s="48">
        <f ca="1">+N103/$N$259</f>
        <v>3.4589247284443632E-7</v>
      </c>
      <c r="AG103" s="204">
        <f ca="1">AVERAGE($AF$5:$AF$257)</f>
        <v>3.9682539682539663E-3</v>
      </c>
      <c r="AH103" s="1" t="str">
        <f t="shared" ca="1" si="45"/>
        <v>no</v>
      </c>
      <c r="AI103" s="28" t="str">
        <f t="shared" ca="1" si="46"/>
        <v>-</v>
      </c>
    </row>
    <row r="104" spans="1:35" x14ac:dyDescent="0.2">
      <c r="A104" s="14">
        <v>1</v>
      </c>
      <c r="B104" s="14" t="e" vm="68">
        <v>#VALUE!</v>
      </c>
      <c r="C104" s="14"/>
      <c r="D104" s="1" t="str" cm="1">
        <f t="array" aca="1" ref="D104" ca="1">_FV(B104,"Ticker symbol",TRUE)</f>
        <v>FAE</v>
      </c>
      <c r="E104" s="27" cm="1">
        <f t="array" aca="1" ref="E104" ca="1">_FV(B104,"Price")</f>
        <v>4.7850000000000001</v>
      </c>
      <c r="F104" s="27" cm="1">
        <f t="array" aca="1" ref="F104" ca="1">_FV(B104,"open")</f>
        <v>4.79</v>
      </c>
      <c r="G104" s="5" t="str" cm="1">
        <f t="array" aca="1" ref="G104" ca="1">_FV(B104,"Currency")</f>
        <v>EUR</v>
      </c>
      <c r="H104" s="5" t="s">
        <v>26</v>
      </c>
      <c r="I104" s="16">
        <v>45740</v>
      </c>
      <c r="J104" s="18"/>
      <c r="K104" s="14">
        <v>3500</v>
      </c>
      <c r="L104" s="19">
        <v>3.47</v>
      </c>
      <c r="M104" s="5">
        <f t="shared" si="35"/>
        <v>12181</v>
      </c>
      <c r="N104" s="5">
        <f t="shared" ca="1" si="36"/>
        <v>12181</v>
      </c>
      <c r="O104" s="14">
        <v>36</v>
      </c>
      <c r="P104" s="14"/>
      <c r="Q104" s="4">
        <f t="shared" ca="1" si="37"/>
        <v>46140</v>
      </c>
      <c r="S104" s="1">
        <f t="shared" si="38"/>
        <v>3500</v>
      </c>
      <c r="T104" s="5">
        <f t="shared" ca="1" si="39"/>
        <v>4.7850000000000001</v>
      </c>
      <c r="U104" s="5">
        <f t="shared" ca="1" si="40"/>
        <v>16711.5</v>
      </c>
      <c r="V104" s="5">
        <f t="shared" ca="1" si="41"/>
        <v>16711.5</v>
      </c>
      <c r="W104" s="14">
        <v>36</v>
      </c>
      <c r="Y104" s="30">
        <f t="shared" si="42"/>
        <v>0</v>
      </c>
      <c r="Z104" s="30">
        <f t="shared" ca="1" si="43"/>
        <v>0</v>
      </c>
      <c r="AB104" s="170">
        <f t="shared" ca="1" si="33"/>
        <v>4530.5</v>
      </c>
      <c r="AC104" s="168">
        <f t="shared" ca="1" si="34"/>
        <v>3579.8762777307174</v>
      </c>
      <c r="AD104" s="28">
        <f t="shared" ca="1" si="44"/>
        <v>0.37193169690501593</v>
      </c>
      <c r="AE104" s="48">
        <f ca="1">+Z104/$Z$393</f>
        <v>0</v>
      </c>
      <c r="AF104" s="48">
        <f ca="1">+N104/$N$259</f>
        <v>5.6936705563757819E-3</v>
      </c>
      <c r="AG104" s="204">
        <f ca="1">AVERAGE($AF$5:$AF$257)</f>
        <v>3.9682539682539663E-3</v>
      </c>
      <c r="AH104" s="1" t="str">
        <f t="shared" ca="1" si="45"/>
        <v>si</v>
      </c>
      <c r="AI104" s="28" t="str">
        <f t="shared" ca="1" si="46"/>
        <v>-</v>
      </c>
    </row>
    <row r="105" spans="1:35" x14ac:dyDescent="0.2">
      <c r="A105" s="14">
        <v>1</v>
      </c>
      <c r="B105" s="14" t="e" vm="69">
        <v>#VALUE!</v>
      </c>
      <c r="C105" s="14"/>
      <c r="D105" s="1" t="str" cm="1">
        <f t="array" aca="1" ref="D105" ca="1">_FV(B105,"Ticker symbol",TRUE)</f>
        <v>YACHT</v>
      </c>
      <c r="E105" s="27" cm="1">
        <f t="array" aca="1" ref="E105" ca="1">_FV(B105,"Price")</f>
        <v>4.032</v>
      </c>
      <c r="F105" s="27" cm="1">
        <f t="array" aca="1" ref="F105" ca="1">_FV(B105,"open")</f>
        <v>3.9039999999999999</v>
      </c>
      <c r="G105" s="5" t="str" cm="1">
        <f t="array" aca="1" ref="G105" ca="1">_FV(B105,"Currency")</f>
        <v>EUR</v>
      </c>
      <c r="H105" s="5" t="s">
        <v>115</v>
      </c>
      <c r="I105" s="16">
        <v>45356</v>
      </c>
      <c r="J105" s="18"/>
      <c r="K105" s="14">
        <v>2529</v>
      </c>
      <c r="L105" s="19">
        <v>3.38</v>
      </c>
      <c r="M105" s="5">
        <f t="shared" si="35"/>
        <v>8568.02</v>
      </c>
      <c r="N105" s="5">
        <f t="shared" ca="1" si="36"/>
        <v>8568.02</v>
      </c>
      <c r="O105" s="14">
        <v>20</v>
      </c>
      <c r="P105" s="14"/>
      <c r="Q105" s="4">
        <f t="shared" ca="1" si="37"/>
        <v>46140</v>
      </c>
      <c r="S105" s="1">
        <f t="shared" si="38"/>
        <v>2529</v>
      </c>
      <c r="T105" s="5">
        <f t="shared" ca="1" si="39"/>
        <v>4.032</v>
      </c>
      <c r="U105" s="5">
        <f t="shared" ca="1" si="40"/>
        <v>10176.928</v>
      </c>
      <c r="V105" s="5">
        <f t="shared" ca="1" si="41"/>
        <v>10176.928</v>
      </c>
      <c r="W105" s="14">
        <v>20</v>
      </c>
      <c r="Y105" s="30">
        <f t="shared" si="42"/>
        <v>0</v>
      </c>
      <c r="Z105" s="30">
        <f t="shared" ca="1" si="43"/>
        <v>0</v>
      </c>
      <c r="AB105" s="170">
        <f t="shared" ca="1" si="33"/>
        <v>1608.9079999999994</v>
      </c>
      <c r="AC105" s="168">
        <f t="shared" ca="1" si="34"/>
        <v>1271.314773700733</v>
      </c>
      <c r="AD105" s="28">
        <f t="shared" ca="1" si="44"/>
        <v>0.18778060742155134</v>
      </c>
      <c r="AE105" s="48">
        <f ca="1">+Z105/$Z$393</f>
        <v>0</v>
      </c>
      <c r="AF105" s="48">
        <f ca="1">+N105/$N$259</f>
        <v>4.0048832772710636E-3</v>
      </c>
      <c r="AG105" s="204">
        <f ca="1">AVERAGE($AF$5:$AF$257)</f>
        <v>3.9682539682539663E-3</v>
      </c>
      <c r="AH105" s="1" t="str">
        <f t="shared" ca="1" si="45"/>
        <v>si</v>
      </c>
      <c r="AI105" s="28" t="str">
        <f t="shared" ca="1" si="46"/>
        <v>-</v>
      </c>
    </row>
    <row r="106" spans="1:35" x14ac:dyDescent="0.2">
      <c r="A106" s="14">
        <v>1</v>
      </c>
      <c r="B106" s="14" t="e" vm="70">
        <v>#VALUE!</v>
      </c>
      <c r="C106" s="14"/>
      <c r="D106" s="1" t="str" cm="1">
        <f t="array" aca="1" ref="D106" ca="1">_FV(B106,"Ticker symbol",TRUE)</f>
        <v>FDR</v>
      </c>
      <c r="E106" s="27" cm="1">
        <f t="array" aca="1" ref="E106" ca="1">_FV(B106,"Price")</f>
        <v>20.86</v>
      </c>
      <c r="F106" s="27" cm="1">
        <f t="array" aca="1" ref="F106" ca="1">_FV(B106,"open")</f>
        <v>20.78</v>
      </c>
      <c r="G106" s="5" t="str" cm="1">
        <f t="array" aca="1" ref="G106" ca="1">_FV(B106,"Currency")</f>
        <v>EUR</v>
      </c>
      <c r="H106" s="5" t="s">
        <v>183</v>
      </c>
      <c r="I106" s="16">
        <v>46045</v>
      </c>
      <c r="J106" s="18"/>
      <c r="K106" s="14">
        <v>469</v>
      </c>
      <c r="L106" s="19">
        <v>25.6</v>
      </c>
      <c r="M106" s="5">
        <f>+K106*L106+O106</f>
        <v>12016.400000000001</v>
      </c>
      <c r="N106" s="5">
        <f ca="1">IF(G106="USD",M106*J106,+K106*L106+O106)</f>
        <v>12016.400000000001</v>
      </c>
      <c r="O106" s="14">
        <v>10</v>
      </c>
      <c r="P106" s="14"/>
      <c r="Q106" s="4">
        <f t="shared" ca="1" si="37"/>
        <v>46140</v>
      </c>
      <c r="S106" s="1">
        <f>+K106</f>
        <v>469</v>
      </c>
      <c r="T106" s="5">
        <f ca="1">+E106</f>
        <v>20.86</v>
      </c>
      <c r="U106" s="5">
        <f ca="1">+S106*T106-W106</f>
        <v>9763.34</v>
      </c>
      <c r="V106" s="5">
        <f ca="1">IF(G106="USD",U106*R106,+S106*T106-W106)</f>
        <v>9763.34</v>
      </c>
      <c r="W106" s="14">
        <v>20</v>
      </c>
      <c r="Y106" s="30">
        <f>IF(A106=0,V106-N106,0)</f>
        <v>0</v>
      </c>
      <c r="Z106" s="30">
        <f ca="1">+Y106-(Y106*$AA$1)</f>
        <v>0</v>
      </c>
      <c r="AB106" s="170">
        <f ca="1">IF(A106=1,+V106-N106,0)</f>
        <v>-2253.0600000000013</v>
      </c>
      <c r="AC106" s="168">
        <f ca="1">+AB106-(AB106*$AA$1)</f>
        <v>-1780.3059367186788</v>
      </c>
      <c r="AD106" s="28">
        <f ca="1">+U106/M106-1</f>
        <v>-0.18749875170600183</v>
      </c>
      <c r="AE106" s="48">
        <f ca="1">+Z106/$Z$393</f>
        <v>0</v>
      </c>
      <c r="AF106" s="48">
        <f ca="1">+N106/$N$259</f>
        <v>5.6167328522809257E-3</v>
      </c>
      <c r="AG106" s="204">
        <f ca="1">AVERAGE($AF$5:$AF$257)</f>
        <v>3.9682539682539663E-3</v>
      </c>
      <c r="AH106" s="1" t="str">
        <f ca="1">IF(AF106&lt;AG106,"no","si")</f>
        <v>si</v>
      </c>
      <c r="AI106" s="28" t="str">
        <f ca="1">IF(G106="USD",+R106/J106-1,"-")</f>
        <v>-</v>
      </c>
    </row>
    <row r="107" spans="1:35" x14ac:dyDescent="0.2">
      <c r="A107" s="15">
        <v>1</v>
      </c>
      <c r="B107" s="1" t="e" vm="71">
        <v>#VALUE!</v>
      </c>
      <c r="D107" s="1" t="str" cm="1">
        <f t="array" aca="1" ref="D107" ca="1">_FV(B107,"Ticker symbol",TRUE)</f>
        <v>FIVN</v>
      </c>
      <c r="E107" s="25" cm="1">
        <f t="array" aca="1" ref="E107" ca="1">_FV(B107,"Price")</f>
        <v>16.559999999999999</v>
      </c>
      <c r="F107" s="25" cm="1">
        <f t="array" aca="1" ref="F107" ca="1">_FV(B107,"open")</f>
        <v>16.518000000000001</v>
      </c>
      <c r="G107" s="5" t="str" cm="1">
        <f t="array" aca="1" ref="G107" ca="1">_FV(B107,"Currency")</f>
        <v>USD</v>
      </c>
      <c r="H107" s="5" t="s">
        <v>128</v>
      </c>
      <c r="I107" s="4">
        <v>45147</v>
      </c>
      <c r="J107" s="172">
        <v>0.91261000000000003</v>
      </c>
      <c r="K107" s="1">
        <v>125</v>
      </c>
      <c r="L107" s="10">
        <v>69.3</v>
      </c>
      <c r="M107" s="5">
        <f t="shared" si="35"/>
        <v>8677.5</v>
      </c>
      <c r="N107" s="5">
        <f t="shared" ca="1" si="36"/>
        <v>7919.1732750000001</v>
      </c>
      <c r="O107" s="1">
        <v>15</v>
      </c>
      <c r="Q107" s="4">
        <f t="shared" ca="1" si="37"/>
        <v>46140</v>
      </c>
      <c r="R107" s="8">
        <f ca="1">+$M$551</f>
        <v>0.85299999999999998</v>
      </c>
      <c r="S107" s="1">
        <f t="shared" si="38"/>
        <v>125</v>
      </c>
      <c r="T107" s="5">
        <f t="shared" ca="1" si="39"/>
        <v>16.559999999999999</v>
      </c>
      <c r="U107" s="5">
        <f t="shared" ca="1" si="40"/>
        <v>2055</v>
      </c>
      <c r="V107" s="5">
        <f t="shared" ca="1" si="41"/>
        <v>1752.915</v>
      </c>
      <c r="W107" s="1">
        <v>15</v>
      </c>
      <c r="Y107" s="30">
        <f t="shared" si="42"/>
        <v>0</v>
      </c>
      <c r="Z107" s="30">
        <f t="shared" ca="1" si="43"/>
        <v>0</v>
      </c>
      <c r="AB107" s="170">
        <f t="shared" ca="1" si="33"/>
        <v>-6166.2582750000001</v>
      </c>
      <c r="AC107" s="168">
        <f t="shared" ca="1" si="34"/>
        <v>-4872.4073989699227</v>
      </c>
      <c r="AD107" s="28">
        <f t="shared" ca="1" si="44"/>
        <v>-0.76318063958513394</v>
      </c>
      <c r="AE107" s="48">
        <f ca="1">+Z107/$Z$393</f>
        <v>0</v>
      </c>
      <c r="AF107" s="48">
        <f ca="1">+N107/$N$259</f>
        <v>3.7015978742882746E-3</v>
      </c>
      <c r="AG107" s="204">
        <f ca="1">AVERAGE($AF$5:$AF$257)</f>
        <v>3.9682539682539663E-3</v>
      </c>
      <c r="AH107" s="1" t="str">
        <f t="shared" ca="1" si="45"/>
        <v>no</v>
      </c>
      <c r="AI107" s="28">
        <f t="shared" ca="1" si="46"/>
        <v>-6.5318153428080006E-2</v>
      </c>
    </row>
    <row r="108" spans="1:35" x14ac:dyDescent="0.2">
      <c r="A108" s="1">
        <v>1</v>
      </c>
      <c r="B108" s="316" t="e" vm="72">
        <v>#VALUE!</v>
      </c>
      <c r="D108" s="1" t="str" cm="1">
        <f t="array" aca="1" ref="D108" ca="1">_FV(B108,"Ticker symbol",TRUE)</f>
        <v>FTV</v>
      </c>
      <c r="E108" s="25" cm="1">
        <f t="array" aca="1" ref="E108" ca="1">_FV(B108,"Price")</f>
        <v>62.01</v>
      </c>
      <c r="F108" s="25" cm="1">
        <f t="array" aca="1" ref="F108" ca="1">_FV(B108,"open")</f>
        <v>61.17</v>
      </c>
      <c r="G108" s="5" t="str" cm="1">
        <f t="array" aca="1" ref="G108" ca="1">_FV(B108,"Currency")</f>
        <v>USD</v>
      </c>
      <c r="H108" s="5" t="s">
        <v>128</v>
      </c>
      <c r="I108" s="4">
        <v>45327</v>
      </c>
      <c r="J108" s="172">
        <v>0.92630999999999997</v>
      </c>
      <c r="K108" s="1">
        <v>100</v>
      </c>
      <c r="L108" s="10">
        <v>66.349999999999994</v>
      </c>
      <c r="M108" s="5">
        <f t="shared" si="35"/>
        <v>6642.9999999999991</v>
      </c>
      <c r="N108" s="5">
        <f t="shared" ca="1" si="36"/>
        <v>6153.4773299999988</v>
      </c>
      <c r="O108" s="1">
        <v>8</v>
      </c>
      <c r="Q108" s="4">
        <f t="shared" ca="1" si="37"/>
        <v>46140</v>
      </c>
      <c r="R108" s="8">
        <f ca="1">+$M$551</f>
        <v>0.85299999999999998</v>
      </c>
      <c r="S108" s="1">
        <v>100</v>
      </c>
      <c r="T108" s="5">
        <f t="shared" ca="1" si="39"/>
        <v>62.01</v>
      </c>
      <c r="U108" s="5">
        <f t="shared" ca="1" si="40"/>
        <v>6193</v>
      </c>
      <c r="V108" s="5">
        <f t="shared" ca="1" si="41"/>
        <v>5282.6289999999999</v>
      </c>
      <c r="W108" s="1">
        <v>8</v>
      </c>
      <c r="Y108" s="30">
        <f t="shared" si="42"/>
        <v>0</v>
      </c>
      <c r="Z108" s="30">
        <f t="shared" ca="1" si="43"/>
        <v>0</v>
      </c>
      <c r="AB108" s="170">
        <f t="shared" ca="1" si="33"/>
        <v>-870.8483299999989</v>
      </c>
      <c r="AC108" s="168">
        <f t="shared" ca="1" si="34"/>
        <v>-688.12035715007335</v>
      </c>
      <c r="AD108" s="28">
        <f t="shared" ca="1" si="44"/>
        <v>-6.7740478699382711E-2</v>
      </c>
      <c r="AE108" s="48">
        <f ca="1">+Z108/$Z$393</f>
        <v>0</v>
      </c>
      <c r="AF108" s="48">
        <f ca="1">+N108/$N$259</f>
        <v>2.8762722841430798E-3</v>
      </c>
      <c r="AG108" s="204">
        <f ca="1">AVERAGE($AF$5:$AF$257)</f>
        <v>3.9682539682539663E-3</v>
      </c>
      <c r="AH108" s="1" t="str">
        <f t="shared" ca="1" si="45"/>
        <v>no</v>
      </c>
      <c r="AI108" s="28">
        <f t="shared" ca="1" si="46"/>
        <v>-7.9141971910051678E-2</v>
      </c>
    </row>
    <row r="109" spans="1:35" x14ac:dyDescent="0.2">
      <c r="A109" s="14">
        <v>1</v>
      </c>
      <c r="B109" s="14" t="e" vm="73">
        <v>#VALUE!</v>
      </c>
      <c r="C109" s="14"/>
      <c r="D109" s="1" t="str" cm="1">
        <f t="array" aca="1" ref="D109" ca="1">_FV(B109,"Ticker symbol",TRUE)</f>
        <v>FRA</v>
      </c>
      <c r="E109" s="27" cm="1">
        <f t="array" aca="1" ref="E109" ca="1">_FV(B109,"Price")</f>
        <v>70.95</v>
      </c>
      <c r="F109" s="27" cm="1">
        <f t="array" aca="1" ref="F109" ca="1">_FV(B109,"open")</f>
        <v>70.900000000000006</v>
      </c>
      <c r="G109" s="5" t="str" cm="1">
        <f t="array" aca="1" ref="G109" ca="1">_FV(B109,"Currency")</f>
        <v>EUR</v>
      </c>
      <c r="H109" s="5" t="s">
        <v>196</v>
      </c>
      <c r="I109" s="16">
        <v>43796</v>
      </c>
      <c r="J109" s="18"/>
      <c r="K109" s="14">
        <v>190</v>
      </c>
      <c r="L109" s="19">
        <v>78.8</v>
      </c>
      <c r="M109" s="5">
        <f t="shared" si="35"/>
        <v>14992</v>
      </c>
      <c r="N109" s="5">
        <f t="shared" ca="1" si="36"/>
        <v>14992</v>
      </c>
      <c r="O109" s="14">
        <v>20</v>
      </c>
      <c r="P109" s="14"/>
      <c r="Q109" s="4">
        <f t="shared" ca="1" si="37"/>
        <v>46140</v>
      </c>
      <c r="S109" s="1">
        <f t="shared" ref="S109:S142" si="48">+K109</f>
        <v>190</v>
      </c>
      <c r="T109" s="5">
        <f t="shared" ca="1" si="39"/>
        <v>70.95</v>
      </c>
      <c r="U109" s="5">
        <f t="shared" ca="1" si="40"/>
        <v>13460.5</v>
      </c>
      <c r="V109" s="5">
        <f t="shared" ca="1" si="41"/>
        <v>13460.5</v>
      </c>
      <c r="W109" s="14">
        <v>20</v>
      </c>
      <c r="Y109" s="30">
        <f t="shared" si="42"/>
        <v>0</v>
      </c>
      <c r="Z109" s="30">
        <f t="shared" ca="1" si="43"/>
        <v>0</v>
      </c>
      <c r="AB109" s="170">
        <f t="shared" ca="1" si="33"/>
        <v>-1531.5</v>
      </c>
      <c r="AC109" s="168">
        <f t="shared" ca="1" si="34"/>
        <v>-1210.1491048106377</v>
      </c>
      <c r="AD109" s="28">
        <f t="shared" ca="1" si="44"/>
        <v>-0.10215448239060831</v>
      </c>
      <c r="AE109" s="48">
        <f ca="1">+Z109/$Z$393</f>
        <v>0</v>
      </c>
      <c r="AF109" s="48">
        <f ca="1">+N109/$N$259</f>
        <v>7.0075945309240398E-3</v>
      </c>
      <c r="AG109" s="204">
        <f ca="1">AVERAGE($AF$5:$AF$257)</f>
        <v>3.9682539682539663E-3</v>
      </c>
      <c r="AH109" s="1" t="str">
        <f t="shared" ca="1" si="45"/>
        <v>si</v>
      </c>
      <c r="AI109" s="28" t="str">
        <f t="shared" ca="1" si="46"/>
        <v>-</v>
      </c>
    </row>
    <row r="110" spans="1:35" x14ac:dyDescent="0.2">
      <c r="A110" s="14">
        <v>1</v>
      </c>
      <c r="B110" s="14" t="e" vm="74">
        <v>#VALUE!</v>
      </c>
      <c r="C110" s="14"/>
      <c r="D110" s="1" t="str" cm="1">
        <f t="array" aca="1" ref="D110" ca="1">_FV(B110,"Ticker symbol",TRUE)</f>
        <v>FNTN</v>
      </c>
      <c r="E110" s="27" cm="1">
        <f t="array" aca="1" ref="E110" ca="1">_FV(B110,"Price")</f>
        <v>26.86</v>
      </c>
      <c r="F110" s="27" cm="1">
        <f t="array" aca="1" ref="F110" ca="1">_FV(B110,"open")</f>
        <v>27.36</v>
      </c>
      <c r="G110" s="5" t="str" cm="1">
        <f t="array" aca="1" ref="G110" ca="1">_FV(B110,"Currency")</f>
        <v>EUR</v>
      </c>
      <c r="H110" s="5" t="s">
        <v>183</v>
      </c>
      <c r="I110" s="16">
        <v>45992</v>
      </c>
      <c r="J110" s="18"/>
      <c r="K110" s="14">
        <v>450</v>
      </c>
      <c r="L110" s="19">
        <v>28.56</v>
      </c>
      <c r="M110" s="5">
        <f>+K110*L110+O110</f>
        <v>12867</v>
      </c>
      <c r="N110" s="5">
        <f ca="1">IF(G110="USD",M110*J110,+K110*L110+O110)</f>
        <v>12867</v>
      </c>
      <c r="O110" s="14">
        <v>15</v>
      </c>
      <c r="P110" s="14"/>
      <c r="Q110" s="4">
        <f t="shared" ca="1" si="37"/>
        <v>46140</v>
      </c>
      <c r="S110" s="1">
        <f>+K110</f>
        <v>450</v>
      </c>
      <c r="T110" s="5">
        <f ca="1">+E110</f>
        <v>26.86</v>
      </c>
      <c r="U110" s="5">
        <f ca="1">+S110*T110-W110</f>
        <v>12072</v>
      </c>
      <c r="V110" s="5">
        <f ca="1">IF(G110="USD",U110*R110,+S110*T110-W110)</f>
        <v>12072</v>
      </c>
      <c r="W110" s="14">
        <v>15</v>
      </c>
      <c r="Y110" s="30">
        <f>IF(A110=0,V110-N110,0)</f>
        <v>0</v>
      </c>
      <c r="Z110" s="30">
        <f ca="1">+Y110-(Y110*$AA$1)</f>
        <v>0</v>
      </c>
      <c r="AB110" s="170">
        <f ca="1">IF(A110=1,+V110-N110,0)</f>
        <v>-795</v>
      </c>
      <c r="AC110" s="168">
        <f ca="1">+AB110-(AB110*$AA$1)</f>
        <v>-628.18709652266205</v>
      </c>
      <c r="AD110" s="28">
        <f ca="1">+U110/M110-1</f>
        <v>-6.1785964094194457E-2</v>
      </c>
      <c r="AE110" s="48">
        <f ca="1">+Z110/$Z$393</f>
        <v>0</v>
      </c>
      <c r="AF110" s="48">
        <f ca="1">+N110/$N$259</f>
        <v>6.0143222271477866E-3</v>
      </c>
      <c r="AG110" s="204">
        <f ca="1">AVERAGE($AF$5:$AF$257)</f>
        <v>3.9682539682539663E-3</v>
      </c>
      <c r="AH110" s="1" t="str">
        <f ca="1">IF(AF110&lt;AG110,"no","si")</f>
        <v>si</v>
      </c>
      <c r="AI110" s="28" t="str">
        <f ca="1">IF(G110="USD",+R110/J110-1,"-")</f>
        <v>-</v>
      </c>
    </row>
    <row r="111" spans="1:35" x14ac:dyDescent="0.2">
      <c r="A111" s="1">
        <v>1</v>
      </c>
      <c r="B111" s="1" t="e" vm="75">
        <v>#VALUE!</v>
      </c>
      <c r="D111" s="1" t="str" cm="1">
        <f t="array" aca="1" ref="D111" ca="1">_FV(B111,"Ticker symbol",TRUE)</f>
        <v>FUBO</v>
      </c>
      <c r="E111" s="25" cm="1">
        <f t="array" aca="1" ref="E111" ca="1">_FV(B111,"Price")</f>
        <v>11.585000000000001</v>
      </c>
      <c r="F111" s="25" cm="1">
        <f t="array" aca="1" ref="F111" ca="1">_FV(B111,"open")</f>
        <v>11.88</v>
      </c>
      <c r="G111" s="5" t="str" cm="1">
        <f t="array" aca="1" ref="G111" ca="1">_FV(B111,"Currency")</f>
        <v>USD</v>
      </c>
      <c r="H111" s="5" t="s">
        <v>128</v>
      </c>
      <c r="I111" s="4">
        <v>45490</v>
      </c>
      <c r="J111" s="172">
        <v>0.9173</v>
      </c>
      <c r="K111" s="1">
        <v>100</v>
      </c>
      <c r="L111" s="10">
        <v>17.52</v>
      </c>
      <c r="M111" s="5">
        <f t="shared" si="35"/>
        <v>1753.2</v>
      </c>
      <c r="N111" s="5">
        <f t="shared" ca="1" si="36"/>
        <v>1608.21036</v>
      </c>
      <c r="O111" s="1">
        <v>1.2</v>
      </c>
      <c r="Q111" s="4">
        <f t="shared" ca="1" si="37"/>
        <v>46140</v>
      </c>
      <c r="R111" s="8">
        <f ca="1">+$M$551</f>
        <v>0.85299999999999998</v>
      </c>
      <c r="S111" s="1">
        <f t="shared" si="48"/>
        <v>100</v>
      </c>
      <c r="T111" s="5">
        <f t="shared" ca="1" si="39"/>
        <v>11.585000000000001</v>
      </c>
      <c r="U111" s="5">
        <f t="shared" ca="1" si="40"/>
        <v>1156.5</v>
      </c>
      <c r="V111" s="5">
        <f t="shared" ca="1" si="41"/>
        <v>986.49450000000002</v>
      </c>
      <c r="W111" s="1">
        <v>2</v>
      </c>
      <c r="Y111" s="30">
        <f t="shared" si="42"/>
        <v>0</v>
      </c>
      <c r="Z111" s="30">
        <f t="shared" ca="1" si="43"/>
        <v>0</v>
      </c>
      <c r="AB111" s="170">
        <f t="shared" ca="1" si="33"/>
        <v>-621.71586000000002</v>
      </c>
      <c r="AC111" s="168">
        <f t="shared" ca="1" si="34"/>
        <v>-491.26274334023879</v>
      </c>
      <c r="AD111" s="28">
        <f t="shared" ca="1" si="44"/>
        <v>-0.34034907597535935</v>
      </c>
      <c r="AE111" s="48">
        <f ca="1">+Z111/$Z$393</f>
        <v>0</v>
      </c>
      <c r="AF111" s="48">
        <f ca="1">+N111/$N$259</f>
        <v>7.51713321992488E-4</v>
      </c>
      <c r="AG111" s="204">
        <f ca="1">AVERAGE($AF$5:$AF$257)</f>
        <v>3.9682539682539663E-3</v>
      </c>
      <c r="AH111" s="1" t="str">
        <f t="shared" ca="1" si="45"/>
        <v>no</v>
      </c>
      <c r="AI111" s="28">
        <f t="shared" ca="1" si="46"/>
        <v>-7.0097023874414077E-2</v>
      </c>
    </row>
    <row r="112" spans="1:35" ht="17" customHeight="1" x14ac:dyDescent="0.2">
      <c r="A112" s="1">
        <v>1</v>
      </c>
      <c r="B112" s="1" t="e" vm="75">
        <v>#VALUE!</v>
      </c>
      <c r="D112" s="1" t="str" cm="1">
        <f t="array" aca="1" ref="D112" ca="1">_FV(B112,"Ticker symbol",TRUE)</f>
        <v>FUBO</v>
      </c>
      <c r="E112" s="25" cm="1">
        <f t="array" aca="1" ref="E112" ca="1">_FV(B112,"Price")</f>
        <v>11.585000000000001</v>
      </c>
      <c r="F112" s="25" cm="1">
        <f t="array" aca="1" ref="F112" ca="1">_FV(B112,"open")</f>
        <v>11.88</v>
      </c>
      <c r="G112" s="5" t="str" cm="1">
        <f t="array" aca="1" ref="G112" ca="1">_FV(B112,"Currency")</f>
        <v>USD</v>
      </c>
      <c r="H112" s="5" t="s">
        <v>128</v>
      </c>
      <c r="I112" s="4">
        <v>45693</v>
      </c>
      <c r="J112" s="172">
        <v>0.95950000000000002</v>
      </c>
      <c r="K112" s="1">
        <v>33.33</v>
      </c>
      <c r="L112" s="10">
        <v>53.28</v>
      </c>
      <c r="M112" s="5">
        <f t="shared" si="35"/>
        <v>1777.8324</v>
      </c>
      <c r="N112" s="5">
        <f t="shared" ca="1" si="36"/>
        <v>1705.8301878</v>
      </c>
      <c r="O112" s="1">
        <v>2.0099999999999998</v>
      </c>
      <c r="Q112" s="4">
        <f t="shared" ca="1" si="37"/>
        <v>46140</v>
      </c>
      <c r="R112" s="8">
        <f ca="1">+$M$551</f>
        <v>0.85299999999999998</v>
      </c>
      <c r="S112" s="1">
        <f t="shared" si="48"/>
        <v>33.33</v>
      </c>
      <c r="T112" s="5">
        <f t="shared" ca="1" si="39"/>
        <v>11.585000000000001</v>
      </c>
      <c r="U112" s="5">
        <f t="shared" ca="1" si="40"/>
        <v>383.12805000000003</v>
      </c>
      <c r="V112" s="5">
        <f t="shared" ca="1" si="41"/>
        <v>326.80822664999999</v>
      </c>
      <c r="W112" s="1">
        <v>3</v>
      </c>
      <c r="Y112" s="30">
        <f t="shared" si="42"/>
        <v>0</v>
      </c>
      <c r="Z112" s="30">
        <f t="shared" ca="1" si="43"/>
        <v>0</v>
      </c>
      <c r="AB112" s="170">
        <f t="shared" ca="1" si="33"/>
        <v>-1379.0219611499999</v>
      </c>
      <c r="AC112" s="168">
        <f t="shared" ca="1" si="34"/>
        <v>-1089.6651595167368</v>
      </c>
      <c r="AD112" s="28">
        <f t="shared" ca="1" si="44"/>
        <v>-0.78449709320181138</v>
      </c>
      <c r="AE112" s="48">
        <f ca="1">+Z112/$Z$393</f>
        <v>0</v>
      </c>
      <c r="AF112" s="48">
        <f ca="1">+N112/$N$259</f>
        <v>7.9734300258220425E-4</v>
      </c>
      <c r="AG112" s="204">
        <f ca="1">AVERAGE($AF$5:$AF$257)</f>
        <v>3.9682539682539663E-3</v>
      </c>
      <c r="AH112" s="1" t="str">
        <f t="shared" ca="1" si="45"/>
        <v>no</v>
      </c>
      <c r="AI112" s="28">
        <f t="shared" ca="1" si="46"/>
        <v>-0.11099531005732155</v>
      </c>
    </row>
    <row r="113" spans="1:35" ht="17" customHeight="1" x14ac:dyDescent="0.2">
      <c r="A113" s="1">
        <v>1</v>
      </c>
      <c r="B113" s="1" t="e" vm="76">
        <v>#VALUE!</v>
      </c>
      <c r="D113" s="1" t="str" cm="1">
        <f t="array" aca="1" ref="D113" ca="1">_FV(B113,"Ticker symbol",TRUE)</f>
        <v>GLXY</v>
      </c>
      <c r="E113" s="25" cm="1">
        <f t="array" aca="1" ref="E113" ca="1">_FV(B113,"Price")</f>
        <v>25.05</v>
      </c>
      <c r="F113" s="25" cm="1">
        <f t="array" aca="1" ref="F113" ca="1">_FV(B113,"open")</f>
        <v>25.94</v>
      </c>
      <c r="G113" s="5" t="str" cm="1">
        <f t="array" aca="1" ref="G113" ca="1">_FV(B113,"Currency")</f>
        <v>USD</v>
      </c>
      <c r="H113" s="5" t="s">
        <v>128</v>
      </c>
      <c r="I113" s="4">
        <v>46001</v>
      </c>
      <c r="J113" s="172">
        <v>0.85840000000000005</v>
      </c>
      <c r="K113" s="1">
        <v>300</v>
      </c>
      <c r="L113" s="10">
        <v>28.75</v>
      </c>
      <c r="M113" s="5">
        <f>+K113*L113+O113</f>
        <v>8626.5</v>
      </c>
      <c r="N113" s="5">
        <f ca="1">IF(G113="USD",M113*J113,+K113*L113+O113)</f>
        <v>7404.9876000000004</v>
      </c>
      <c r="O113" s="1">
        <v>1.5</v>
      </c>
      <c r="Q113" s="4">
        <f t="shared" ca="1" si="37"/>
        <v>46140</v>
      </c>
      <c r="R113" s="8">
        <f ca="1">+$M$551</f>
        <v>0.85299999999999998</v>
      </c>
      <c r="S113" s="1">
        <f>+K113</f>
        <v>300</v>
      </c>
      <c r="T113" s="5">
        <f ca="1">+E113</f>
        <v>25.05</v>
      </c>
      <c r="U113" s="5">
        <f ca="1">+S113*T113-W113</f>
        <v>7513.5</v>
      </c>
      <c r="V113" s="5">
        <f ca="1">IF(G113="USD",U113*R113,+S113*T113-W113)</f>
        <v>6409.0154999999995</v>
      </c>
      <c r="W113" s="1">
        <v>1.5</v>
      </c>
      <c r="Y113" s="30">
        <f>IF(A113=0,V113-N113,0)</f>
        <v>0</v>
      </c>
      <c r="Z113" s="30">
        <f ca="1">+Y113-(Y113*$AA$1)</f>
        <v>0</v>
      </c>
      <c r="AB113" s="170">
        <f ca="1">IF(A113=1,+V113-N113,0)</f>
        <v>-995.97210000000086</v>
      </c>
      <c r="AC113" s="168">
        <f ca="1">+AB113-(AB113*$AA$1)</f>
        <v>-786.98971285104267</v>
      </c>
      <c r="AD113" s="28">
        <f ca="1">+U113/M113-1</f>
        <v>-0.12902103981916191</v>
      </c>
      <c r="AE113" s="48">
        <f ca="1">+Z113/$Z$393</f>
        <v>0</v>
      </c>
      <c r="AF113" s="48">
        <f ca="1">+N113/$N$259</f>
        <v>3.4612560437113347E-3</v>
      </c>
      <c r="AG113" s="204">
        <f ca="1">AVERAGE($AF$5:$AF$257)</f>
        <v>3.9682539682539663E-3</v>
      </c>
      <c r="AH113" s="1" t="str">
        <f ca="1">IF(AF113&lt;AG113,"no","si")</f>
        <v>no</v>
      </c>
      <c r="AI113" s="28">
        <f ca="1">IF(G113="USD",+R113/J113-1,"-")</f>
        <v>-6.2907735321529046E-3</v>
      </c>
    </row>
    <row r="114" spans="1:35" ht="17" customHeight="1" x14ac:dyDescent="0.2">
      <c r="A114" s="15">
        <v>1</v>
      </c>
      <c r="B114" s="1" t="e" vm="77">
        <v>#VALUE!</v>
      </c>
      <c r="D114" s="1" t="str" cm="1">
        <f t="array" aca="1" ref="D114" ca="1">_FV(B114,"Ticker symbol",TRUE)</f>
        <v>GEHC</v>
      </c>
      <c r="E114" s="25" cm="1">
        <f t="array" aca="1" ref="E114" ca="1">_FV(B114,"Price")</f>
        <v>70.48</v>
      </c>
      <c r="F114" s="25" cm="1">
        <f t="array" aca="1" ref="F114" ca="1">_FV(B114,"open")</f>
        <v>69.19</v>
      </c>
      <c r="G114" s="5" t="str" cm="1">
        <f t="array" aca="1" ref="G114" ca="1">_FV(B114,"Currency")</f>
        <v>USD</v>
      </c>
      <c r="H114" s="5" t="s">
        <v>183</v>
      </c>
      <c r="I114" s="4">
        <v>45348</v>
      </c>
      <c r="J114" s="172">
        <v>0.92442000000000002</v>
      </c>
      <c r="K114" s="1">
        <v>89</v>
      </c>
      <c r="L114" s="10">
        <v>88.94</v>
      </c>
      <c r="M114" s="5">
        <f t="shared" si="35"/>
        <v>7930.66</v>
      </c>
      <c r="N114" s="5">
        <f t="shared" ca="1" si="36"/>
        <v>7331.2607171999998</v>
      </c>
      <c r="O114" s="1">
        <v>15</v>
      </c>
      <c r="Q114" s="4">
        <f t="shared" ca="1" si="37"/>
        <v>46140</v>
      </c>
      <c r="R114" s="8">
        <f ca="1">+$M$551</f>
        <v>0.85299999999999998</v>
      </c>
      <c r="S114" s="1">
        <f t="shared" si="48"/>
        <v>89</v>
      </c>
      <c r="T114" s="5">
        <f t="shared" ca="1" si="39"/>
        <v>70.48</v>
      </c>
      <c r="U114" s="5">
        <f t="shared" ca="1" si="40"/>
        <v>6257.72</v>
      </c>
      <c r="V114" s="5">
        <f t="shared" ca="1" si="41"/>
        <v>5337.8351600000005</v>
      </c>
      <c r="W114" s="1">
        <v>15</v>
      </c>
      <c r="Y114" s="30">
        <f t="shared" si="42"/>
        <v>0</v>
      </c>
      <c r="Z114" s="30">
        <f t="shared" ca="1" si="43"/>
        <v>0</v>
      </c>
      <c r="AB114" s="170">
        <f t="shared" ca="1" si="33"/>
        <v>-1993.4255571999993</v>
      </c>
      <c r="AC114" s="168">
        <f t="shared" ca="1" si="34"/>
        <v>-1575.1499533478457</v>
      </c>
      <c r="AD114" s="28">
        <f t="shared" ca="1" si="44"/>
        <v>-0.21094587335732451</v>
      </c>
      <c r="AE114" s="48">
        <f ca="1">+Z114/$Z$393</f>
        <v>0</v>
      </c>
      <c r="AF114" s="48">
        <f ca="1">+N114/$N$259</f>
        <v>3.4267944574859236E-3</v>
      </c>
      <c r="AG114" s="204">
        <f ca="1">AVERAGE($AF$5:$AF$257)</f>
        <v>3.9682539682539663E-3</v>
      </c>
      <c r="AH114" s="1" t="str">
        <f t="shared" ca="1" si="45"/>
        <v>no</v>
      </c>
      <c r="AI114" s="28">
        <f t="shared" ca="1" si="46"/>
        <v>-7.7259254451439885E-2</v>
      </c>
    </row>
    <row r="115" spans="1:35" ht="17" customHeight="1" x14ac:dyDescent="0.2">
      <c r="A115" s="15">
        <v>1</v>
      </c>
      <c r="B115" s="1" t="e" vm="78">
        <v>#VALUE!</v>
      </c>
      <c r="D115" s="1" t="str" cm="1">
        <f t="array" aca="1" ref="D115" ca="1">_FV(B115,"Ticker symbol",TRUE)</f>
        <v>GNTX</v>
      </c>
      <c r="E115" s="25" cm="1">
        <f t="array" aca="1" ref="E115" ca="1">_FV(B115,"Price")</f>
        <v>23.86</v>
      </c>
      <c r="F115" s="25" cm="1">
        <f t="array" aca="1" ref="F115" ca="1">_FV(B115,"open")</f>
        <v>23.97</v>
      </c>
      <c r="G115" s="5" t="str" cm="1">
        <f t="array" aca="1" ref="G115" ca="1">_FV(B115,"Currency")</f>
        <v>USD</v>
      </c>
      <c r="H115" s="5" t="s">
        <v>204</v>
      </c>
      <c r="I115" s="4">
        <v>46139</v>
      </c>
      <c r="J115" s="172">
        <v>0.85209999999999997</v>
      </c>
      <c r="K115" s="1">
        <v>440</v>
      </c>
      <c r="L115" s="10">
        <v>24.33</v>
      </c>
      <c r="M115" s="5">
        <f t="shared" ref="M115" si="49">+K115*L115+O115</f>
        <v>10705.199999999999</v>
      </c>
      <c r="N115" s="5">
        <f t="shared" ref="N115" ca="1" si="50">IF(G115="USD",M115*J115,+K115*L115+O115)</f>
        <v>9121.9009199999982</v>
      </c>
      <c r="O115" s="1">
        <v>0</v>
      </c>
      <c r="Q115" s="4">
        <f t="shared" ca="1" si="37"/>
        <v>46140</v>
      </c>
      <c r="R115" s="8">
        <f ca="1">+$M$551</f>
        <v>0.85299999999999998</v>
      </c>
      <c r="S115" s="1">
        <f t="shared" ref="S115" si="51">+K115</f>
        <v>440</v>
      </c>
      <c r="T115" s="5">
        <f t="shared" ref="T115" ca="1" si="52">+E115</f>
        <v>23.86</v>
      </c>
      <c r="U115" s="5">
        <f t="shared" ref="U115" ca="1" si="53">+S115*T115-W115</f>
        <v>10498.4</v>
      </c>
      <c r="V115" s="5">
        <f t="shared" ref="V115" ca="1" si="54">IF(G115="USD",U115*R115,+S115*T115-W115)</f>
        <v>8955.1351999999988</v>
      </c>
      <c r="W115" s="1">
        <v>0</v>
      </c>
      <c r="Y115" s="30">
        <f t="shared" ref="Y115" si="55">IF(A115=0,V115-N115,0)</f>
        <v>0</v>
      </c>
      <c r="Z115" s="30">
        <f t="shared" ref="Z115" ca="1" si="56">+Y115-(Y115*$AA$1)</f>
        <v>0</v>
      </c>
      <c r="AB115" s="170">
        <f t="shared" ref="AB115" ca="1" si="57">IF(A115=1,+V115-N115,0)</f>
        <v>-166.76571999999942</v>
      </c>
      <c r="AC115" s="168">
        <f t="shared" ref="AC115" ca="1" si="58">+AB115-(AB115*$AA$1)</f>
        <v>-131.77367729095707</v>
      </c>
      <c r="AD115" s="28">
        <f t="shared" ref="AD115" ca="1" si="59">+U115/M115-1</f>
        <v>-1.9317714755445858E-2</v>
      </c>
      <c r="AE115" s="48">
        <f ca="1">+Z115/$Z$393</f>
        <v>0</v>
      </c>
      <c r="AF115" s="48">
        <f ca="1">+N115/$N$259</f>
        <v>4.2637795490009971E-3</v>
      </c>
      <c r="AG115" s="204">
        <f ca="1">AVERAGE($AF$5:$AF$257)</f>
        <v>3.9682539682539663E-3</v>
      </c>
      <c r="AH115" s="1" t="str">
        <f t="shared" ref="AH115" ca="1" si="60">IF(AF115&lt;AG115,"no","si")</f>
        <v>si</v>
      </c>
      <c r="AI115" s="28">
        <f t="shared" ref="AI115" ca="1" si="61">IF(G115="USD",+R115/J115-1,"-")</f>
        <v>1.0562140593826097E-3</v>
      </c>
    </row>
    <row r="116" spans="1:35" ht="17" customHeight="1" x14ac:dyDescent="0.2">
      <c r="A116" s="14">
        <v>1</v>
      </c>
      <c r="B116" s="14" t="e" vm="79">
        <v>#VALUE!</v>
      </c>
      <c r="C116" s="14"/>
      <c r="D116" s="1" t="str" cm="1">
        <f t="array" aca="1" ref="D116" ca="1">_FV(B116,"Ticker symbol",TRUE)</f>
        <v>GEST</v>
      </c>
      <c r="E116" s="27" cm="1">
        <f t="array" aca="1" ref="E116" ca="1">_FV(B116,"Price")</f>
        <v>3.18</v>
      </c>
      <c r="F116" s="27" cm="1">
        <f t="array" aca="1" ref="F116" ca="1">_FV(B116,"open")</f>
        <v>3.18</v>
      </c>
      <c r="G116" s="5" t="str" cm="1">
        <f t="array" aca="1" ref="G116" ca="1">_FV(B116,"Currency")</f>
        <v>EUR</v>
      </c>
      <c r="H116" s="5" t="s">
        <v>115</v>
      </c>
      <c r="I116" s="16">
        <v>43423</v>
      </c>
      <c r="J116" s="18"/>
      <c r="K116" s="14">
        <v>2165</v>
      </c>
      <c r="L116" s="19">
        <v>6.92</v>
      </c>
      <c r="M116" s="5">
        <f t="shared" si="35"/>
        <v>14996.8</v>
      </c>
      <c r="N116" s="5">
        <f t="shared" ca="1" si="36"/>
        <v>14996.8</v>
      </c>
      <c r="O116" s="14">
        <v>15</v>
      </c>
      <c r="P116" s="14"/>
      <c r="Q116" s="4">
        <f t="shared" ca="1" si="37"/>
        <v>46140</v>
      </c>
      <c r="S116" s="1">
        <f t="shared" si="48"/>
        <v>2165</v>
      </c>
      <c r="T116" s="5">
        <f t="shared" ca="1" si="39"/>
        <v>3.18</v>
      </c>
      <c r="U116" s="5">
        <f t="shared" ca="1" si="40"/>
        <v>6864.7000000000007</v>
      </c>
      <c r="V116" s="5">
        <f t="shared" ca="1" si="41"/>
        <v>6864.7000000000007</v>
      </c>
      <c r="W116" s="14">
        <v>20</v>
      </c>
      <c r="X116" s="17"/>
      <c r="Y116" s="30">
        <f t="shared" si="42"/>
        <v>0</v>
      </c>
      <c r="Z116" s="30">
        <f t="shared" ca="1" si="43"/>
        <v>0</v>
      </c>
      <c r="AA116" s="14"/>
      <c r="AB116" s="170">
        <f t="shared" ca="1" si="33"/>
        <v>-8132.0999999999985</v>
      </c>
      <c r="AC116" s="168">
        <f t="shared" ca="1" si="34"/>
        <v>-6425.7613680904888</v>
      </c>
      <c r="AD116" s="28">
        <f t="shared" ca="1" si="44"/>
        <v>-0.54225568121199186</v>
      </c>
      <c r="AE116" s="48">
        <f ca="1">+Z116/$Z$393</f>
        <v>0</v>
      </c>
      <c r="AF116" s="48">
        <f ca="1">+N116/$N$259</f>
        <v>7.0098381577749216E-3</v>
      </c>
      <c r="AG116" s="204">
        <f ca="1">AVERAGE($AF$5:$AF$257)</f>
        <v>3.9682539682539663E-3</v>
      </c>
      <c r="AH116" s="1" t="str">
        <f t="shared" ca="1" si="45"/>
        <v>si</v>
      </c>
      <c r="AI116" s="28" t="str">
        <f t="shared" ca="1" si="46"/>
        <v>-</v>
      </c>
    </row>
    <row r="117" spans="1:35" ht="17" customHeight="1" x14ac:dyDescent="0.2">
      <c r="A117" s="14">
        <v>1</v>
      </c>
      <c r="B117" s="14" t="e" vm="80">
        <v>#VALUE!</v>
      </c>
      <c r="C117" s="14"/>
      <c r="D117" s="1" t="str" cm="1">
        <f t="array" aca="1" ref="D117" ca="1">_FV(B117,"Ticker symbol",TRUE)</f>
        <v>GIII</v>
      </c>
      <c r="E117" s="27" cm="1">
        <f t="array" aca="1" ref="E117" ca="1">_FV(B117,"Price")</f>
        <v>31.68</v>
      </c>
      <c r="F117" s="27" cm="1">
        <f t="array" aca="1" ref="F117" ca="1">_FV(B117,"open")</f>
        <v>31.3</v>
      </c>
      <c r="G117" s="5" t="str" cm="1">
        <f t="array" aca="1" ref="G117" ca="1">_FV(B117,"Currency")</f>
        <v>USD</v>
      </c>
      <c r="H117" s="5" t="s">
        <v>128</v>
      </c>
      <c r="I117" s="16">
        <v>45887</v>
      </c>
      <c r="J117" s="172">
        <v>0.85719999999999996</v>
      </c>
      <c r="K117" s="14">
        <v>280</v>
      </c>
      <c r="L117" s="19">
        <v>26.27</v>
      </c>
      <c r="M117" s="5">
        <f>+K117*L117+O117</f>
        <v>7357.0099999999993</v>
      </c>
      <c r="N117" s="5">
        <f ca="1">IF(G117="USD",M117*J117,+K117*L117+O117)</f>
        <v>6306.4289719999988</v>
      </c>
      <c r="O117" s="14">
        <v>1.41</v>
      </c>
      <c r="P117" s="14"/>
      <c r="Q117" s="4">
        <f t="shared" ca="1" si="37"/>
        <v>46140</v>
      </c>
      <c r="R117" s="8">
        <f ca="1">+$M$551</f>
        <v>0.85299999999999998</v>
      </c>
      <c r="S117" s="1">
        <f>+K117</f>
        <v>280</v>
      </c>
      <c r="T117" s="5">
        <f ca="1">+E117</f>
        <v>31.68</v>
      </c>
      <c r="U117" s="5">
        <f ca="1">+S117*T117-W117</f>
        <v>8868.99</v>
      </c>
      <c r="V117" s="5">
        <f ca="1">IF(G117="USD",U117*R117,+S117*T117-W117)</f>
        <v>7565.2484699999995</v>
      </c>
      <c r="W117" s="14">
        <v>1.41</v>
      </c>
      <c r="X117" s="17"/>
      <c r="Y117" s="30">
        <f>IF(A117=0,V117-N117,0)</f>
        <v>0</v>
      </c>
      <c r="Z117" s="30">
        <f ca="1">+Y117-(Y117*$AA$1)</f>
        <v>0</v>
      </c>
      <c r="AA117" s="14"/>
      <c r="AB117" s="170">
        <f t="shared" ca="1" si="33"/>
        <v>1258.8194980000007</v>
      </c>
      <c r="AC117" s="168">
        <f t="shared" ca="1" si="34"/>
        <v>994.68448489903835</v>
      </c>
      <c r="AD117" s="28">
        <f ca="1">+U117/M117-1</f>
        <v>0.20551555591198056</v>
      </c>
      <c r="AE117" s="48">
        <f ca="1">+Z117/$Z$393</f>
        <v>0</v>
      </c>
      <c r="AF117" s="48">
        <f ca="1">+N117/$N$259</f>
        <v>2.9477652864092919E-3</v>
      </c>
      <c r="AG117" s="204">
        <f ca="1">AVERAGE($AF$5:$AF$257)</f>
        <v>3.9682539682539663E-3</v>
      </c>
      <c r="AH117" s="1" t="str">
        <f ca="1">IF(AF117&lt;AG117,"no","si")</f>
        <v>no</v>
      </c>
      <c r="AI117" s="28">
        <f ca="1">IF(G117="USD",+R117/J117-1,"-")</f>
        <v>-4.8996733551096572E-3</v>
      </c>
    </row>
    <row r="118" spans="1:35" ht="17" customHeight="1" x14ac:dyDescent="0.2">
      <c r="A118" s="14">
        <v>1</v>
      </c>
      <c r="B118" s="14" t="e" vm="81">
        <v>#VALUE!</v>
      </c>
      <c r="C118" s="14"/>
      <c r="D118" s="1" t="str" cm="1">
        <f t="array" aca="1" ref="D118" ca="1">_FV(B118,"Ticker symbol",TRUE)</f>
        <v>DOM</v>
      </c>
      <c r="E118" s="27" cm="1">
        <f t="array" aca="1" ref="E118" ca="1">_FV(B118,"Price")</f>
        <v>3.3250000000000002</v>
      </c>
      <c r="F118" s="27" cm="1">
        <f t="array" aca="1" ref="F118" ca="1">_FV(B118,"open")</f>
        <v>3.36</v>
      </c>
      <c r="G118" s="5" t="str" cm="1">
        <f t="array" aca="1" ref="G118" ca="1">_FV(B118,"Currency")</f>
        <v>EUR</v>
      </c>
      <c r="H118" s="5" t="s">
        <v>196</v>
      </c>
      <c r="I118" s="4">
        <v>44657</v>
      </c>
      <c r="J118" s="18"/>
      <c r="K118" s="14">
        <v>4000</v>
      </c>
      <c r="L118" s="19">
        <v>3.42</v>
      </c>
      <c r="M118" s="5">
        <f t="shared" si="35"/>
        <v>13700</v>
      </c>
      <c r="N118" s="5">
        <f t="shared" ca="1" si="36"/>
        <v>13700</v>
      </c>
      <c r="O118" s="14">
        <v>20</v>
      </c>
      <c r="P118" s="14"/>
      <c r="Q118" s="4">
        <f t="shared" ca="1" si="37"/>
        <v>46140</v>
      </c>
      <c r="S118" s="1">
        <f t="shared" si="48"/>
        <v>4000</v>
      </c>
      <c r="T118" s="5">
        <f t="shared" ca="1" si="39"/>
        <v>3.3250000000000002</v>
      </c>
      <c r="U118" s="5">
        <f t="shared" ca="1" si="40"/>
        <v>13280</v>
      </c>
      <c r="V118" s="5">
        <f t="shared" ca="1" si="41"/>
        <v>13280</v>
      </c>
      <c r="W118" s="14">
        <v>20</v>
      </c>
      <c r="X118" s="17"/>
      <c r="Y118" s="30">
        <f t="shared" si="42"/>
        <v>0</v>
      </c>
      <c r="Z118" s="30">
        <f t="shared" ca="1" si="43"/>
        <v>0</v>
      </c>
      <c r="AA118" s="14"/>
      <c r="AB118" s="170">
        <f t="shared" ca="1" si="33"/>
        <v>-420</v>
      </c>
      <c r="AC118" s="168">
        <f t="shared" ca="1" si="34"/>
        <v>-331.87242835159503</v>
      </c>
      <c r="AD118" s="28">
        <f t="shared" ca="1" si="44"/>
        <v>-3.065693430656935E-2</v>
      </c>
      <c r="AE118" s="48">
        <f ca="1">+Z118/$Z$393</f>
        <v>0</v>
      </c>
      <c r="AF118" s="48">
        <f ca="1">+N118/$N$259</f>
        <v>6.4036849702280773E-3</v>
      </c>
      <c r="AG118" s="204">
        <f ca="1">AVERAGE($AF$5:$AF$257)</f>
        <v>3.9682539682539663E-3</v>
      </c>
      <c r="AH118" s="1" t="str">
        <f t="shared" ca="1" si="45"/>
        <v>si</v>
      </c>
      <c r="AI118" s="28" t="str">
        <f t="shared" ca="1" si="46"/>
        <v>-</v>
      </c>
    </row>
    <row r="119" spans="1:35" x14ac:dyDescent="0.2">
      <c r="A119" s="1">
        <v>1</v>
      </c>
      <c r="B119" s="1" t="e" vm="82">
        <v>#VALUE!</v>
      </c>
      <c r="D119" s="1" t="str" cm="1">
        <f t="array" aca="1" ref="D119" ca="1">_FV(B119,"Ticker symbol",TRUE)</f>
        <v>GFS</v>
      </c>
      <c r="E119" s="25" cm="1">
        <f t="array" aca="1" ref="E119" ca="1">_FV(B119,"Price")</f>
        <v>60.35</v>
      </c>
      <c r="F119" s="25" cm="1">
        <f t="array" aca="1" ref="F119" ca="1">_FV(B119,"open")</f>
        <v>61.89</v>
      </c>
      <c r="G119" s="5" t="str" cm="1">
        <f t="array" aca="1" ref="G119" ca="1">_FV(B119,"Currency")</f>
        <v>USD</v>
      </c>
      <c r="H119" s="5" t="s">
        <v>115</v>
      </c>
      <c r="I119" s="4">
        <v>44656</v>
      </c>
      <c r="J119" s="172">
        <v>0.90834999999999999</v>
      </c>
      <c r="K119" s="1">
        <v>260</v>
      </c>
      <c r="L119" s="10">
        <v>60.22</v>
      </c>
      <c r="M119" s="5">
        <f t="shared" si="35"/>
        <v>15747.63</v>
      </c>
      <c r="N119" s="5">
        <f t="shared" ca="1" si="36"/>
        <v>14304.359710499999</v>
      </c>
      <c r="O119" s="1">
        <f>84.65+5.78</f>
        <v>90.43</v>
      </c>
      <c r="Q119" s="4">
        <f t="shared" ca="1" si="37"/>
        <v>46140</v>
      </c>
      <c r="R119" s="8">
        <f ca="1">+$M$551</f>
        <v>0.85299999999999998</v>
      </c>
      <c r="S119" s="1">
        <f t="shared" si="48"/>
        <v>260</v>
      </c>
      <c r="T119" s="5">
        <f t="shared" ca="1" si="39"/>
        <v>60.35</v>
      </c>
      <c r="U119" s="5">
        <f t="shared" ca="1" si="40"/>
        <v>15675.98</v>
      </c>
      <c r="V119" s="5">
        <f t="shared" ca="1" si="41"/>
        <v>13371.610939999999</v>
      </c>
      <c r="W119" s="1">
        <v>15.02</v>
      </c>
      <c r="Y119" s="30">
        <f t="shared" si="42"/>
        <v>0</v>
      </c>
      <c r="Z119" s="30">
        <f t="shared" ca="1" si="43"/>
        <v>0</v>
      </c>
      <c r="AB119" s="170">
        <f t="shared" ca="1" si="33"/>
        <v>-932.74877050000032</v>
      </c>
      <c r="AC119" s="168">
        <f t="shared" ca="1" si="34"/>
        <v>-737.03237978047548</v>
      </c>
      <c r="AD119" s="28">
        <f t="shared" ca="1" si="44"/>
        <v>-4.5498909994710068E-3</v>
      </c>
      <c r="AE119" s="48">
        <f ca="1">+Z119/$Z$393</f>
        <v>0</v>
      </c>
      <c r="AF119" s="48">
        <f ca="1">+N119/$N$259</f>
        <v>6.6861761523259048E-3</v>
      </c>
      <c r="AG119" s="204">
        <f ca="1">AVERAGE($AF$5:$AF$257)</f>
        <v>3.9682539682539663E-3</v>
      </c>
      <c r="AH119" s="1" t="str">
        <f t="shared" ca="1" si="45"/>
        <v>si</v>
      </c>
      <c r="AI119" s="28">
        <f t="shared" ca="1" si="46"/>
        <v>-6.0934661749325714E-2</v>
      </c>
    </row>
    <row r="120" spans="1:35" x14ac:dyDescent="0.2">
      <c r="A120" s="14">
        <v>1</v>
      </c>
      <c r="B120" s="14" t="e" vm="83">
        <v>#VALUE!</v>
      </c>
      <c r="C120" s="14"/>
      <c r="D120" s="1" t="str" cm="1">
        <f t="array" aca="1" ref="D120" ca="1">_FV(B120,"Ticker symbol",TRUE)</f>
        <v>HAVAS</v>
      </c>
      <c r="E120" s="27" cm="1">
        <f t="array" aca="1" ref="E120" ca="1">_FV(B120,"Price")</f>
        <v>16.2</v>
      </c>
      <c r="F120" s="27" cm="1">
        <f t="array" aca="1" ref="F120" ca="1">_FV(B120,"open")</f>
        <v>16</v>
      </c>
      <c r="G120" s="5" t="str" cm="1">
        <f t="array" aca="1" ref="G120" ca="1">_FV(B120,"Currency")</f>
        <v>EUR</v>
      </c>
      <c r="H120" s="5" t="s">
        <v>115</v>
      </c>
      <c r="I120" s="16">
        <v>45792</v>
      </c>
      <c r="J120" s="18"/>
      <c r="K120" s="14">
        <v>452</v>
      </c>
      <c r="L120" s="19">
        <v>14.43</v>
      </c>
      <c r="M120" s="5">
        <f t="shared" si="35"/>
        <v>6536.9</v>
      </c>
      <c r="N120" s="5">
        <f t="shared" ca="1" si="36"/>
        <v>6536.9</v>
      </c>
      <c r="O120" s="14">
        <v>14.54</v>
      </c>
      <c r="P120" s="14"/>
      <c r="Q120" s="4">
        <f t="shared" ca="1" si="37"/>
        <v>46140</v>
      </c>
      <c r="S120" s="1">
        <f t="shared" si="48"/>
        <v>452</v>
      </c>
      <c r="T120" s="5">
        <f t="shared" ca="1" si="39"/>
        <v>16.2</v>
      </c>
      <c r="U120" s="5">
        <f t="shared" ca="1" si="40"/>
        <v>7307.4</v>
      </c>
      <c r="V120" s="5">
        <f t="shared" ca="1" si="41"/>
        <v>7307.4</v>
      </c>
      <c r="W120" s="14">
        <v>15</v>
      </c>
      <c r="X120" s="17"/>
      <c r="Y120" s="30">
        <f t="shared" si="42"/>
        <v>0</v>
      </c>
      <c r="Z120" s="30">
        <f t="shared" ca="1" si="43"/>
        <v>0</v>
      </c>
      <c r="AA120" s="14"/>
      <c r="AB120" s="170">
        <f t="shared" ca="1" si="33"/>
        <v>770.5</v>
      </c>
      <c r="AC120" s="168">
        <f t="shared" ca="1" si="34"/>
        <v>608.82787153548566</v>
      </c>
      <c r="AD120" s="28">
        <f t="shared" ca="1" si="44"/>
        <v>0.11786932643913772</v>
      </c>
      <c r="AE120" s="48">
        <f ca="1">+Z120/$Z$393</f>
        <v>0</v>
      </c>
      <c r="AF120" s="48">
        <f ca="1">+N120/$N$259</f>
        <v>3.0554925753199938E-3</v>
      </c>
      <c r="AG120" s="204">
        <f ca="1">AVERAGE($AF$5:$AF$257)</f>
        <v>3.9682539682539663E-3</v>
      </c>
      <c r="AH120" s="1" t="str">
        <f t="shared" ca="1" si="45"/>
        <v>no</v>
      </c>
      <c r="AI120" s="28" t="str">
        <f t="shared" ca="1" si="46"/>
        <v>-</v>
      </c>
    </row>
    <row r="121" spans="1:35" x14ac:dyDescent="0.2">
      <c r="A121" s="14">
        <v>1</v>
      </c>
      <c r="B121" s="14" t="e" vm="84">
        <v>#VALUE!</v>
      </c>
      <c r="C121" s="14"/>
      <c r="D121" s="1" t="str" cm="1">
        <f t="array" aca="1" ref="D121" ca="1">_FV(B121,"Ticker symbol",TRUE)</f>
        <v>HBX</v>
      </c>
      <c r="E121" s="27" cm="1">
        <f t="array" aca="1" ref="E121" ca="1">_FV(B121,"Price")</f>
        <v>6.5750000000000002</v>
      </c>
      <c r="F121" s="27" cm="1">
        <f t="array" aca="1" ref="F121" ca="1">_FV(B121,"open")</f>
        <v>6.6349999999999998</v>
      </c>
      <c r="G121" s="5" t="str" cm="1">
        <f t="array" aca="1" ref="G121" ca="1">_FV(B121,"Currency")</f>
        <v>EUR</v>
      </c>
      <c r="H121" s="5" t="s">
        <v>115</v>
      </c>
      <c r="I121" s="16">
        <v>45824</v>
      </c>
      <c r="J121" s="18"/>
      <c r="K121" s="14">
        <v>1098</v>
      </c>
      <c r="L121" s="19">
        <v>10.9</v>
      </c>
      <c r="M121" s="5">
        <f>+K121*L121+O121</f>
        <v>11989.37</v>
      </c>
      <c r="N121" s="5">
        <f ca="1">IF(G121="USD",M121*J121,+K121*L121+O121)</f>
        <v>11989.37</v>
      </c>
      <c r="O121" s="14">
        <v>21.17</v>
      </c>
      <c r="P121" s="14"/>
      <c r="Q121" s="4">
        <f t="shared" ca="1" si="37"/>
        <v>46140</v>
      </c>
      <c r="S121" s="1">
        <f>+K121</f>
        <v>1098</v>
      </c>
      <c r="T121" s="5">
        <f ca="1">+E121</f>
        <v>6.5750000000000002</v>
      </c>
      <c r="U121" s="5">
        <f ca="1">+S121*T121-W121</f>
        <v>7196.35</v>
      </c>
      <c r="V121" s="5">
        <f ca="1">IF(G121="USD",U121*R121,+S121*T121-W121)</f>
        <v>7196.35</v>
      </c>
      <c r="W121" s="14">
        <v>23</v>
      </c>
      <c r="X121" s="17"/>
      <c r="Y121" s="30">
        <f>IF(A121=0,V121-N121,0)</f>
        <v>0</v>
      </c>
      <c r="Z121" s="30">
        <f ca="1">+Y121-(Y121*$AA$1)</f>
        <v>0</v>
      </c>
      <c r="AA121" s="14"/>
      <c r="AB121" s="170">
        <f t="shared" ca="1" si="33"/>
        <v>-4793.0200000000004</v>
      </c>
      <c r="AC121" s="168">
        <f t="shared" ca="1" si="34"/>
        <v>-3787.3123488994338</v>
      </c>
      <c r="AD121" s="28">
        <f ca="1">+U121/M121-1</f>
        <v>-0.39977246510867548</v>
      </c>
      <c r="AE121" s="48">
        <f ca="1">+Z121/$Z$393</f>
        <v>0</v>
      </c>
      <c r="AF121" s="48">
        <f ca="1">+N121/$N$259</f>
        <v>5.6040984285768911E-3</v>
      </c>
      <c r="AG121" s="204">
        <f ca="1">AVERAGE($AF$5:$AF$257)</f>
        <v>3.9682539682539663E-3</v>
      </c>
      <c r="AH121" s="1" t="str">
        <f ca="1">IF(AF121&lt;AG121,"no","si")</f>
        <v>si</v>
      </c>
      <c r="AI121" s="28" t="str">
        <f ca="1">IF(G121="USD",+R121/J121-1,"-")</f>
        <v>-</v>
      </c>
    </row>
    <row r="122" spans="1:35" x14ac:dyDescent="0.2">
      <c r="A122" s="14">
        <v>1</v>
      </c>
      <c r="B122" s="14" t="e" vm="85">
        <v>#VALUE!</v>
      </c>
      <c r="C122" s="14"/>
      <c r="D122" s="1" t="str" cm="1">
        <f t="array" aca="1" ref="D122" ca="1">_FV(B122,"Ticker symbol",TRUE)</f>
        <v>HFG</v>
      </c>
      <c r="E122" s="27" cm="1">
        <f t="array" aca="1" ref="E122" ca="1">_FV(B122,"Price")</f>
        <v>4.5010000000000003</v>
      </c>
      <c r="F122" s="27" cm="1">
        <f t="array" aca="1" ref="F122" ca="1">_FV(B122,"open")</f>
        <v>4.407</v>
      </c>
      <c r="G122" s="5" t="str" cm="1">
        <f t="array" aca="1" ref="G122" ca="1">_FV(B122,"Currency")</f>
        <v>EUR</v>
      </c>
      <c r="H122" s="5" t="s">
        <v>26</v>
      </c>
      <c r="I122" s="16">
        <v>45699</v>
      </c>
      <c r="J122" s="18"/>
      <c r="K122" s="14">
        <v>1000</v>
      </c>
      <c r="L122" s="19">
        <v>11.43</v>
      </c>
      <c r="M122" s="5">
        <f t="shared" si="35"/>
        <v>11445</v>
      </c>
      <c r="N122" s="5">
        <f t="shared" ca="1" si="36"/>
        <v>11445</v>
      </c>
      <c r="O122" s="14">
        <v>15</v>
      </c>
      <c r="P122" s="14"/>
      <c r="Q122" s="4">
        <f t="shared" ca="1" si="37"/>
        <v>46140</v>
      </c>
      <c r="S122" s="1">
        <f t="shared" si="48"/>
        <v>1000</v>
      </c>
      <c r="T122" s="5">
        <f t="shared" ca="1" si="39"/>
        <v>4.5010000000000003</v>
      </c>
      <c r="U122" s="5">
        <f t="shared" ca="1" si="40"/>
        <v>4486</v>
      </c>
      <c r="V122" s="5">
        <f t="shared" ca="1" si="41"/>
        <v>4486</v>
      </c>
      <c r="W122" s="14">
        <v>15</v>
      </c>
      <c r="X122" s="17"/>
      <c r="Y122" s="30">
        <f t="shared" si="42"/>
        <v>0</v>
      </c>
      <c r="Z122" s="30">
        <f t="shared" ca="1" si="43"/>
        <v>0</v>
      </c>
      <c r="AA122" s="14"/>
      <c r="AB122" s="170">
        <f t="shared" ca="1" si="33"/>
        <v>-6959</v>
      </c>
      <c r="AC122" s="168">
        <f t="shared" ca="1" si="34"/>
        <v>-5498.810068806547</v>
      </c>
      <c r="AD122" s="28">
        <f t="shared" ca="1" si="44"/>
        <v>-0.60803844473569246</v>
      </c>
      <c r="AE122" s="48">
        <f ca="1">+Z122/$Z$393</f>
        <v>0</v>
      </c>
      <c r="AF122" s="48">
        <f ca="1">+N122/$N$259</f>
        <v>5.3496477725737479E-3</v>
      </c>
      <c r="AG122" s="204">
        <f ca="1">AVERAGE($AF$5:$AF$257)</f>
        <v>3.9682539682539663E-3</v>
      </c>
      <c r="AH122" s="1" t="str">
        <f t="shared" ca="1" si="45"/>
        <v>si</v>
      </c>
      <c r="AI122" s="28" t="str">
        <f t="shared" ca="1" si="46"/>
        <v>-</v>
      </c>
    </row>
    <row r="123" spans="1:35" x14ac:dyDescent="0.2">
      <c r="A123" s="15">
        <v>1</v>
      </c>
      <c r="B123" s="1" t="e" vm="86">
        <v>#VALUE!</v>
      </c>
      <c r="D123" s="1" t="str" cm="1">
        <f t="array" aca="1" ref="D123" ca="1">_FV(B123,"Ticker symbol",TRUE)</f>
        <v>HRMY</v>
      </c>
      <c r="E123" s="25" cm="1">
        <f t="array" aca="1" ref="E123" ca="1">_FV(B123,"Price")</f>
        <v>31.05</v>
      </c>
      <c r="F123" s="25" cm="1">
        <f t="array" aca="1" ref="F123" ca="1">_FV(B123,"open")</f>
        <v>30.65</v>
      </c>
      <c r="G123" s="5" t="str" cm="1">
        <f t="array" aca="1" ref="G123" ca="1">_FV(B123,"Currency")</f>
        <v>USD</v>
      </c>
      <c r="H123" s="5" t="s">
        <v>128</v>
      </c>
      <c r="I123" s="4">
        <v>45978</v>
      </c>
      <c r="J123" s="172">
        <v>0.86099999999999999</v>
      </c>
      <c r="K123" s="1">
        <v>400</v>
      </c>
      <c r="L123" s="10">
        <v>34.35</v>
      </c>
      <c r="M123" s="5">
        <f>+K123*L123+O123</f>
        <v>13742</v>
      </c>
      <c r="N123" s="5">
        <f ca="1">IF(G123="USD",M123*J123,+K123*L123+O123)</f>
        <v>11831.861999999999</v>
      </c>
      <c r="O123" s="1">
        <v>2</v>
      </c>
      <c r="Q123" s="4">
        <f t="shared" ca="1" si="37"/>
        <v>46140</v>
      </c>
      <c r="R123" s="8">
        <f ca="1">+$M$551</f>
        <v>0.85299999999999998</v>
      </c>
      <c r="S123" s="1">
        <f>+K123</f>
        <v>400</v>
      </c>
      <c r="T123" s="5">
        <f ca="1">+E123</f>
        <v>31.05</v>
      </c>
      <c r="U123" s="5">
        <f ca="1">+S123*T123-W123</f>
        <v>12418</v>
      </c>
      <c r="V123" s="5">
        <f ca="1">IF(G123="USD",U123*R123,+S123*T123-W123)</f>
        <v>10592.554</v>
      </c>
      <c r="W123" s="1">
        <v>2</v>
      </c>
      <c r="Y123" s="30">
        <f>IF(A123=0,V123-N123,0)</f>
        <v>0</v>
      </c>
      <c r="Z123" s="30">
        <f ca="1">+Y123-(Y123*$AA$1)</f>
        <v>0</v>
      </c>
      <c r="AB123" s="170">
        <f ca="1">IF(A123=1,+V123-N123,0)</f>
        <v>-1239.3079999999991</v>
      </c>
      <c r="AC123" s="168">
        <f ca="1">+AB123-(AB123*$AA$1)</f>
        <v>-979.2670367513291</v>
      </c>
      <c r="AD123" s="28">
        <f ca="1">+U123/M123-1</f>
        <v>-9.634696550720423E-2</v>
      </c>
      <c r="AE123" s="48">
        <f ca="1">+Z123/$Z$393</f>
        <v>0</v>
      </c>
      <c r="AF123" s="48">
        <f ca="1">+N123/$N$259</f>
        <v>5.5304756831542129E-3</v>
      </c>
      <c r="AG123" s="204">
        <f ca="1">AVERAGE($AF$5:$AF$257)</f>
        <v>3.9682539682539663E-3</v>
      </c>
      <c r="AH123" s="1" t="str">
        <f ca="1">IF(AF123&lt;AG123,"no","si")</f>
        <v>si</v>
      </c>
      <c r="AI123" s="28">
        <f ca="1">IF(G123="USD",+R123/J123-1,"-")</f>
        <v>-9.2915214866434725E-3</v>
      </c>
    </row>
    <row r="124" spans="1:35" x14ac:dyDescent="0.2">
      <c r="A124" s="14">
        <v>1</v>
      </c>
      <c r="B124" s="14" t="e" vm="87">
        <v>#VALUE!</v>
      </c>
      <c r="C124" s="14"/>
      <c r="D124" s="1" t="str" cm="1">
        <f t="array" aca="1" ref="D124" ca="1">_FV(B124,"Ticker symbol",TRUE)</f>
        <v>BOSS</v>
      </c>
      <c r="E124" s="27" cm="1">
        <f t="array" aca="1" ref="E124" ca="1">_FV(B124,"Price")</f>
        <v>36.57</v>
      </c>
      <c r="F124" s="27" cm="1">
        <f t="array" aca="1" ref="F124" ca="1">_FV(B124,"open")</f>
        <v>36.57</v>
      </c>
      <c r="G124" s="5" t="str" cm="1">
        <f t="array" aca="1" ref="G124" ca="1">_FV(B124,"Currency")</f>
        <v>EUR</v>
      </c>
      <c r="H124" s="5" t="s">
        <v>26</v>
      </c>
      <c r="I124" s="16">
        <v>46129</v>
      </c>
      <c r="J124" s="18"/>
      <c r="K124" s="14">
        <v>300</v>
      </c>
      <c r="L124" s="19">
        <v>37.93</v>
      </c>
      <c r="M124" s="5">
        <f>+K124*L124+O124</f>
        <v>11394</v>
      </c>
      <c r="N124" s="5">
        <f ca="1">IF(G124="USD",M124*J124,+K124*L124+O124)</f>
        <v>11394</v>
      </c>
      <c r="O124" s="14">
        <v>15</v>
      </c>
      <c r="P124" s="14"/>
      <c r="Q124" s="4">
        <f t="shared" ca="1" si="37"/>
        <v>46140</v>
      </c>
      <c r="S124" s="1">
        <f>+K124</f>
        <v>300</v>
      </c>
      <c r="T124" s="5">
        <f ca="1">+E124</f>
        <v>36.57</v>
      </c>
      <c r="U124" s="5">
        <f ca="1">+S124*T124-W124</f>
        <v>10956</v>
      </c>
      <c r="V124" s="5">
        <f ca="1">IF(G124="USD",U124*R124,+S124*T124-W124)</f>
        <v>10956</v>
      </c>
      <c r="W124" s="14">
        <v>15</v>
      </c>
      <c r="X124" s="17"/>
      <c r="Y124" s="30">
        <f>IF(A124=0,V124-N124,0)</f>
        <v>0</v>
      </c>
      <c r="Z124" s="30">
        <f ca="1">+Y124-(Y124*$AA$1)</f>
        <v>0</v>
      </c>
      <c r="AA124" s="14"/>
      <c r="AB124" s="170">
        <f t="shared" ref="AB124" ca="1" si="62">IF(A124=1,+V124-N124,0)</f>
        <v>-438</v>
      </c>
      <c r="AC124" s="168">
        <f t="shared" ref="AC124" ca="1" si="63">+AB124-(AB124*$AA$1)</f>
        <v>-346.09553242380628</v>
      </c>
      <c r="AD124" s="28">
        <f ca="1">+U124/M124-1</f>
        <v>-3.8441284886782556E-2</v>
      </c>
      <c r="AE124" s="48">
        <f ca="1">+Z124/$Z$393</f>
        <v>0</v>
      </c>
      <c r="AF124" s="48">
        <f ca="1">+N124/$N$259</f>
        <v>5.3258092372831184E-3</v>
      </c>
      <c r="AG124" s="204">
        <f ca="1">AVERAGE($AF$5:$AF$257)</f>
        <v>3.9682539682539663E-3</v>
      </c>
      <c r="AH124" s="1" t="str">
        <f ca="1">IF(AF124&lt;AG124,"no","si")</f>
        <v>si</v>
      </c>
      <c r="AI124" s="28" t="str">
        <f ca="1">IF(G124="USD",+R124/J124-1,"-")</f>
        <v>-</v>
      </c>
    </row>
    <row r="125" spans="1:35" x14ac:dyDescent="0.2">
      <c r="A125" s="14">
        <v>1</v>
      </c>
      <c r="B125" s="14" t="e" vm="88">
        <v>#VALUE!</v>
      </c>
      <c r="C125" s="14"/>
      <c r="D125" s="1" t="str" cm="1">
        <f t="array" aca="1" ref="D125" ca="1">_FV(B125,"Ticker symbol",TRUE)</f>
        <v>IBE</v>
      </c>
      <c r="E125" s="27" cm="1">
        <f t="array" aca="1" ref="E125" ca="1">_FV(B125,"Price")</f>
        <v>19.989999999999998</v>
      </c>
      <c r="F125" s="27" cm="1">
        <f t="array" aca="1" ref="F125" ca="1">_FV(B125,"open")</f>
        <v>19.774999999999999</v>
      </c>
      <c r="G125" s="5" t="str" cm="1">
        <f t="array" aca="1" ref="G125" ca="1">_FV(B125,"Currency")</f>
        <v>EUR</v>
      </c>
      <c r="H125" s="5" t="s">
        <v>184</v>
      </c>
      <c r="I125" s="16">
        <v>43096</v>
      </c>
      <c r="J125" s="18"/>
      <c r="K125" s="14">
        <v>3051</v>
      </c>
      <c r="L125" s="19">
        <v>4.63</v>
      </c>
      <c r="M125" s="5">
        <f t="shared" si="35"/>
        <v>14146.13</v>
      </c>
      <c r="N125" s="5">
        <f t="shared" ca="1" si="36"/>
        <v>14146.13</v>
      </c>
      <c r="O125" s="14">
        <v>20</v>
      </c>
      <c r="P125" s="14"/>
      <c r="Q125" s="4">
        <f t="shared" ca="1" si="37"/>
        <v>46140</v>
      </c>
      <c r="S125" s="1">
        <f t="shared" si="48"/>
        <v>3051</v>
      </c>
      <c r="T125" s="5">
        <f t="shared" ca="1" si="39"/>
        <v>19.989999999999998</v>
      </c>
      <c r="U125" s="5">
        <f t="shared" ca="1" si="40"/>
        <v>60969.49</v>
      </c>
      <c r="V125" s="5">
        <f t="shared" ca="1" si="41"/>
        <v>60969.49</v>
      </c>
      <c r="W125" s="14">
        <v>20</v>
      </c>
      <c r="X125" s="17"/>
      <c r="Y125" s="30">
        <f>IF(A125=0,V125-N125,0)</f>
        <v>0</v>
      </c>
      <c r="Z125" s="30">
        <f ca="1">+Y125-(Y125*$AA$1)</f>
        <v>0</v>
      </c>
      <c r="AA125" s="14"/>
      <c r="AB125" s="170">
        <f t="shared" ca="1" si="33"/>
        <v>46823.360000000001</v>
      </c>
      <c r="AC125" s="168">
        <f t="shared" ca="1" si="34"/>
        <v>36998.529016145098</v>
      </c>
      <c r="AD125" s="28">
        <f t="shared" ca="1" si="44"/>
        <v>3.309976650857867</v>
      </c>
      <c r="AE125" s="48">
        <f ca="1">+Z125/$Z$393</f>
        <v>0</v>
      </c>
      <c r="AF125" s="48">
        <f ca="1">+N125/$N$259</f>
        <v>6.6122160633498182E-3</v>
      </c>
      <c r="AG125" s="204">
        <f ca="1">AVERAGE($AF$5:$AF$257)</f>
        <v>3.9682539682539663E-3</v>
      </c>
      <c r="AH125" s="1" t="str">
        <f t="shared" ca="1" si="45"/>
        <v>si</v>
      </c>
      <c r="AI125" s="28" t="str">
        <f t="shared" ca="1" si="46"/>
        <v>-</v>
      </c>
    </row>
    <row r="126" spans="1:35" x14ac:dyDescent="0.2">
      <c r="A126" s="14">
        <v>1</v>
      </c>
      <c r="B126" s="14" t="e" vm="89">
        <v>#VALUE!</v>
      </c>
      <c r="C126" s="14"/>
      <c r="D126" s="1" t="str" cm="1">
        <f t="array" aca="1" ref="D126" ca="1">_FV(B126,"Ticker symbol",TRUE)</f>
        <v>ITX</v>
      </c>
      <c r="E126" s="27" cm="1">
        <f t="array" aca="1" ref="E126" ca="1">_FV(B126,"Price")</f>
        <v>52.12</v>
      </c>
      <c r="F126" s="27" cm="1">
        <f t="array" aca="1" ref="F126" ca="1">_FV(B126,"open")</f>
        <v>52.82</v>
      </c>
      <c r="G126" s="5" t="str" cm="1">
        <f t="array" aca="1" ref="G126" ca="1">_FV(B126,"Currency")</f>
        <v>EUR</v>
      </c>
      <c r="H126" s="5" t="s">
        <v>26</v>
      </c>
      <c r="I126" s="16">
        <v>43108</v>
      </c>
      <c r="J126" s="18"/>
      <c r="K126" s="14">
        <f>505+138</f>
        <v>643</v>
      </c>
      <c r="L126" s="19">
        <v>29.55</v>
      </c>
      <c r="M126" s="5">
        <f t="shared" si="35"/>
        <v>19030.210000000003</v>
      </c>
      <c r="N126" s="5">
        <f t="shared" ca="1" si="36"/>
        <v>19030.210000000003</v>
      </c>
      <c r="O126" s="14">
        <f>14.56+15</f>
        <v>29.560000000000002</v>
      </c>
      <c r="P126" s="14"/>
      <c r="Q126" s="4">
        <f t="shared" ca="1" si="37"/>
        <v>46140</v>
      </c>
      <c r="S126" s="1">
        <f t="shared" si="48"/>
        <v>643</v>
      </c>
      <c r="T126" s="5">
        <f t="shared" ca="1" si="39"/>
        <v>52.12</v>
      </c>
      <c r="U126" s="5">
        <f t="shared" ca="1" si="40"/>
        <v>33493.159999999996</v>
      </c>
      <c r="V126" s="5">
        <f t="shared" ca="1" si="41"/>
        <v>33493.159999999996</v>
      </c>
      <c r="W126" s="14">
        <v>20</v>
      </c>
      <c r="X126" s="17"/>
      <c r="Y126" s="30">
        <f t="shared" ref="Y126:Y158" si="64">IF(A126=0,V126-N126,0)</f>
        <v>0</v>
      </c>
      <c r="Z126" s="30">
        <f t="shared" ref="Z126:Z158" ca="1" si="65">+Y126-(Y126*$AA$1)</f>
        <v>0</v>
      </c>
      <c r="AA126" s="14"/>
      <c r="AB126" s="170">
        <f t="shared" ca="1" si="33"/>
        <v>14462.949999999993</v>
      </c>
      <c r="AC126" s="168">
        <f t="shared" ca="1" si="34"/>
        <v>11428.224613399285</v>
      </c>
      <c r="AD126" s="28">
        <f t="shared" ca="1" si="44"/>
        <v>0.75999949553893464</v>
      </c>
      <c r="AE126" s="48">
        <f ca="1">+Z126/$Z$393</f>
        <v>0</v>
      </c>
      <c r="AF126" s="48">
        <f ca="1">+N126/$N$259</f>
        <v>8.8951437779039473E-3</v>
      </c>
      <c r="AG126" s="204">
        <f ca="1">AVERAGE($AF$5:$AF$257)</f>
        <v>3.9682539682539663E-3</v>
      </c>
      <c r="AH126" s="1" t="str">
        <f t="shared" ca="1" si="45"/>
        <v>si</v>
      </c>
      <c r="AI126" s="28" t="str">
        <f t="shared" ca="1" si="46"/>
        <v>-</v>
      </c>
    </row>
    <row r="127" spans="1:35" x14ac:dyDescent="0.2">
      <c r="A127" s="15">
        <v>1</v>
      </c>
      <c r="B127" s="1" t="e" vm="90">
        <v>#VALUE!</v>
      </c>
      <c r="D127" s="1" t="str" cm="1">
        <f t="array" aca="1" ref="D127" ca="1">_FV(B127,"Ticker symbol",TRUE)</f>
        <v>INW</v>
      </c>
      <c r="E127" s="27" cm="1">
        <f t="array" aca="1" ref="E127" ca="1">_FV(B127,"Price")</f>
        <v>7.29</v>
      </c>
      <c r="F127" s="27" cm="1">
        <f t="array" aca="1" ref="F127" ca="1">_FV(B127,"open")</f>
        <v>7.3</v>
      </c>
      <c r="G127" s="5" t="str" cm="1">
        <f t="array" aca="1" ref="G127" ca="1">_FV(B127,"Currency")</f>
        <v>EUR</v>
      </c>
      <c r="H127" s="5" t="s">
        <v>26</v>
      </c>
      <c r="I127" s="4">
        <v>45485</v>
      </c>
      <c r="J127" s="18"/>
      <c r="K127" s="14">
        <v>1000</v>
      </c>
      <c r="L127" s="19">
        <f>10.29-'dividendos 26'!I290</f>
        <v>9.9099999999999984</v>
      </c>
      <c r="M127" s="5">
        <f t="shared" si="35"/>
        <v>9924.9999999999982</v>
      </c>
      <c r="N127" s="5">
        <f t="shared" ca="1" si="36"/>
        <v>9924.9999999999982</v>
      </c>
      <c r="O127" s="14">
        <v>15</v>
      </c>
      <c r="P127" s="14"/>
      <c r="Q127" s="4">
        <f t="shared" ref="Q127:Q159" ca="1" si="66">TODAY()</f>
        <v>46140</v>
      </c>
      <c r="S127" s="1">
        <f t="shared" si="48"/>
        <v>1000</v>
      </c>
      <c r="T127" s="5">
        <f t="shared" ca="1" si="39"/>
        <v>7.29</v>
      </c>
      <c r="U127" s="5">
        <f t="shared" ca="1" si="40"/>
        <v>7275</v>
      </c>
      <c r="V127" s="5">
        <f t="shared" ca="1" si="41"/>
        <v>7275</v>
      </c>
      <c r="W127" s="1">
        <v>15</v>
      </c>
      <c r="Y127" s="30">
        <f t="shared" si="64"/>
        <v>0</v>
      </c>
      <c r="Z127" s="30">
        <f t="shared" ca="1" si="65"/>
        <v>0</v>
      </c>
      <c r="AB127" s="170">
        <f t="shared" ca="1" si="33"/>
        <v>-2649.9999999999982</v>
      </c>
      <c r="AC127" s="168">
        <f t="shared" ca="1" si="34"/>
        <v>-2093.9569884088719</v>
      </c>
      <c r="AD127" s="28">
        <f t="shared" ca="1" si="44"/>
        <v>-0.26700251889168747</v>
      </c>
      <c r="AE127" s="48">
        <f ca="1">+Z127/$Z$393</f>
        <v>0</v>
      </c>
      <c r="AF127" s="48">
        <f ca="1">+N127/$N$259</f>
        <v>4.6391659364608514E-3</v>
      </c>
      <c r="AG127" s="204">
        <f ca="1">AVERAGE($AF$5:$AF$257)</f>
        <v>3.9682539682539663E-3</v>
      </c>
      <c r="AH127" s="1" t="str">
        <f t="shared" ca="1" si="45"/>
        <v>si</v>
      </c>
      <c r="AI127" s="28" t="str">
        <f t="shared" ref="AI127:AI159" ca="1" si="67">IF(G127="USD",+R127/J127-1,"-")</f>
        <v>-</v>
      </c>
    </row>
    <row r="128" spans="1:35" x14ac:dyDescent="0.2">
      <c r="A128" s="14">
        <v>1</v>
      </c>
      <c r="B128" s="14" t="e" vm="91">
        <v>#VALUE!</v>
      </c>
      <c r="C128" s="14"/>
      <c r="D128" s="1" t="str" cm="1">
        <f t="array" aca="1" ref="D128" ca="1">_FV(B128,"Ticker symbol",TRUE)</f>
        <v>COL</v>
      </c>
      <c r="E128" s="27" cm="1">
        <f t="array" aca="1" ref="E128" ca="1">_FV(B128,"Price")</f>
        <v>5.44</v>
      </c>
      <c r="F128" s="27" cm="1">
        <f t="array" aca="1" ref="F128" ca="1">_FV(B128,"open")</f>
        <v>5.46</v>
      </c>
      <c r="G128" s="5" t="str" cm="1">
        <f t="array" aca="1" ref="G128" ca="1">_FV(B128,"Currency")</f>
        <v>EUR</v>
      </c>
      <c r="H128" s="5" t="s">
        <v>26</v>
      </c>
      <c r="I128" s="16">
        <v>45617</v>
      </c>
      <c r="J128" s="18"/>
      <c r="K128" s="14">
        <v>1792</v>
      </c>
      <c r="L128" s="19">
        <v>5.58</v>
      </c>
      <c r="M128" s="5">
        <f t="shared" si="35"/>
        <v>10014.210000000001</v>
      </c>
      <c r="N128" s="5">
        <f t="shared" ca="1" si="36"/>
        <v>10014.210000000001</v>
      </c>
      <c r="O128" s="14">
        <v>14.85</v>
      </c>
      <c r="P128" s="14"/>
      <c r="Q128" s="4">
        <f t="shared" ca="1" si="66"/>
        <v>46140</v>
      </c>
      <c r="S128" s="1">
        <f t="shared" si="48"/>
        <v>1792</v>
      </c>
      <c r="T128" s="5">
        <f t="shared" ca="1" si="39"/>
        <v>5.44</v>
      </c>
      <c r="U128" s="5">
        <f t="shared" ca="1" si="40"/>
        <v>9733.4800000000014</v>
      </c>
      <c r="V128" s="5">
        <f t="shared" ca="1" si="41"/>
        <v>9733.4800000000014</v>
      </c>
      <c r="W128" s="14">
        <v>15</v>
      </c>
      <c r="X128" s="17"/>
      <c r="Y128" s="30">
        <f t="shared" si="64"/>
        <v>0</v>
      </c>
      <c r="Z128" s="30">
        <f t="shared" ca="1" si="65"/>
        <v>0</v>
      </c>
      <c r="AA128" s="14"/>
      <c r="AB128" s="170">
        <f t="shared" ca="1" si="33"/>
        <v>-280.72999999999956</v>
      </c>
      <c r="AC128" s="168">
        <f t="shared" ca="1" si="34"/>
        <v>-221.82511145510267</v>
      </c>
      <c r="AD128" s="28">
        <f t="shared" ca="1" si="44"/>
        <v>-2.8033164872715788E-2</v>
      </c>
      <c r="AE128" s="48">
        <f ca="1">+Z128/$Z$393</f>
        <v>0</v>
      </c>
      <c r="AF128" s="48">
        <f ca="1">+N128/$N$259</f>
        <v>4.6808646763290308E-3</v>
      </c>
      <c r="AG128" s="204">
        <f ca="1">AVERAGE($AF$5:$AF$257)</f>
        <v>3.9682539682539663E-3</v>
      </c>
      <c r="AH128" s="1" t="str">
        <f t="shared" ca="1" si="45"/>
        <v>si</v>
      </c>
      <c r="AI128" s="28" t="str">
        <f t="shared" ca="1" si="67"/>
        <v>-</v>
      </c>
    </row>
    <row r="129" spans="1:35" x14ac:dyDescent="0.2">
      <c r="A129" s="14">
        <v>1</v>
      </c>
      <c r="B129" s="14" t="e" vm="92">
        <v>#VALUE!</v>
      </c>
      <c r="C129" s="14"/>
      <c r="D129" s="1" t="str" cm="1">
        <f t="array" aca="1" ref="D129" ca="1">_FV(B129,"Ticker symbol",TRUE)</f>
        <v>INPST</v>
      </c>
      <c r="E129" s="27" cm="1">
        <f t="array" aca="1" ref="E129" ca="1">_FV(B129,"Price")</f>
        <v>15.23</v>
      </c>
      <c r="F129" s="27" cm="1">
        <f t="array" aca="1" ref="F129" ca="1">_FV(B129,"open")</f>
        <v>15.25</v>
      </c>
      <c r="G129" s="5" t="str" cm="1">
        <f t="array" aca="1" ref="G129" ca="1">_FV(B129,"Currency")</f>
        <v>EUR</v>
      </c>
      <c r="H129" s="5" t="s">
        <v>26</v>
      </c>
      <c r="I129" s="16">
        <v>45695</v>
      </c>
      <c r="J129" s="18"/>
      <c r="K129" s="14">
        <v>749</v>
      </c>
      <c r="L129" s="19">
        <v>16</v>
      </c>
      <c r="M129" s="5">
        <f t="shared" si="35"/>
        <v>11999</v>
      </c>
      <c r="N129" s="5">
        <f t="shared" ca="1" si="36"/>
        <v>11999</v>
      </c>
      <c r="O129" s="14">
        <v>15</v>
      </c>
      <c r="P129" s="14"/>
      <c r="Q129" s="4">
        <f t="shared" ca="1" si="66"/>
        <v>46140</v>
      </c>
      <c r="S129" s="1">
        <f t="shared" si="48"/>
        <v>749</v>
      </c>
      <c r="T129" s="5">
        <f t="shared" ca="1" si="39"/>
        <v>15.23</v>
      </c>
      <c r="U129" s="5">
        <f t="shared" ca="1" si="40"/>
        <v>11392.27</v>
      </c>
      <c r="V129" s="5">
        <f t="shared" ca="1" si="41"/>
        <v>11392.27</v>
      </c>
      <c r="W129" s="14">
        <v>15</v>
      </c>
      <c r="X129" s="17"/>
      <c r="Y129" s="30">
        <f t="shared" si="64"/>
        <v>0</v>
      </c>
      <c r="Z129" s="30">
        <f t="shared" ca="1" si="65"/>
        <v>0</v>
      </c>
      <c r="AA129" s="14"/>
      <c r="AB129" s="170">
        <f t="shared" ca="1" si="33"/>
        <v>-606.72999999999956</v>
      </c>
      <c r="AC129" s="168">
        <f t="shared" ca="1" si="34"/>
        <v>-479.4213296518169</v>
      </c>
      <c r="AD129" s="28">
        <f t="shared" ca="1" si="44"/>
        <v>-5.0565047087257287E-2</v>
      </c>
      <c r="AE129" s="48">
        <f ca="1">+Z129/$Z$393</f>
        <v>0</v>
      </c>
      <c r="AF129" s="48">
        <f ca="1">+N129/$N$259</f>
        <v>5.608599704946475E-3</v>
      </c>
      <c r="AG129" s="204">
        <f ca="1">AVERAGE($AF$5:$AF$257)</f>
        <v>3.9682539682539663E-3</v>
      </c>
      <c r="AH129" s="1" t="str">
        <f t="shared" ca="1" si="45"/>
        <v>si</v>
      </c>
      <c r="AI129" s="28" t="str">
        <f t="shared" ca="1" si="67"/>
        <v>-</v>
      </c>
    </row>
    <row r="130" spans="1:35" x14ac:dyDescent="0.2">
      <c r="A130" s="14">
        <v>1</v>
      </c>
      <c r="B130" s="14" t="e" vm="93">
        <v>#VALUE!</v>
      </c>
      <c r="C130" s="14"/>
      <c r="D130" s="1" t="str" cm="1">
        <f t="array" aca="1" ref="D130" ca="1">_FV(B130,"Ticker symbol",TRUE)</f>
        <v>IAG</v>
      </c>
      <c r="E130" s="27" cm="1">
        <f t="array" aca="1" ref="E130" ca="1">_FV(B130,"Price")</f>
        <v>4.32</v>
      </c>
      <c r="F130" s="27" cm="1">
        <f t="array" aca="1" ref="F130" ca="1">_FV(B130,"open")</f>
        <v>4.3710000000000004</v>
      </c>
      <c r="G130" s="5" t="str" cm="1">
        <f t="array" aca="1" ref="G130" ca="1">_FV(B130,"Currency")</f>
        <v>EUR</v>
      </c>
      <c r="H130" s="5" t="s">
        <v>196</v>
      </c>
      <c r="I130" s="16">
        <v>43265</v>
      </c>
      <c r="J130" s="18"/>
      <c r="K130" s="14">
        <v>1000</v>
      </c>
      <c r="L130" s="19">
        <v>8.19</v>
      </c>
      <c r="M130" s="5">
        <f t="shared" si="35"/>
        <v>8210</v>
      </c>
      <c r="N130" s="5">
        <f t="shared" ca="1" si="36"/>
        <v>8210</v>
      </c>
      <c r="O130" s="14">
        <v>20</v>
      </c>
      <c r="P130" s="14"/>
      <c r="Q130" s="4">
        <f t="shared" ca="1" si="66"/>
        <v>46140</v>
      </c>
      <c r="S130" s="1">
        <f t="shared" si="48"/>
        <v>1000</v>
      </c>
      <c r="T130" s="5">
        <f t="shared" ca="1" si="39"/>
        <v>4.32</v>
      </c>
      <c r="U130" s="5">
        <f t="shared" ca="1" si="40"/>
        <v>4300</v>
      </c>
      <c r="V130" s="5">
        <f t="shared" ca="1" si="41"/>
        <v>4300</v>
      </c>
      <c r="W130" s="14">
        <v>20</v>
      </c>
      <c r="X130" s="17"/>
      <c r="Y130" s="30">
        <f t="shared" si="64"/>
        <v>0</v>
      </c>
      <c r="Z130" s="30">
        <f t="shared" ca="1" si="65"/>
        <v>0</v>
      </c>
      <c r="AA130" s="14"/>
      <c r="AB130" s="170">
        <f t="shared" ca="1" si="33"/>
        <v>-3910</v>
      </c>
      <c r="AC130" s="168">
        <f t="shared" ca="1" si="34"/>
        <v>-3089.5742734636588</v>
      </c>
      <c r="AD130" s="28">
        <f t="shared" ca="1" si="44"/>
        <v>-0.47624847746650423</v>
      </c>
      <c r="AE130" s="48">
        <f ca="1">+Z130/$Z$393</f>
        <v>0</v>
      </c>
      <c r="AF130" s="48">
        <f ca="1">+N130/$N$259</f>
        <v>3.8375367595308409E-3</v>
      </c>
      <c r="AG130" s="204">
        <f ca="1">AVERAGE($AF$5:$AF$257)</f>
        <v>3.9682539682539663E-3</v>
      </c>
      <c r="AH130" s="1" t="str">
        <f t="shared" ca="1" si="45"/>
        <v>no</v>
      </c>
      <c r="AI130" s="28" t="str">
        <f t="shared" ca="1" si="67"/>
        <v>-</v>
      </c>
    </row>
    <row r="131" spans="1:35" x14ac:dyDescent="0.2">
      <c r="A131" s="14">
        <v>1</v>
      </c>
      <c r="B131" s="14" t="e" vm="93">
        <v>#VALUE!</v>
      </c>
      <c r="C131" s="14"/>
      <c r="D131" s="1" t="str" cm="1">
        <f t="array" aca="1" ref="D131" ca="1">_FV(B131,"Ticker symbol",TRUE)</f>
        <v>IAG</v>
      </c>
      <c r="E131" s="27" cm="1">
        <f t="array" aca="1" ref="E131" ca="1">_FV(B131,"Price")</f>
        <v>4.32</v>
      </c>
      <c r="F131" s="27" cm="1">
        <f t="array" aca="1" ref="F131" ca="1">_FV(B131,"open")</f>
        <v>4.3710000000000004</v>
      </c>
      <c r="G131" s="5" t="str" cm="1">
        <f t="array" aca="1" ref="G131" ca="1">_FV(B131,"Currency")</f>
        <v>EUR</v>
      </c>
      <c r="H131" s="5" t="s">
        <v>115</v>
      </c>
      <c r="I131" s="16">
        <v>42297</v>
      </c>
      <c r="J131" s="18"/>
      <c r="K131" s="14">
        <v>605</v>
      </c>
      <c r="L131" s="19">
        <v>8.24</v>
      </c>
      <c r="M131" s="5">
        <f t="shared" si="35"/>
        <v>4998.58</v>
      </c>
      <c r="N131" s="5">
        <f t="shared" ca="1" si="36"/>
        <v>4998.58</v>
      </c>
      <c r="O131" s="14">
        <v>13.38</v>
      </c>
      <c r="P131" s="14"/>
      <c r="Q131" s="4">
        <f t="shared" ca="1" si="66"/>
        <v>46140</v>
      </c>
      <c r="S131" s="1">
        <f t="shared" si="48"/>
        <v>605</v>
      </c>
      <c r="T131" s="5">
        <f t="shared" ca="1" si="39"/>
        <v>4.32</v>
      </c>
      <c r="U131" s="5">
        <f t="shared" ca="1" si="40"/>
        <v>2598.6000000000004</v>
      </c>
      <c r="V131" s="5">
        <f t="shared" ca="1" si="41"/>
        <v>2598.6000000000004</v>
      </c>
      <c r="W131" s="14">
        <v>15</v>
      </c>
      <c r="X131" s="17"/>
      <c r="Y131" s="30">
        <f t="shared" si="64"/>
        <v>0</v>
      </c>
      <c r="Z131" s="30">
        <f t="shared" ca="1" si="65"/>
        <v>0</v>
      </c>
      <c r="AA131" s="14"/>
      <c r="AB131" s="170">
        <f t="shared" ca="1" si="33"/>
        <v>-2399.9799999999996</v>
      </c>
      <c r="AC131" s="168">
        <f t="shared" ca="1" si="34"/>
        <v>-1896.3980728458594</v>
      </c>
      <c r="AD131" s="28">
        <f t="shared" ca="1" si="44"/>
        <v>-0.4801323575895553</v>
      </c>
      <c r="AE131" s="48">
        <f ca="1">+Z131/$Z$393</f>
        <v>0</v>
      </c>
      <c r="AF131" s="48">
        <f ca="1">+N131/$N$259</f>
        <v>2.336447563392895E-3</v>
      </c>
      <c r="AG131" s="204">
        <f ca="1">AVERAGE($AF$5:$AF$257)</f>
        <v>3.9682539682539663E-3</v>
      </c>
      <c r="AH131" s="1" t="str">
        <f t="shared" ca="1" si="45"/>
        <v>no</v>
      </c>
      <c r="AI131" s="28" t="str">
        <f t="shared" ca="1" si="67"/>
        <v>-</v>
      </c>
    </row>
    <row r="132" spans="1:35" x14ac:dyDescent="0.2">
      <c r="A132" s="14">
        <v>1</v>
      </c>
      <c r="B132" s="14" t="e" vm="93">
        <v>#VALUE!</v>
      </c>
      <c r="C132" s="14"/>
      <c r="D132" s="1" t="str" cm="1">
        <f t="array" aca="1" ref="D132" ca="1">_FV(B132,"Ticker symbol",TRUE)</f>
        <v>IAG</v>
      </c>
      <c r="E132" s="27" cm="1">
        <f t="array" aca="1" ref="E132" ca="1">_FV(B132,"Price")</f>
        <v>4.32</v>
      </c>
      <c r="F132" s="27" cm="1">
        <f t="array" aca="1" ref="F132" ca="1">_FV(B132,"open")</f>
        <v>4.3710000000000004</v>
      </c>
      <c r="G132" s="5" t="str" cm="1">
        <f t="array" aca="1" ref="G132" ca="1">_FV(B132,"Currency")</f>
        <v>EUR</v>
      </c>
      <c r="H132" s="5" t="s">
        <v>115</v>
      </c>
      <c r="I132" s="16">
        <v>42450</v>
      </c>
      <c r="J132" s="18"/>
      <c r="K132" s="14">
        <v>690</v>
      </c>
      <c r="L132" s="19">
        <v>7.22</v>
      </c>
      <c r="M132" s="5">
        <f t="shared" si="35"/>
        <v>4995.18</v>
      </c>
      <c r="N132" s="5">
        <f t="shared" ca="1" si="36"/>
        <v>4995.18</v>
      </c>
      <c r="O132" s="14">
        <v>13.38</v>
      </c>
      <c r="P132" s="14"/>
      <c r="Q132" s="4">
        <f t="shared" ca="1" si="66"/>
        <v>46140</v>
      </c>
      <c r="S132" s="1">
        <f t="shared" si="48"/>
        <v>690</v>
      </c>
      <c r="T132" s="5">
        <f t="shared" ca="1" si="39"/>
        <v>4.32</v>
      </c>
      <c r="U132" s="5">
        <f t="shared" ca="1" si="40"/>
        <v>2965.8</v>
      </c>
      <c r="V132" s="5">
        <f t="shared" ca="1" si="41"/>
        <v>2965.8</v>
      </c>
      <c r="W132" s="14">
        <v>15</v>
      </c>
      <c r="X132" s="17"/>
      <c r="Y132" s="30">
        <f t="shared" si="64"/>
        <v>0</v>
      </c>
      <c r="Z132" s="30">
        <f t="shared" ca="1" si="65"/>
        <v>0</v>
      </c>
      <c r="AA132" s="14"/>
      <c r="AB132" s="170">
        <f t="shared" ca="1" si="33"/>
        <v>-2029.38</v>
      </c>
      <c r="AC132" s="168">
        <f t="shared" ca="1" si="34"/>
        <v>-1603.5601634479999</v>
      </c>
      <c r="AD132" s="28">
        <f t="shared" ca="1" si="44"/>
        <v>-0.40626764200689469</v>
      </c>
      <c r="AE132" s="48">
        <f ca="1">+Z132/$Z$393</f>
        <v>0</v>
      </c>
      <c r="AF132" s="48">
        <f ca="1">+N132/$N$259</f>
        <v>2.3348583277068534E-3</v>
      </c>
      <c r="AG132" s="204">
        <f ca="1">AVERAGE($AF$5:$AF$257)</f>
        <v>3.9682539682539663E-3</v>
      </c>
      <c r="AH132" s="1" t="str">
        <f t="shared" ca="1" si="45"/>
        <v>no</v>
      </c>
      <c r="AI132" s="28" t="str">
        <f t="shared" ca="1" si="67"/>
        <v>-</v>
      </c>
    </row>
    <row r="133" spans="1:35" x14ac:dyDescent="0.2">
      <c r="A133" s="14">
        <v>1</v>
      </c>
      <c r="B133" s="14" t="e" vm="93">
        <v>#VALUE!</v>
      </c>
      <c r="C133" s="14"/>
      <c r="D133" s="1" t="str" cm="1">
        <f t="array" aca="1" ref="D133" ca="1">_FV(B133,"Ticker symbol",TRUE)</f>
        <v>IAG</v>
      </c>
      <c r="E133" s="27" cm="1">
        <f t="array" aca="1" ref="E133" ca="1">_FV(B133,"Price")</f>
        <v>4.32</v>
      </c>
      <c r="F133" s="27" cm="1">
        <f t="array" aca="1" ref="F133" ca="1">_FV(B133,"open")</f>
        <v>4.3710000000000004</v>
      </c>
      <c r="G133" s="5" t="str" cm="1">
        <f t="array" aca="1" ref="G133" ca="1">_FV(B133,"Currency")</f>
        <v>EUR</v>
      </c>
      <c r="H133" s="5" t="s">
        <v>115</v>
      </c>
      <c r="I133" s="16">
        <v>44111</v>
      </c>
      <c r="J133" s="18"/>
      <c r="K133" s="14">
        <v>1941</v>
      </c>
      <c r="L133" s="19">
        <v>1.0900000000000001</v>
      </c>
      <c r="M133" s="5">
        <f t="shared" si="35"/>
        <v>2128.69</v>
      </c>
      <c r="N133" s="5">
        <f t="shared" ca="1" si="36"/>
        <v>2128.69</v>
      </c>
      <c r="O133" s="14">
        <v>13</v>
      </c>
      <c r="P133" s="14"/>
      <c r="Q133" s="4">
        <f t="shared" ca="1" si="66"/>
        <v>46140</v>
      </c>
      <c r="S133" s="1">
        <f t="shared" si="48"/>
        <v>1941</v>
      </c>
      <c r="T133" s="5">
        <f t="shared" ca="1" si="39"/>
        <v>4.32</v>
      </c>
      <c r="U133" s="5">
        <f t="shared" ca="1" si="40"/>
        <v>8370.1200000000008</v>
      </c>
      <c r="V133" s="5">
        <f t="shared" ca="1" si="41"/>
        <v>8370.1200000000008</v>
      </c>
      <c r="W133" s="14">
        <v>15</v>
      </c>
      <c r="X133" s="17"/>
      <c r="Y133" s="30">
        <f t="shared" si="64"/>
        <v>0</v>
      </c>
      <c r="Z133" s="30">
        <f t="shared" ca="1" si="65"/>
        <v>0</v>
      </c>
      <c r="AA133" s="14"/>
      <c r="AB133" s="170">
        <f t="shared" ca="1" si="33"/>
        <v>6241.43</v>
      </c>
      <c r="AC133" s="168">
        <f t="shared" ca="1" si="34"/>
        <v>4931.8060249678474</v>
      </c>
      <c r="AD133" s="28">
        <f t="shared" ca="1" si="44"/>
        <v>2.9320521071645005</v>
      </c>
      <c r="AE133" s="48">
        <f t="shared" ref="AE133:AE197" ca="1" si="68">+Z133/$Z$393</f>
        <v>0</v>
      </c>
      <c r="AF133" s="48">
        <f t="shared" ref="AF133:AF197" ca="1" si="69">+N133/$N$259</f>
        <v>9.9499709191786922E-4</v>
      </c>
      <c r="AG133" s="204">
        <f ca="1">AVERAGE($AF$5:$AF$257)</f>
        <v>3.9682539682539663E-3</v>
      </c>
      <c r="AH133" s="1" t="str">
        <f t="shared" ca="1" si="45"/>
        <v>no</v>
      </c>
      <c r="AI133" s="28" t="str">
        <f t="shared" ca="1" si="67"/>
        <v>-</v>
      </c>
    </row>
    <row r="134" spans="1:35" x14ac:dyDescent="0.2">
      <c r="A134" s="14">
        <v>1</v>
      </c>
      <c r="B134" s="14" t="e" vm="93">
        <v>#VALUE!</v>
      </c>
      <c r="C134" s="14"/>
      <c r="D134" s="1" t="str" cm="1">
        <f t="array" aca="1" ref="D134" ca="1">_FV(B134,"Ticker symbol",TRUE)</f>
        <v>IAG</v>
      </c>
      <c r="E134" s="27" cm="1">
        <f t="array" aca="1" ref="E134" ca="1">_FV(B134,"Price")</f>
        <v>4.32</v>
      </c>
      <c r="F134" s="27" cm="1">
        <f t="array" aca="1" ref="F134" ca="1">_FV(B134,"open")</f>
        <v>4.3710000000000004</v>
      </c>
      <c r="G134" s="5" t="str" cm="1">
        <f t="array" aca="1" ref="G134" ca="1">_FV(B134,"Currency")</f>
        <v>EUR</v>
      </c>
      <c r="H134" s="5" t="s">
        <v>115</v>
      </c>
      <c r="I134" s="16">
        <v>43558</v>
      </c>
      <c r="J134" s="18"/>
      <c r="K134" s="14">
        <v>1612</v>
      </c>
      <c r="L134" s="19">
        <v>5.9480000000000004</v>
      </c>
      <c r="M134" s="5">
        <f t="shared" si="35"/>
        <v>9601.1760000000013</v>
      </c>
      <c r="N134" s="5">
        <f t="shared" ca="1" si="36"/>
        <v>9601.1760000000013</v>
      </c>
      <c r="O134" s="14">
        <v>13</v>
      </c>
      <c r="P134" s="14"/>
      <c r="Q134" s="4">
        <f t="shared" ca="1" si="66"/>
        <v>46140</v>
      </c>
      <c r="S134" s="1">
        <f t="shared" si="48"/>
        <v>1612</v>
      </c>
      <c r="T134" s="5">
        <f t="shared" ca="1" si="39"/>
        <v>4.32</v>
      </c>
      <c r="U134" s="5">
        <f t="shared" ca="1" si="40"/>
        <v>6947.84</v>
      </c>
      <c r="V134" s="5">
        <f t="shared" ca="1" si="41"/>
        <v>6947.84</v>
      </c>
      <c r="W134" s="14">
        <v>16</v>
      </c>
      <c r="X134" s="17"/>
      <c r="Y134" s="30">
        <f t="shared" si="64"/>
        <v>0</v>
      </c>
      <c r="Z134" s="30">
        <f t="shared" ca="1" si="65"/>
        <v>0</v>
      </c>
      <c r="AA134" s="14"/>
      <c r="AB134" s="170">
        <f t="shared" ca="1" si="33"/>
        <v>-2653.3360000000011</v>
      </c>
      <c r="AC134" s="168">
        <f t="shared" ca="1" si="34"/>
        <v>-2096.5930036969239</v>
      </c>
      <c r="AD134" s="28">
        <f t="shared" ca="1" si="44"/>
        <v>-0.27635531314080697</v>
      </c>
      <c r="AE134" s="48">
        <f t="shared" ca="1" si="68"/>
        <v>0</v>
      </c>
      <c r="AF134" s="48">
        <f t="shared" ca="1" si="69"/>
        <v>4.4878033903441271E-3</v>
      </c>
      <c r="AG134" s="204">
        <f ca="1">AVERAGE($AF$5:$AF$257)</f>
        <v>3.9682539682539663E-3</v>
      </c>
      <c r="AH134" s="1" t="str">
        <f t="shared" ca="1" si="45"/>
        <v>si</v>
      </c>
      <c r="AI134" s="28" t="str">
        <f t="shared" ca="1" si="67"/>
        <v>-</v>
      </c>
    </row>
    <row r="135" spans="1:35" x14ac:dyDescent="0.2">
      <c r="A135" s="1">
        <v>1</v>
      </c>
      <c r="B135" s="1" t="e" vm="94">
        <v>#VALUE!</v>
      </c>
      <c r="D135" s="1" t="str" cm="1">
        <f t="array" aca="1" ref="D135" ca="1">_FV(B135,"Ticker symbol",TRUE)</f>
        <v>INTU</v>
      </c>
      <c r="E135" s="25" cm="1">
        <f t="array" aca="1" ref="E135" ca="1">_FV(B135,"Price")</f>
        <v>389.92</v>
      </c>
      <c r="F135" s="25" cm="1">
        <f t="array" aca="1" ref="F135" ca="1">_FV(B135,"open")</f>
        <v>390.05</v>
      </c>
      <c r="G135" s="5" t="str" cm="1">
        <f t="array" aca="1" ref="G135" ca="1">_FV(B135,"Currency")</f>
        <v>USD</v>
      </c>
      <c r="H135" s="5" t="s">
        <v>183</v>
      </c>
      <c r="I135" s="4">
        <v>45607</v>
      </c>
      <c r="J135" s="172">
        <v>0.93899999999999995</v>
      </c>
      <c r="K135" s="1">
        <v>13</v>
      </c>
      <c r="L135" s="10">
        <v>683.79</v>
      </c>
      <c r="M135" s="5">
        <f t="shared" si="35"/>
        <v>8904.27</v>
      </c>
      <c r="N135" s="5">
        <f t="shared" ca="1" si="36"/>
        <v>8361.1095299999997</v>
      </c>
      <c r="O135" s="1">
        <v>15</v>
      </c>
      <c r="Q135" s="4">
        <f t="shared" ca="1" si="66"/>
        <v>46140</v>
      </c>
      <c r="R135" s="8">
        <f t="shared" ref="R135:R141" ca="1" si="70">+$M$551</f>
        <v>0.85299999999999998</v>
      </c>
      <c r="S135" s="1">
        <f t="shared" si="48"/>
        <v>13</v>
      </c>
      <c r="T135" s="5">
        <f t="shared" ca="1" si="39"/>
        <v>389.92</v>
      </c>
      <c r="U135" s="5">
        <f t="shared" ca="1" si="40"/>
        <v>5065.46</v>
      </c>
      <c r="V135" s="5">
        <f t="shared" ca="1" si="41"/>
        <v>4320.8373799999999</v>
      </c>
      <c r="W135" s="1">
        <v>3.5</v>
      </c>
      <c r="Y135" s="30">
        <f t="shared" si="64"/>
        <v>0</v>
      </c>
      <c r="Z135" s="30">
        <f t="shared" ca="1" si="65"/>
        <v>0</v>
      </c>
      <c r="AB135" s="170">
        <f t="shared" ca="1" si="33"/>
        <v>-4040.2721499999998</v>
      </c>
      <c r="AC135" s="168">
        <f t="shared" ca="1" si="34"/>
        <v>-3192.511737194809</v>
      </c>
      <c r="AD135" s="28">
        <f t="shared" ca="1" si="44"/>
        <v>-0.43112012551281576</v>
      </c>
      <c r="AE135" s="48">
        <f t="shared" ca="1" si="68"/>
        <v>0</v>
      </c>
      <c r="AF135" s="48">
        <f t="shared" ca="1" si="69"/>
        <v>3.9081687176417334E-3</v>
      </c>
      <c r="AG135" s="204">
        <f ca="1">AVERAGE($AF$5:$AF$257)</f>
        <v>3.9682539682539663E-3</v>
      </c>
      <c r="AH135" s="1" t="str">
        <f t="shared" ca="1" si="45"/>
        <v>no</v>
      </c>
      <c r="AI135" s="28">
        <f t="shared" ca="1" si="67"/>
        <v>-9.1586794462193755E-2</v>
      </c>
    </row>
    <row r="136" spans="1:35" x14ac:dyDescent="0.2">
      <c r="A136" s="1">
        <v>1</v>
      </c>
      <c r="B136" s="1" t="e" vm="95">
        <v>#VALUE!</v>
      </c>
      <c r="D136" s="1" t="str" cm="1">
        <f t="array" aca="1" ref="D136" ca="1">_FV(B136,"Ticker symbol",TRUE)</f>
        <v>ISRG</v>
      </c>
      <c r="E136" s="25" cm="1">
        <f t="array" aca="1" ref="E136" ca="1">_FV(B136,"Price")</f>
        <v>470.99</v>
      </c>
      <c r="F136" s="25" cm="1">
        <f t="array" aca="1" ref="F136" ca="1">_FV(B136,"open")</f>
        <v>481</v>
      </c>
      <c r="G136" s="5" t="str" cm="1">
        <f t="array" aca="1" ref="G136" ca="1">_FV(B136,"Currency")</f>
        <v>USD</v>
      </c>
      <c r="H136" s="5" t="s">
        <v>115</v>
      </c>
      <c r="I136" s="4">
        <v>45685</v>
      </c>
      <c r="J136" s="172">
        <v>0.88349999999999995</v>
      </c>
      <c r="K136" s="1">
        <v>20</v>
      </c>
      <c r="L136" s="10">
        <v>525.88</v>
      </c>
      <c r="M136" s="5">
        <f t="shared" si="35"/>
        <v>10576.08</v>
      </c>
      <c r="N136" s="5">
        <f t="shared" ca="1" si="36"/>
        <v>9343.9666799999995</v>
      </c>
      <c r="O136" s="1">
        <f>12+46.48</f>
        <v>58.48</v>
      </c>
      <c r="Q136" s="4">
        <f t="shared" ca="1" si="66"/>
        <v>46140</v>
      </c>
      <c r="R136" s="8">
        <f t="shared" ca="1" si="70"/>
        <v>0.85299999999999998</v>
      </c>
      <c r="S136" s="1">
        <f t="shared" si="48"/>
        <v>20</v>
      </c>
      <c r="T136" s="5">
        <f t="shared" ca="1" si="39"/>
        <v>470.99</v>
      </c>
      <c r="U136" s="5">
        <f t="shared" ca="1" si="40"/>
        <v>9407.7999999999993</v>
      </c>
      <c r="V136" s="5">
        <f t="shared" ca="1" si="41"/>
        <v>8024.8533999999991</v>
      </c>
      <c r="W136" s="1">
        <v>12</v>
      </c>
      <c r="Y136" s="30">
        <f t="shared" si="64"/>
        <v>0</v>
      </c>
      <c r="Z136" s="30">
        <f t="shared" ca="1" si="65"/>
        <v>0</v>
      </c>
      <c r="AB136" s="170">
        <f t="shared" ca="1" si="33"/>
        <v>-1319.1132800000005</v>
      </c>
      <c r="AC136" s="168">
        <f t="shared" ca="1" si="34"/>
        <v>-1042.3269702486612</v>
      </c>
      <c r="AD136" s="28">
        <f t="shared" ca="1" si="44"/>
        <v>-0.1104643686507667</v>
      </c>
      <c r="AE136" s="48">
        <f t="shared" ca="1" si="68"/>
        <v>0</v>
      </c>
      <c r="AF136" s="48">
        <f t="shared" ca="1" si="69"/>
        <v>4.3675780285421855E-3</v>
      </c>
      <c r="AG136" s="204">
        <f ca="1">AVERAGE($AF$5:$AF$257)</f>
        <v>3.9682539682539663E-3</v>
      </c>
      <c r="AH136" s="1" t="str">
        <f t="shared" ca="1" si="45"/>
        <v>si</v>
      </c>
      <c r="AI136" s="28">
        <f t="shared" ca="1" si="67"/>
        <v>-3.452178834182229E-2</v>
      </c>
    </row>
    <row r="137" spans="1:35" x14ac:dyDescent="0.2">
      <c r="A137" s="15">
        <v>1</v>
      </c>
      <c r="B137" s="1" t="e" vm="96">
        <v>#VALUE!</v>
      </c>
      <c r="D137" s="1" t="str" cm="1">
        <f t="array" aca="1" ref="D137" ca="1">_FV(B137,"Ticker symbol",TRUE)</f>
        <v>IOVA</v>
      </c>
      <c r="E137" s="25" cm="1">
        <f t="array" aca="1" ref="E137" ca="1">_FV(B137,"Price")</f>
        <v>3.43</v>
      </c>
      <c r="F137" s="25" cm="1">
        <f t="array" aca="1" ref="F137" ca="1">_FV(B137,"open")</f>
        <v>3.45</v>
      </c>
      <c r="G137" s="5" t="str" cm="1">
        <f t="array" aca="1" ref="G137" ca="1">_FV(B137,"Currency")</f>
        <v>USD</v>
      </c>
      <c r="H137" s="5" t="s">
        <v>183</v>
      </c>
      <c r="I137" s="4">
        <v>45412</v>
      </c>
      <c r="J137" s="172">
        <v>0.94164000000000003</v>
      </c>
      <c r="K137" s="14">
        <v>491</v>
      </c>
      <c r="L137" s="19">
        <v>12.25</v>
      </c>
      <c r="M137" s="5">
        <f t="shared" si="35"/>
        <v>6029.75</v>
      </c>
      <c r="N137" s="5">
        <f t="shared" ca="1" si="36"/>
        <v>5677.8537900000001</v>
      </c>
      <c r="O137" s="14">
        <v>15</v>
      </c>
      <c r="P137" s="14"/>
      <c r="Q137" s="4">
        <f t="shared" ca="1" si="66"/>
        <v>46140</v>
      </c>
      <c r="R137" s="8">
        <f t="shared" ca="1" si="70"/>
        <v>0.85299999999999998</v>
      </c>
      <c r="S137" s="1">
        <f t="shared" si="48"/>
        <v>491</v>
      </c>
      <c r="T137" s="5">
        <f t="shared" ca="1" si="39"/>
        <v>3.43</v>
      </c>
      <c r="U137" s="5">
        <f t="shared" ca="1" si="40"/>
        <v>1669.13</v>
      </c>
      <c r="V137" s="5">
        <f t="shared" ca="1" si="41"/>
        <v>1423.7678900000001</v>
      </c>
      <c r="W137" s="1">
        <v>15</v>
      </c>
      <c r="X137" s="26"/>
      <c r="Y137" s="30">
        <f t="shared" si="64"/>
        <v>0</v>
      </c>
      <c r="Z137" s="30">
        <f t="shared" ca="1" si="65"/>
        <v>0</v>
      </c>
      <c r="AA137" s="25"/>
      <c r="AB137" s="170">
        <f t="shared" ca="1" si="33"/>
        <v>-4254.0859</v>
      </c>
      <c r="AC137" s="168">
        <f t="shared" ca="1" si="34"/>
        <v>-3361.4614715459065</v>
      </c>
      <c r="AD137" s="28">
        <f t="shared" ca="1" si="44"/>
        <v>-0.72318421161739699</v>
      </c>
      <c r="AE137" s="48">
        <f t="shared" ca="1" si="68"/>
        <v>0</v>
      </c>
      <c r="AF137" s="48">
        <f t="shared" ca="1" si="69"/>
        <v>2.6539552538814254E-3</v>
      </c>
      <c r="AG137" s="204">
        <f ca="1">AVERAGE($AF$5:$AF$257)</f>
        <v>3.9682539682539663E-3</v>
      </c>
      <c r="AH137" s="1" t="str">
        <f t="shared" ca="1" si="45"/>
        <v>no</v>
      </c>
      <c r="AI137" s="28">
        <f t="shared" ca="1" si="67"/>
        <v>-9.4133639182702566E-2</v>
      </c>
    </row>
    <row r="138" spans="1:35" x14ac:dyDescent="0.2">
      <c r="A138" s="1">
        <v>1</v>
      </c>
      <c r="B138" s="1" t="e" vm="97">
        <v>#VALUE!</v>
      </c>
      <c r="D138" s="1" t="str" cm="1">
        <f t="array" aca="1" ref="D138" ca="1">_FV(B138,"Ticker symbol",TRUE)</f>
        <v>IRDM</v>
      </c>
      <c r="E138" s="25" cm="1">
        <f t="array" aca="1" ref="E138" ca="1">_FV(B138,"Price")</f>
        <v>37.4</v>
      </c>
      <c r="F138" s="25" cm="1">
        <f t="array" aca="1" ref="F138" ca="1">_FV(B138,"open")</f>
        <v>38.96</v>
      </c>
      <c r="G138" s="5" t="str" cm="1">
        <f t="array" aca="1" ref="G138" ca="1">_FV(B138,"Currency")</f>
        <v>USD</v>
      </c>
      <c r="H138" s="5" t="s">
        <v>128</v>
      </c>
      <c r="I138" s="4">
        <v>45684</v>
      </c>
      <c r="J138" s="172">
        <v>0.95179999999999998</v>
      </c>
      <c r="K138" s="1">
        <v>250</v>
      </c>
      <c r="L138" s="10">
        <v>30.42</v>
      </c>
      <c r="M138" s="5">
        <f t="shared" si="35"/>
        <v>7606.26</v>
      </c>
      <c r="N138" s="5">
        <f t="shared" ca="1" si="36"/>
        <v>7239.6382679999997</v>
      </c>
      <c r="O138" s="1">
        <v>1.26</v>
      </c>
      <c r="Q138" s="4">
        <f t="shared" ca="1" si="66"/>
        <v>46140</v>
      </c>
      <c r="R138" s="8">
        <f t="shared" ca="1" si="70"/>
        <v>0.85299999999999998</v>
      </c>
      <c r="S138" s="1">
        <f t="shared" si="48"/>
        <v>250</v>
      </c>
      <c r="T138" s="5">
        <f t="shared" ca="1" si="39"/>
        <v>37.4</v>
      </c>
      <c r="U138" s="5">
        <f t="shared" ca="1" si="40"/>
        <v>9348.5</v>
      </c>
      <c r="V138" s="5">
        <f t="shared" ca="1" si="41"/>
        <v>7974.2704999999996</v>
      </c>
      <c r="W138" s="1">
        <v>1.5</v>
      </c>
      <c r="Y138" s="30">
        <f t="shared" si="64"/>
        <v>0</v>
      </c>
      <c r="Z138" s="30">
        <f t="shared" ca="1" si="65"/>
        <v>0</v>
      </c>
      <c r="AB138" s="170">
        <f t="shared" ca="1" si="33"/>
        <v>734.63223199999993</v>
      </c>
      <c r="AC138" s="168">
        <f t="shared" ca="1" si="34"/>
        <v>580.48614947426745</v>
      </c>
      <c r="AD138" s="28">
        <f t="shared" ca="1" si="44"/>
        <v>0.22905343756327023</v>
      </c>
      <c r="AE138" s="48">
        <f t="shared" ca="1" si="68"/>
        <v>0</v>
      </c>
      <c r="AF138" s="48">
        <f t="shared" ca="1" si="69"/>
        <v>3.383968085159097E-3</v>
      </c>
      <c r="AG138" s="204">
        <f ca="1">AVERAGE($AF$5:$AF$257)</f>
        <v>3.9682539682539663E-3</v>
      </c>
      <c r="AH138" s="1" t="str">
        <f t="shared" ca="1" si="45"/>
        <v>no</v>
      </c>
      <c r="AI138" s="28">
        <f t="shared" ca="1" si="67"/>
        <v>-0.10380332002521542</v>
      </c>
    </row>
    <row r="139" spans="1:35" x14ac:dyDescent="0.2">
      <c r="A139" s="1">
        <v>1</v>
      </c>
      <c r="B139" s="1" t="e" vm="97">
        <v>#VALUE!</v>
      </c>
      <c r="D139" s="1" t="str" cm="1">
        <f t="array" aca="1" ref="D139" ca="1">_FV(B139,"Ticker symbol",TRUE)</f>
        <v>IRDM</v>
      </c>
      <c r="E139" s="25" cm="1">
        <f t="array" aca="1" ref="E139" ca="1">_FV(B139,"Price")</f>
        <v>37.4</v>
      </c>
      <c r="F139" s="25" cm="1">
        <f t="array" aca="1" ref="F139" ca="1">_FV(B139,"open")</f>
        <v>38.96</v>
      </c>
      <c r="G139" s="5" t="str" cm="1">
        <f t="array" aca="1" ref="G139" ca="1">_FV(B139,"Currency")</f>
        <v>USD</v>
      </c>
      <c r="H139" s="5" t="s">
        <v>183</v>
      </c>
      <c r="I139" s="4">
        <v>45684</v>
      </c>
      <c r="J139" s="172">
        <v>0.95179999999999998</v>
      </c>
      <c r="K139" s="1">
        <v>262</v>
      </c>
      <c r="L139" s="10">
        <v>30.45</v>
      </c>
      <c r="M139" s="5">
        <f t="shared" si="35"/>
        <v>7992.9</v>
      </c>
      <c r="N139" s="5">
        <f t="shared" ca="1" si="36"/>
        <v>7607.6422199999997</v>
      </c>
      <c r="O139" s="1">
        <v>15</v>
      </c>
      <c r="Q139" s="4">
        <f t="shared" ca="1" si="66"/>
        <v>46140</v>
      </c>
      <c r="R139" s="8">
        <f t="shared" ca="1" si="70"/>
        <v>0.85299999999999998</v>
      </c>
      <c r="S139" s="1">
        <f t="shared" si="48"/>
        <v>262</v>
      </c>
      <c r="T139" s="5">
        <f t="shared" ca="1" si="39"/>
        <v>37.4</v>
      </c>
      <c r="U139" s="5">
        <f t="shared" ca="1" si="40"/>
        <v>9783.7999999999993</v>
      </c>
      <c r="V139" s="5">
        <f t="shared" ca="1" si="41"/>
        <v>8345.5813999999991</v>
      </c>
      <c r="W139" s="1">
        <v>15</v>
      </c>
      <c r="Y139" s="30">
        <f t="shared" si="64"/>
        <v>0</v>
      </c>
      <c r="Z139" s="30">
        <f t="shared" ca="1" si="65"/>
        <v>0</v>
      </c>
      <c r="AB139" s="170">
        <f t="shared" ca="1" si="33"/>
        <v>737.9391799999994</v>
      </c>
      <c r="AC139" s="168">
        <f t="shared" ca="1" si="34"/>
        <v>583.09920867234428</v>
      </c>
      <c r="AD139" s="28">
        <f t="shared" ca="1" si="44"/>
        <v>0.2240613544520762</v>
      </c>
      <c r="AE139" s="48">
        <f t="shared" ca="1" si="68"/>
        <v>0</v>
      </c>
      <c r="AF139" s="48">
        <f t="shared" ca="1" si="69"/>
        <v>3.5559813243128879E-3</v>
      </c>
      <c r="AG139" s="204">
        <f ca="1">AVERAGE($AF$5:$AF$257)</f>
        <v>3.9682539682539663E-3</v>
      </c>
      <c r="AH139" s="1" t="str">
        <f t="shared" ca="1" si="45"/>
        <v>no</v>
      </c>
      <c r="AI139" s="28">
        <f t="shared" ca="1" si="67"/>
        <v>-0.10380332002521542</v>
      </c>
    </row>
    <row r="140" spans="1:35" x14ac:dyDescent="0.2">
      <c r="A140" s="1">
        <v>1</v>
      </c>
      <c r="B140" s="1" t="e" vm="98">
        <v>#VALUE!</v>
      </c>
      <c r="D140" s="1" t="str" cm="1">
        <f t="array" aca="1" ref="D140" ca="1">_FV(B140,"Ticker symbol",TRUE)</f>
        <v>IREN</v>
      </c>
      <c r="E140" s="25" cm="1">
        <f t="array" aca="1" ref="E140" ca="1">_FV(B140,"Price")</f>
        <v>48.36</v>
      </c>
      <c r="F140" s="25" cm="1">
        <f t="array" aca="1" ref="F140" ca="1">_FV(B140,"open")</f>
        <v>50.22</v>
      </c>
      <c r="G140" s="5" t="str" cm="1">
        <f t="array" aca="1" ref="G140" ca="1">_FV(B140,"Currency")</f>
        <v>USD</v>
      </c>
      <c r="H140" s="5" t="s">
        <v>26</v>
      </c>
      <c r="I140" s="4">
        <v>46035</v>
      </c>
      <c r="J140" s="172">
        <v>0.85970000000000002</v>
      </c>
      <c r="K140" s="1">
        <v>109</v>
      </c>
      <c r="L140" s="10">
        <v>50.44</v>
      </c>
      <c r="M140" s="5">
        <f>+K140*L140+O140</f>
        <v>5512.96</v>
      </c>
      <c r="N140" s="5">
        <f ca="1">IF(G140="USD",M140*J140,+K140*L140+O140)</f>
        <v>4739.491712</v>
      </c>
      <c r="O140" s="1">
        <v>15</v>
      </c>
      <c r="Q140" s="4">
        <f t="shared" ca="1" si="66"/>
        <v>46140</v>
      </c>
      <c r="R140" s="8">
        <f t="shared" ca="1" si="70"/>
        <v>0.85299999999999998</v>
      </c>
      <c r="S140" s="1">
        <f>+K140</f>
        <v>109</v>
      </c>
      <c r="T140" s="5">
        <f ca="1">+E140</f>
        <v>48.36</v>
      </c>
      <c r="U140" s="5">
        <f ca="1">+S140*T140-W140</f>
        <v>5256.24</v>
      </c>
      <c r="V140" s="5">
        <f ca="1">IF(G140="USD",U140*R140,+S140*T140-W140)</f>
        <v>4483.5727200000001</v>
      </c>
      <c r="W140" s="1">
        <v>15</v>
      </c>
      <c r="Y140" s="30">
        <f>IF(A140=0,V140-N140,0)</f>
        <v>0</v>
      </c>
      <c r="Z140" s="30">
        <f ca="1">+Y140-(Y140*$AA$1)</f>
        <v>0</v>
      </c>
      <c r="AB140" s="170">
        <f ca="1">IF(A140=1,+V140-N140,0)</f>
        <v>-255.91899199999989</v>
      </c>
      <c r="AC140" s="168">
        <f ca="1">+AB140-(AB140*$AA$1)</f>
        <v>-202.22013651507712</v>
      </c>
      <c r="AD140" s="28">
        <f ca="1">+U140/M140-1</f>
        <v>-4.6566635709310522E-2</v>
      </c>
      <c r="AE140" s="48">
        <f t="shared" ca="1" si="68"/>
        <v>0</v>
      </c>
      <c r="AF140" s="48">
        <f t="shared" ca="1" si="69"/>
        <v>2.2153439301207988E-3</v>
      </c>
      <c r="AG140" s="204">
        <f ca="1">AVERAGE($AF$5:$AF$257)</f>
        <v>3.9682539682539663E-3</v>
      </c>
      <c r="AH140" s="1" t="str">
        <f ca="1">IF(AF140&lt;AG140,"no","si")</f>
        <v>no</v>
      </c>
      <c r="AI140" s="28">
        <f ca="1">IF(G140="USD",+R140/J140-1,"-")</f>
        <v>-7.7934163080144447E-3</v>
      </c>
    </row>
    <row r="141" spans="1:35" x14ac:dyDescent="0.2">
      <c r="A141" s="1">
        <v>1</v>
      </c>
      <c r="B141" s="1" t="e" vm="99">
        <v>#VALUE!</v>
      </c>
      <c r="D141" s="1" t="str" cm="1">
        <f t="array" aca="1" ref="D141" ca="1">_FV(B141,"Ticker symbol",TRUE)</f>
        <v>JKHY</v>
      </c>
      <c r="E141" s="25" cm="1">
        <f t="array" aca="1" ref="E141" ca="1">_FV(B141,"Price")</f>
        <v>151.01</v>
      </c>
      <c r="F141" s="25" cm="1">
        <f t="array" aca="1" ref="F141" ca="1">_FV(B141,"open")</f>
        <v>150.75</v>
      </c>
      <c r="G141" s="5" t="str" cm="1">
        <f t="array" aca="1" ref="G141" ca="1">_FV(B141,"Currency")</f>
        <v>USD</v>
      </c>
      <c r="H141" s="5" t="s">
        <v>26</v>
      </c>
      <c r="I141" s="4">
        <v>45981</v>
      </c>
      <c r="J141" s="172">
        <v>0.87090000000000001</v>
      </c>
      <c r="K141" s="1">
        <v>77</v>
      </c>
      <c r="L141" s="10">
        <v>168.52</v>
      </c>
      <c r="M141" s="5">
        <f>+K141*L141+O141</f>
        <v>12991.04</v>
      </c>
      <c r="N141" s="5">
        <f ca="1">IF(G141="USD",M141*J141,+K141*L141+O141)</f>
        <v>11313.896736000001</v>
      </c>
      <c r="O141" s="1">
        <v>15</v>
      </c>
      <c r="Q141" s="4">
        <f t="shared" ca="1" si="66"/>
        <v>46140</v>
      </c>
      <c r="R141" s="8">
        <f t="shared" ca="1" si="70"/>
        <v>0.85299999999999998</v>
      </c>
      <c r="S141" s="1">
        <f>+K141</f>
        <v>77</v>
      </c>
      <c r="T141" s="5">
        <f ca="1">+E141</f>
        <v>151.01</v>
      </c>
      <c r="U141" s="5">
        <f ca="1">+S141*T141-W141</f>
        <v>11612.769999999999</v>
      </c>
      <c r="V141" s="5">
        <f ca="1">IF(G141="USD",U141*R141,+S141*T141-W141)</f>
        <v>9905.6928099999986</v>
      </c>
      <c r="W141" s="1">
        <v>15</v>
      </c>
      <c r="Y141" s="30">
        <f>IF(A141=0,V141-N141,0)</f>
        <v>0</v>
      </c>
      <c r="Z141" s="30">
        <f ca="1">+Y141-(Y141*$AA$1)</f>
        <v>0</v>
      </c>
      <c r="AB141" s="170">
        <f ca="1">IF(A141=1,+V141-N141,0)</f>
        <v>-1408.203926000002</v>
      </c>
      <c r="AC141" s="168">
        <f ca="1">+AB141-(AB141*$AA$1)</f>
        <v>-1112.723944133025</v>
      </c>
      <c r="AD141" s="28">
        <f ca="1">+U141/M141-1</f>
        <v>-0.10609389240584299</v>
      </c>
      <c r="AE141" s="48">
        <f t="shared" ca="1" si="68"/>
        <v>0</v>
      </c>
      <c r="AF141" s="48">
        <f t="shared" ca="1" si="69"/>
        <v>5.2883671885427521E-3</v>
      </c>
      <c r="AG141" s="204">
        <f ca="1">AVERAGE($AF$5:$AF$257)</f>
        <v>3.9682539682539663E-3</v>
      </c>
      <c r="AH141" s="1" t="str">
        <f ca="1">IF(AF141&lt;AG141,"no","si")</f>
        <v>si</v>
      </c>
      <c r="AI141" s="28">
        <f ca="1">IF(G141="USD",+R141/J141-1,"-")</f>
        <v>-2.0553450453553834E-2</v>
      </c>
    </row>
    <row r="142" spans="1:35" x14ac:dyDescent="0.2">
      <c r="A142" s="15">
        <v>1</v>
      </c>
      <c r="B142" s="299" t="e" vm="100">
        <v>#VALUE!</v>
      </c>
      <c r="D142" s="1" t="str" cm="1">
        <f t="array" aca="1" ref="D142" ca="1">_FV(B142,"Ticker symbol",TRUE)</f>
        <v>JEN</v>
      </c>
      <c r="E142" s="27" cm="1">
        <f t="array" aca="1" ref="E142" ca="1">_FV(B142,"Price")</f>
        <v>33.5</v>
      </c>
      <c r="F142" s="27" cm="1">
        <f t="array" aca="1" ref="F142" ca="1">_FV(B142,"open")</f>
        <v>34.06</v>
      </c>
      <c r="G142" s="5" t="str" cm="1">
        <f t="array" aca="1" ref="G142" ca="1">_FV(B142,"Currency")</f>
        <v>EUR</v>
      </c>
      <c r="H142" s="5" t="s">
        <v>183</v>
      </c>
      <c r="I142" s="4">
        <v>45722</v>
      </c>
      <c r="J142" s="18"/>
      <c r="K142" s="1">
        <v>418</v>
      </c>
      <c r="L142" s="10">
        <f>23.9-'dividendos 26'!I290</f>
        <v>23.52</v>
      </c>
      <c r="M142" s="5">
        <f t="shared" si="35"/>
        <v>9846.36</v>
      </c>
      <c r="N142" s="5">
        <f t="shared" ca="1" si="36"/>
        <v>9846.36</v>
      </c>
      <c r="O142" s="1">
        <v>15</v>
      </c>
      <c r="Q142" s="4">
        <f t="shared" ca="1" si="66"/>
        <v>46140</v>
      </c>
      <c r="S142" s="1">
        <f t="shared" si="48"/>
        <v>418</v>
      </c>
      <c r="T142" s="5">
        <f t="shared" ca="1" si="39"/>
        <v>33.5</v>
      </c>
      <c r="U142" s="5">
        <f t="shared" ca="1" si="40"/>
        <v>13988</v>
      </c>
      <c r="V142" s="5">
        <f t="shared" ca="1" si="41"/>
        <v>13988</v>
      </c>
      <c r="W142" s="1">
        <f>+O142</f>
        <v>15</v>
      </c>
      <c r="Y142" s="30">
        <f t="shared" si="64"/>
        <v>0</v>
      </c>
      <c r="Z142" s="30">
        <f t="shared" ca="1" si="65"/>
        <v>0</v>
      </c>
      <c r="AB142" s="170">
        <f t="shared" ca="1" si="33"/>
        <v>4141.6399999999994</v>
      </c>
      <c r="AC142" s="168">
        <f t="shared" ca="1" si="34"/>
        <v>3272.6098194240471</v>
      </c>
      <c r="AD142" s="28">
        <f t="shared" ca="1" si="44"/>
        <v>0.42062650563253823</v>
      </c>
      <c r="AE142" s="48">
        <f t="shared" ca="1" si="68"/>
        <v>0</v>
      </c>
      <c r="AF142" s="48">
        <f t="shared" ca="1" si="69"/>
        <v>4.6024078498872216E-3</v>
      </c>
      <c r="AG142" s="204">
        <f ca="1">AVERAGE($AF$5:$AF$257)</f>
        <v>3.9682539682539663E-3</v>
      </c>
      <c r="AH142" s="1" t="str">
        <f t="shared" ca="1" si="45"/>
        <v>si</v>
      </c>
      <c r="AI142" s="28" t="str">
        <f t="shared" ca="1" si="67"/>
        <v>-</v>
      </c>
    </row>
    <row r="143" spans="1:35" x14ac:dyDescent="0.2">
      <c r="A143" s="15">
        <v>1</v>
      </c>
      <c r="B143" s="1" t="e" vm="101">
        <v>#VALUE!</v>
      </c>
      <c r="D143" s="1" t="str" cm="1">
        <f t="array" aca="1" ref="D143" ca="1">_FV(B143,"Ticker symbol",TRUE)</f>
        <v>KVUE</v>
      </c>
      <c r="E143" s="25" cm="1">
        <f t="array" aca="1" ref="E143" ca="1">_FV(B143,"Price")</f>
        <v>17.53</v>
      </c>
      <c r="F143" s="25" cm="1">
        <f t="array" aca="1" ref="F143" ca="1">_FV(B143,"open")</f>
        <v>17.43</v>
      </c>
      <c r="G143" s="5" t="str" cm="1">
        <f t="array" aca="1" ref="G143" ca="1">_FV(B143,"Currency")</f>
        <v>USD</v>
      </c>
      <c r="H143" s="5" t="s">
        <v>128</v>
      </c>
      <c r="I143" s="4">
        <v>45524</v>
      </c>
      <c r="J143" s="172">
        <v>0.90458000000000005</v>
      </c>
      <c r="K143" s="1">
        <v>300</v>
      </c>
      <c r="L143" s="10">
        <v>21.5</v>
      </c>
      <c r="M143" s="5">
        <f t="shared" si="35"/>
        <v>6451.2</v>
      </c>
      <c r="N143" s="5">
        <f t="shared" ca="1" si="36"/>
        <v>5835.6264959999999</v>
      </c>
      <c r="O143" s="1">
        <v>1.2</v>
      </c>
      <c r="Q143" s="4">
        <f t="shared" ca="1" si="66"/>
        <v>46140</v>
      </c>
      <c r="R143" s="8">
        <f ca="1">+$M$551</f>
        <v>0.85299999999999998</v>
      </c>
      <c r="S143" s="1">
        <f t="shared" ref="S143:S188" si="71">+K143</f>
        <v>300</v>
      </c>
      <c r="T143" s="5">
        <f t="shared" ca="1" si="39"/>
        <v>17.53</v>
      </c>
      <c r="U143" s="5">
        <f t="shared" ca="1" si="40"/>
        <v>5257.8</v>
      </c>
      <c r="V143" s="5">
        <f t="shared" ca="1" si="41"/>
        <v>4484.9034000000001</v>
      </c>
      <c r="W143" s="1">
        <f>+O143</f>
        <v>1.2</v>
      </c>
      <c r="Y143" s="30">
        <f t="shared" si="64"/>
        <v>0</v>
      </c>
      <c r="Z143" s="30">
        <f t="shared" ca="1" si="65"/>
        <v>0</v>
      </c>
      <c r="AB143" s="170">
        <f t="shared" ca="1" si="33"/>
        <v>-1350.7230959999997</v>
      </c>
      <c r="AC143" s="168">
        <f t="shared" ca="1" si="34"/>
        <v>-1067.3041759526297</v>
      </c>
      <c r="AD143" s="28">
        <f t="shared" ca="1" si="44"/>
        <v>-0.18498883928571419</v>
      </c>
      <c r="AE143" s="48">
        <f t="shared" ca="1" si="68"/>
        <v>0</v>
      </c>
      <c r="AF143" s="48">
        <f t="shared" ca="1" si="69"/>
        <v>2.7277017287810176E-3</v>
      </c>
      <c r="AG143" s="204">
        <f ca="1">AVERAGE($AF$5:$AF$257)</f>
        <v>3.9682539682539663E-3</v>
      </c>
      <c r="AH143" s="1" t="str">
        <f t="shared" ca="1" si="45"/>
        <v>no</v>
      </c>
      <c r="AI143" s="28">
        <f t="shared" ca="1" si="67"/>
        <v>-5.7020937893829227E-2</v>
      </c>
    </row>
    <row r="144" spans="1:35" x14ac:dyDescent="0.2">
      <c r="A144" s="15">
        <v>1</v>
      </c>
      <c r="B144" s="1" t="e" vm="102">
        <v>#VALUE!</v>
      </c>
      <c r="D144" s="1" t="str" cm="1">
        <f t="array" aca="1" ref="D144" ca="1">_FV(B144,"Ticker symbol",TRUE)</f>
        <v>KLAR</v>
      </c>
      <c r="E144" s="25" cm="1">
        <f t="array" aca="1" ref="E144" ca="1">_FV(B144,"Price")</f>
        <v>13.97</v>
      </c>
      <c r="F144" s="25" cm="1">
        <f t="array" aca="1" ref="F144" ca="1">_FV(B144,"open")</f>
        <v>13.86</v>
      </c>
      <c r="G144" s="5" t="str" cm="1">
        <f t="array" aca="1" ref="G144" ca="1">_FV(B144,"Currency")</f>
        <v>USD</v>
      </c>
      <c r="H144" s="5" t="s">
        <v>204</v>
      </c>
      <c r="I144" s="4">
        <v>46030</v>
      </c>
      <c r="J144" s="172">
        <v>0.85670000000000002</v>
      </c>
      <c r="K144" s="1">
        <v>93</v>
      </c>
      <c r="L144" s="10">
        <v>30.48</v>
      </c>
      <c r="M144" s="5">
        <f>+K144*L144+O144</f>
        <v>2834.64</v>
      </c>
      <c r="N144" s="5">
        <f ca="1">IF(G144="USD",M144*J144,+K144*L144+O144)</f>
        <v>2428.4360879999999</v>
      </c>
      <c r="O144" s="1">
        <v>0</v>
      </c>
      <c r="Q144" s="4">
        <f t="shared" ca="1" si="66"/>
        <v>46140</v>
      </c>
      <c r="R144" s="8">
        <f ca="1">+$M$551</f>
        <v>0.85299999999999998</v>
      </c>
      <c r="S144" s="1">
        <f>+K144</f>
        <v>93</v>
      </c>
      <c r="T144" s="5">
        <f ca="1">+E144</f>
        <v>13.97</v>
      </c>
      <c r="U144" s="5">
        <f ca="1">+S144*T144-W144</f>
        <v>1299.21</v>
      </c>
      <c r="V144" s="5">
        <f ca="1">IF(G144="USD",U144*R144,+S144*T144-W144)</f>
        <v>1108.22613</v>
      </c>
      <c r="W144" s="1">
        <f>+O144</f>
        <v>0</v>
      </c>
      <c r="Y144" s="30">
        <f>IF(A144=0,V144-N144,0)</f>
        <v>0</v>
      </c>
      <c r="Z144" s="30">
        <f ca="1">+Y144-(Y144*$AA$1)</f>
        <v>0</v>
      </c>
      <c r="AB144" s="170">
        <f ca="1">IF(A144=1,+V144-N144,0)</f>
        <v>-1320.2099579999999</v>
      </c>
      <c r="AC144" s="168">
        <f ca="1">+AB144-(AB144*$AA$1)</f>
        <v>-1043.1935349890887</v>
      </c>
      <c r="AD144" s="28">
        <f ca="1">+U144/M144-1</f>
        <v>-0.54166666666666663</v>
      </c>
      <c r="AE144" s="48">
        <f t="shared" ca="1" si="68"/>
        <v>0</v>
      </c>
      <c r="AF144" s="48">
        <f t="shared" ca="1" si="69"/>
        <v>1.1351050859770124E-3</v>
      </c>
      <c r="AG144" s="204">
        <f ca="1">AVERAGE($AF$5:$AF$257)</f>
        <v>3.9682539682539663E-3</v>
      </c>
      <c r="AH144" s="1" t="str">
        <f ca="1">IF(AF144&lt;AG144,"no","si")</f>
        <v>no</v>
      </c>
      <c r="AI144" s="28">
        <f ca="1">IF(G144="USD",+R144/J144-1,"-")</f>
        <v>-4.3188980973503099E-3</v>
      </c>
    </row>
    <row r="145" spans="1:35" x14ac:dyDescent="0.2">
      <c r="A145" s="15">
        <v>1</v>
      </c>
      <c r="B145" s="1" t="e" vm="102">
        <v>#VALUE!</v>
      </c>
      <c r="D145" s="1" t="str" cm="1">
        <f t="array" aca="1" ref="D145" ca="1">_FV(B145,"Ticker symbol",TRUE)</f>
        <v>KLAR</v>
      </c>
      <c r="E145" s="25" cm="1">
        <f t="array" aca="1" ref="E145" ca="1">_FV(B145,"Price")</f>
        <v>13.97</v>
      </c>
      <c r="F145" s="25" cm="1">
        <f t="array" aca="1" ref="F145" ca="1">_FV(B145,"open")</f>
        <v>13.86</v>
      </c>
      <c r="G145" s="5" t="str" cm="1">
        <f t="array" aca="1" ref="G145" ca="1">_FV(B145,"Currency")</f>
        <v>USD</v>
      </c>
      <c r="H145" s="5" t="s">
        <v>128</v>
      </c>
      <c r="I145" s="4">
        <v>46064</v>
      </c>
      <c r="J145" s="172">
        <v>0.84289999999999998</v>
      </c>
      <c r="K145" s="1">
        <v>200</v>
      </c>
      <c r="L145" s="10">
        <v>20.37</v>
      </c>
      <c r="M145" s="5">
        <f>+K145*L145+O145</f>
        <v>4075</v>
      </c>
      <c r="N145" s="5">
        <f ca="1">IF(G145="USD",M145*J145,+K145*L145+O145)</f>
        <v>3434.8175000000001</v>
      </c>
      <c r="O145" s="1">
        <v>1</v>
      </c>
      <c r="Q145" s="4">
        <f t="shared" ca="1" si="66"/>
        <v>46140</v>
      </c>
      <c r="R145" s="8">
        <f ca="1">+$M$551</f>
        <v>0.85299999999999998</v>
      </c>
      <c r="S145" s="1">
        <f>+K145</f>
        <v>200</v>
      </c>
      <c r="T145" s="5">
        <f ca="1">+E145</f>
        <v>13.97</v>
      </c>
      <c r="U145" s="5">
        <f ca="1">+S145*T145-W145</f>
        <v>2793</v>
      </c>
      <c r="V145" s="5">
        <f ca="1">IF(G145="USD",U145*R145,+S145*T145-W145)</f>
        <v>2382.4290000000001</v>
      </c>
      <c r="W145" s="1">
        <f>+O145</f>
        <v>1</v>
      </c>
      <c r="Y145" s="30">
        <f>IF(A145=0,V145-N145,0)</f>
        <v>0</v>
      </c>
      <c r="Z145" s="30">
        <f ca="1">+Y145-(Y145*$AA$1)</f>
        <v>0</v>
      </c>
      <c r="AB145" s="170">
        <f ca="1">IF(A145=1,+V145-N145,0)</f>
        <v>-1052.3885</v>
      </c>
      <c r="AC145" s="168">
        <f ca="1">+AB145-(AB145*$AA$1)</f>
        <v>-831.56839777212519</v>
      </c>
      <c r="AD145" s="28">
        <f ca="1">+U145/M145-1</f>
        <v>-0.31460122699386506</v>
      </c>
      <c r="AE145" s="48">
        <f t="shared" ca="1" si="68"/>
        <v>0</v>
      </c>
      <c r="AF145" s="48">
        <f t="shared" ca="1" si="69"/>
        <v>1.6055101606004657E-3</v>
      </c>
      <c r="AG145" s="204">
        <f ca="1">AVERAGE($AF$5:$AF$257)</f>
        <v>3.9682539682539663E-3</v>
      </c>
      <c r="AH145" s="1" t="str">
        <f ca="1">IF(AF145&lt;AG145,"no","si")</f>
        <v>no</v>
      </c>
      <c r="AI145" s="28">
        <f ca="1">IF(G145="USD",+R145/J145-1,"-")</f>
        <v>1.1982441570767666E-2</v>
      </c>
    </row>
    <row r="146" spans="1:35" x14ac:dyDescent="0.2">
      <c r="A146" s="15">
        <v>1</v>
      </c>
      <c r="B146" s="1" t="e" vm="102">
        <v>#VALUE!</v>
      </c>
      <c r="D146" s="1" t="str" cm="1">
        <f t="array" aca="1" ref="D146" ca="1">_FV(B146,"Ticker symbol",TRUE)</f>
        <v>KLAR</v>
      </c>
      <c r="E146" s="25" cm="1">
        <f t="array" aca="1" ref="E146" ca="1">_FV(B146,"Price")</f>
        <v>13.97</v>
      </c>
      <c r="F146" s="25" cm="1">
        <f t="array" aca="1" ref="F146" ca="1">_FV(B146,"open")</f>
        <v>13.86</v>
      </c>
      <c r="G146" s="5" t="str" cm="1">
        <f t="array" aca="1" ref="G146" ca="1">_FV(B146,"Currency")</f>
        <v>USD</v>
      </c>
      <c r="H146" s="5" t="s">
        <v>128</v>
      </c>
      <c r="I146" s="4">
        <v>46064</v>
      </c>
      <c r="J146" s="172">
        <v>0.86360000000000003</v>
      </c>
      <c r="K146" s="1">
        <v>200</v>
      </c>
      <c r="L146" s="10">
        <v>16.079999999999998</v>
      </c>
      <c r="M146" s="5">
        <f>+K146*L146+O146</f>
        <v>3216.9999999999995</v>
      </c>
      <c r="N146" s="5">
        <f ca="1">IF(G146="USD",M146*J146,+K146*L146+O146)</f>
        <v>2778.2011999999995</v>
      </c>
      <c r="O146" s="1">
        <v>1</v>
      </c>
      <c r="Q146" s="4">
        <f t="shared" ca="1" si="66"/>
        <v>46140</v>
      </c>
      <c r="R146" s="8">
        <f ca="1">+$M$551</f>
        <v>0.85299999999999998</v>
      </c>
      <c r="S146" s="1">
        <f>+K146</f>
        <v>200</v>
      </c>
      <c r="T146" s="5">
        <f ca="1">+E146</f>
        <v>13.97</v>
      </c>
      <c r="U146" s="5">
        <f ca="1">+S146*T146-W146</f>
        <v>2793</v>
      </c>
      <c r="V146" s="5">
        <f ca="1">IF(G146="USD",U146*R146,+S146*T146-W146)</f>
        <v>2382.4290000000001</v>
      </c>
      <c r="W146" s="1">
        <f>+O146</f>
        <v>1</v>
      </c>
      <c r="Y146" s="30">
        <f>IF(A146=0,V146-N146,0)</f>
        <v>0</v>
      </c>
      <c r="Z146" s="30">
        <f ca="1">+Y146-(Y146*$AA$1)</f>
        <v>0</v>
      </c>
      <c r="AB146" s="170">
        <f ca="1">IF(A146=1,+V146-N146,0)</f>
        <v>-395.77219999999943</v>
      </c>
      <c r="AC146" s="168">
        <f ca="1">+AB146-(AB146*$AA$1)</f>
        <v>-312.728288304888</v>
      </c>
      <c r="AD146" s="28">
        <f ca="1">+U146/M146-1</f>
        <v>-0.13179981349082981</v>
      </c>
      <c r="AE146" s="48">
        <f t="shared" ca="1" si="68"/>
        <v>0</v>
      </c>
      <c r="AF146" s="48">
        <f t="shared" ca="1" si="69"/>
        <v>1.2985930853072706E-3</v>
      </c>
      <c r="AG146" s="204">
        <f ca="1">AVERAGE($AF$5:$AF$257)</f>
        <v>3.9682539682539663E-3</v>
      </c>
      <c r="AH146" s="1" t="str">
        <f ca="1">IF(AF146&lt;AG146,"no","si")</f>
        <v>no</v>
      </c>
      <c r="AI146" s="28">
        <f ca="1">IF(G146="USD",+R146/J146-1,"-")</f>
        <v>-1.2274201018990349E-2</v>
      </c>
    </row>
    <row r="147" spans="1:35" x14ac:dyDescent="0.2">
      <c r="A147" s="14">
        <v>1</v>
      </c>
      <c r="B147" s="14" t="e" vm="103">
        <v>#VALUE!</v>
      </c>
      <c r="C147" s="14"/>
      <c r="D147" s="1" t="str" cm="1">
        <f t="array" aca="1" ref="D147" ca="1">_FV(B147,"Ticker symbol",TRUE)</f>
        <v>LI</v>
      </c>
      <c r="E147" s="27" cm="1">
        <f t="array" aca="1" ref="E147" ca="1">_FV(B147,"Price")</f>
        <v>34.82</v>
      </c>
      <c r="F147" s="27" cm="1">
        <f t="array" aca="1" ref="F147" ca="1">_FV(B147,"open")</f>
        <v>34.9</v>
      </c>
      <c r="G147" s="5" t="str" cm="1">
        <f t="array" aca="1" ref="G147" ca="1">_FV(B147,"Currency")</f>
        <v>EUR</v>
      </c>
      <c r="H147" s="5" t="s">
        <v>183</v>
      </c>
      <c r="I147" s="16">
        <v>45945</v>
      </c>
      <c r="J147" s="18"/>
      <c r="K147" s="14">
        <v>400</v>
      </c>
      <c r="L147" s="19">
        <v>32.78</v>
      </c>
      <c r="M147" s="5">
        <f>+K147*L147+O147</f>
        <v>13127</v>
      </c>
      <c r="N147" s="5">
        <f ca="1">IF(G147="USD",M147*J147,+K147*L147+O147)</f>
        <v>13127</v>
      </c>
      <c r="O147" s="14">
        <v>15</v>
      </c>
      <c r="P147" s="14"/>
      <c r="Q147" s="4">
        <f t="shared" ca="1" si="66"/>
        <v>46140</v>
      </c>
      <c r="S147" s="1">
        <f>+K147</f>
        <v>400</v>
      </c>
      <c r="T147" s="5">
        <f ca="1">+E147</f>
        <v>34.82</v>
      </c>
      <c r="U147" s="5">
        <f ca="1">+S147*T147-W147</f>
        <v>13913</v>
      </c>
      <c r="V147" s="5">
        <f ca="1">IF(G147="USD",U147*R147,+S147*T147-W147)</f>
        <v>13913</v>
      </c>
      <c r="W147" s="14">
        <v>15</v>
      </c>
      <c r="X147" s="17"/>
      <c r="Y147" s="30">
        <f>IF(A147=0,V147-N147,0)</f>
        <v>0</v>
      </c>
      <c r="Z147" s="30">
        <f ca="1">+Y147-(Y147*$AA$1)</f>
        <v>0</v>
      </c>
      <c r="AA147" s="14"/>
      <c r="AB147" s="170">
        <f t="shared" ca="1" si="33"/>
        <v>786</v>
      </c>
      <c r="AC147" s="168">
        <f t="shared" ca="1" si="34"/>
        <v>621.0755444865564</v>
      </c>
      <c r="AD147" s="28">
        <f ca="1">+U147/M147-1</f>
        <v>5.9876590233869154E-2</v>
      </c>
      <c r="AE147" s="48">
        <f t="shared" ca="1" si="68"/>
        <v>0</v>
      </c>
      <c r="AF147" s="48">
        <f t="shared" ca="1" si="69"/>
        <v>6.1358520149039399E-3</v>
      </c>
      <c r="AG147" s="204">
        <f ca="1">AVERAGE($AF$5:$AF$257)</f>
        <v>3.9682539682539663E-3</v>
      </c>
      <c r="AH147" s="1" t="str">
        <f ca="1">IF(AF147&lt;AG147,"no","si")</f>
        <v>si</v>
      </c>
      <c r="AI147" s="28" t="str">
        <f ca="1">IF(G147="USD",+R147/J147-1,"-")</f>
        <v>-</v>
      </c>
    </row>
    <row r="148" spans="1:35" x14ac:dyDescent="0.2">
      <c r="A148" s="14">
        <v>1</v>
      </c>
      <c r="B148" s="14" t="e" vm="104">
        <v>#VALUE!</v>
      </c>
      <c r="C148" s="14"/>
      <c r="D148" s="1" t="str" cm="1">
        <f t="array" aca="1" ref="D148" ca="1">_FV(B148,"Ticker symbol",TRUE)</f>
        <v>ROVI</v>
      </c>
      <c r="E148" s="27" cm="1">
        <f t="array" aca="1" ref="E148" ca="1">_FV(B148,"Price")</f>
        <v>80.7</v>
      </c>
      <c r="F148" s="27" cm="1">
        <f t="array" aca="1" ref="F148" ca="1">_FV(B148,"open")</f>
        <v>81</v>
      </c>
      <c r="G148" s="5" t="str" cm="1">
        <f t="array" aca="1" ref="G148" ca="1">_FV(B148,"Currency")</f>
        <v>EUR</v>
      </c>
      <c r="H148" s="5" t="s">
        <v>183</v>
      </c>
      <c r="I148" s="16">
        <v>45757</v>
      </c>
      <c r="J148" s="18"/>
      <c r="K148" s="14">
        <f>249-125</f>
        <v>124</v>
      </c>
      <c r="L148" s="19">
        <v>48.1</v>
      </c>
      <c r="M148" s="5">
        <f t="shared" si="35"/>
        <v>5971.9400000000005</v>
      </c>
      <c r="N148" s="5">
        <f t="shared" ca="1" si="36"/>
        <v>5971.9400000000005</v>
      </c>
      <c r="O148" s="14">
        <v>7.54</v>
      </c>
      <c r="P148" s="14"/>
      <c r="Q148" s="4">
        <f t="shared" ca="1" si="66"/>
        <v>46140</v>
      </c>
      <c r="S148" s="1">
        <f t="shared" si="71"/>
        <v>124</v>
      </c>
      <c r="T148" s="5">
        <f t="shared" ca="1" si="39"/>
        <v>80.7</v>
      </c>
      <c r="U148" s="5">
        <f t="shared" ca="1" si="40"/>
        <v>9992.7500000000018</v>
      </c>
      <c r="V148" s="5">
        <f t="shared" ca="1" si="41"/>
        <v>9992.7500000000018</v>
      </c>
      <c r="W148" s="14">
        <v>14.05</v>
      </c>
      <c r="X148" s="17"/>
      <c r="Y148" s="30">
        <f t="shared" si="64"/>
        <v>0</v>
      </c>
      <c r="Z148" s="30">
        <f t="shared" ca="1" si="65"/>
        <v>0</v>
      </c>
      <c r="AA148" s="14"/>
      <c r="AB148" s="170">
        <f t="shared" ref="AB148:AB220" ca="1" si="72">IF(A148=1,+V148-N148,0)</f>
        <v>4020.8100000000013</v>
      </c>
      <c r="AC148" s="168">
        <f t="shared" ref="AC148:AC220" ca="1" si="73">+AB148-(AB148*$AA$1)</f>
        <v>3177.1332824770889</v>
      </c>
      <c r="AD148" s="28">
        <f t="shared" ca="1" si="44"/>
        <v>0.67328372354712229</v>
      </c>
      <c r="AE148" s="48">
        <f t="shared" ca="1" si="68"/>
        <v>0</v>
      </c>
      <c r="AF148" s="48">
        <f t="shared" ca="1" si="69"/>
        <v>2.7914176949710855E-3</v>
      </c>
      <c r="AG148" s="204">
        <f ca="1">AVERAGE($AF$5:$AF$257)</f>
        <v>3.9682539682539663E-3</v>
      </c>
      <c r="AH148" s="1" t="str">
        <f t="shared" ca="1" si="45"/>
        <v>no</v>
      </c>
      <c r="AI148" s="28" t="str">
        <f t="shared" ca="1" si="67"/>
        <v>-</v>
      </c>
    </row>
    <row r="149" spans="1:35" x14ac:dyDescent="0.2">
      <c r="A149" s="14">
        <v>1</v>
      </c>
      <c r="B149" s="14" t="e" vm="105">
        <v>#VALUE!</v>
      </c>
      <c r="C149" s="14"/>
      <c r="D149" s="1" t="str" cm="1">
        <f t="array" aca="1" ref="D149" ca="1">_FV(B149,"Ticker symbol",TRUE)</f>
        <v>SWIM</v>
      </c>
      <c r="E149" s="25" cm="1">
        <f t="array" aca="1" ref="E149" ca="1">_FV(B149,"Price")</f>
        <v>5.98</v>
      </c>
      <c r="F149" s="25" cm="1">
        <f t="array" aca="1" ref="F149" ca="1">_FV(B149,"open")</f>
        <v>6</v>
      </c>
      <c r="G149" s="5" t="str" cm="1">
        <f t="array" aca="1" ref="G149" ca="1">_FV(B149,"Currency")</f>
        <v>USD</v>
      </c>
      <c r="H149" s="5" t="s">
        <v>204</v>
      </c>
      <c r="I149" s="16">
        <v>45838</v>
      </c>
      <c r="J149" s="172">
        <v>0.84899999999999998</v>
      </c>
      <c r="K149" s="14">
        <v>1130</v>
      </c>
      <c r="L149" s="19">
        <v>6.5</v>
      </c>
      <c r="M149" s="5">
        <f>+K149*L149+O149</f>
        <v>7345</v>
      </c>
      <c r="N149" s="5">
        <f ca="1">IF(G149="USD",M149*J149,+K149*L149+O149)</f>
        <v>6235.9049999999997</v>
      </c>
      <c r="O149" s="14">
        <v>0</v>
      </c>
      <c r="P149" s="14"/>
      <c r="Q149" s="4">
        <f t="shared" ca="1" si="66"/>
        <v>46140</v>
      </c>
      <c r="R149" s="8">
        <f ca="1">+$M$551</f>
        <v>0.85299999999999998</v>
      </c>
      <c r="S149" s="1">
        <f>+K149</f>
        <v>1130</v>
      </c>
      <c r="T149" s="5">
        <f ca="1">+E149</f>
        <v>5.98</v>
      </c>
      <c r="U149" s="5">
        <f ca="1">+S149*T149-W149</f>
        <v>6757.4000000000005</v>
      </c>
      <c r="V149" s="5">
        <f ca="1">IF(G149="USD",U149*R149,+S149*T149-W149)</f>
        <v>5764.0622000000003</v>
      </c>
      <c r="W149" s="14">
        <v>0</v>
      </c>
      <c r="X149" s="17"/>
      <c r="Y149" s="30">
        <f>IF(A149=0,V149-N149,0)</f>
        <v>0</v>
      </c>
      <c r="Z149" s="30">
        <f ca="1">+Y149-(Y149*$AA$1)</f>
        <v>0</v>
      </c>
      <c r="AA149" s="14"/>
      <c r="AB149" s="170">
        <f t="shared" ca="1" si="72"/>
        <v>-471.84279999999944</v>
      </c>
      <c r="AC149" s="168">
        <f t="shared" ca="1" si="73"/>
        <v>-372.83718056241855</v>
      </c>
      <c r="AD149" s="28">
        <f ca="1">+U149/M149-1</f>
        <v>-7.999999999999996E-2</v>
      </c>
      <c r="AE149" s="48">
        <f t="shared" ca="1" si="68"/>
        <v>0</v>
      </c>
      <c r="AF149" s="48">
        <f t="shared" ca="1" si="69"/>
        <v>2.9148008119905195E-3</v>
      </c>
      <c r="AG149" s="204">
        <f ca="1">AVERAGE($AF$5:$AF$257)</f>
        <v>3.9682539682539663E-3</v>
      </c>
      <c r="AH149" s="1" t="str">
        <f ca="1">IF(AF149&lt;AG149,"no","si")</f>
        <v>no</v>
      </c>
      <c r="AI149" s="28">
        <f ca="1">IF(G149="USD",+R149/J149-1,"-")</f>
        <v>4.7114252061248862E-3</v>
      </c>
    </row>
    <row r="150" spans="1:35" x14ac:dyDescent="0.2">
      <c r="A150" s="1">
        <v>1</v>
      </c>
      <c r="B150" s="1" t="e" vm="106">
        <v>#VALUE!</v>
      </c>
      <c r="D150" s="1" t="str" cm="1">
        <f t="array" aca="1" ref="D150" ca="1">_FV(B150,"Ticker symbol",TRUE)</f>
        <v>LEG</v>
      </c>
      <c r="E150" s="27" cm="1">
        <f t="array" aca="1" ref="E150" ca="1">_FV(B150,"Price")</f>
        <v>60.2</v>
      </c>
      <c r="F150" s="27" cm="1">
        <f t="array" aca="1" ref="F150" ca="1">_FV(B150,"open")</f>
        <v>60.6</v>
      </c>
      <c r="G150" s="5" t="str" cm="1">
        <f t="array" aca="1" ref="G150" ca="1">_FV(B150,"Currency")</f>
        <v>EUR</v>
      </c>
      <c r="H150" s="5" t="s">
        <v>115</v>
      </c>
      <c r="I150" s="4">
        <v>45418</v>
      </c>
      <c r="J150" s="18"/>
      <c r="K150" s="1">
        <v>133</v>
      </c>
      <c r="L150" s="10">
        <v>82.38</v>
      </c>
      <c r="M150" s="5">
        <f t="shared" si="35"/>
        <v>10970.539999999999</v>
      </c>
      <c r="N150" s="5">
        <f t="shared" ca="1" si="36"/>
        <v>10970.539999999999</v>
      </c>
      <c r="O150" s="1">
        <v>14</v>
      </c>
      <c r="Q150" s="4">
        <f t="shared" ca="1" si="66"/>
        <v>46140</v>
      </c>
      <c r="S150" s="1">
        <f t="shared" si="71"/>
        <v>133</v>
      </c>
      <c r="T150" s="5">
        <f t="shared" ca="1" si="39"/>
        <v>60.2</v>
      </c>
      <c r="U150" s="5">
        <f t="shared" ca="1" si="40"/>
        <v>7992.6</v>
      </c>
      <c r="V150" s="5">
        <f t="shared" ca="1" si="41"/>
        <v>7992.6</v>
      </c>
      <c r="W150" s="1">
        <v>14</v>
      </c>
      <c r="Y150" s="30">
        <f t="shared" si="64"/>
        <v>0</v>
      </c>
      <c r="Z150" s="30">
        <f t="shared" ca="1" si="65"/>
        <v>0</v>
      </c>
      <c r="AB150" s="170">
        <f t="shared" ca="1" si="72"/>
        <v>-2977.9399999999987</v>
      </c>
      <c r="AC150" s="168">
        <f t="shared" ca="1" si="73"/>
        <v>-2353.0861411555916</v>
      </c>
      <c r="AD150" s="28">
        <f t="shared" ca="1" si="44"/>
        <v>-0.27144880744247768</v>
      </c>
      <c r="AE150" s="48">
        <f t="shared" ca="1" si="68"/>
        <v>0</v>
      </c>
      <c r="AF150" s="48">
        <f t="shared" ca="1" si="69"/>
        <v>5.1278746068091916E-3</v>
      </c>
      <c r="AG150" s="204">
        <f ca="1">AVERAGE($AF$5:$AF$257)</f>
        <v>3.9682539682539663E-3</v>
      </c>
      <c r="AH150" s="1" t="str">
        <f t="shared" ca="1" si="45"/>
        <v>si</v>
      </c>
      <c r="AI150" s="28" t="str">
        <f t="shared" ca="1" si="67"/>
        <v>-</v>
      </c>
    </row>
    <row r="151" spans="1:35" x14ac:dyDescent="0.2">
      <c r="A151" s="15">
        <v>1</v>
      </c>
      <c r="B151" s="1" t="e" vm="107">
        <v>#VALUE!</v>
      </c>
      <c r="D151" s="1" t="str" cm="1">
        <f t="array" aca="1" ref="D151" ca="1">_FV(B151,"Ticker symbol",TRUE)</f>
        <v>LWLG</v>
      </c>
      <c r="E151" s="25" cm="1">
        <f t="array" aca="1" ref="E151" ca="1">_FV(B151,"Price")</f>
        <v>12.45</v>
      </c>
      <c r="F151" s="25" cm="1">
        <f t="array" aca="1" ref="F151" ca="1">_FV(B151,"open")</f>
        <v>12.438000000000001</v>
      </c>
      <c r="G151" s="5" t="str" cm="1">
        <f t="array" aca="1" ref="G151" ca="1">_FV(B151,"Currency")</f>
        <v>USD</v>
      </c>
      <c r="H151" s="5" t="s">
        <v>183</v>
      </c>
      <c r="I151" s="4">
        <v>45106</v>
      </c>
      <c r="J151" s="172">
        <v>0.92349000000000003</v>
      </c>
      <c r="K151" s="14">
        <v>800</v>
      </c>
      <c r="L151" s="19">
        <v>7.15</v>
      </c>
      <c r="M151" s="5">
        <f t="shared" si="35"/>
        <v>5735</v>
      </c>
      <c r="N151" s="5">
        <f t="shared" ca="1" si="36"/>
        <v>5296.21515</v>
      </c>
      <c r="O151" s="14">
        <v>15</v>
      </c>
      <c r="P151" s="14"/>
      <c r="Q151" s="4">
        <f t="shared" ca="1" si="66"/>
        <v>46140</v>
      </c>
      <c r="R151" s="8">
        <f ca="1">+$M$551</f>
        <v>0.85299999999999998</v>
      </c>
      <c r="S151" s="1">
        <f t="shared" si="71"/>
        <v>800</v>
      </c>
      <c r="T151" s="5">
        <f t="shared" ca="1" si="39"/>
        <v>12.45</v>
      </c>
      <c r="U151" s="5">
        <f t="shared" ca="1" si="40"/>
        <v>9944.98</v>
      </c>
      <c r="V151" s="5">
        <f t="shared" ca="1" si="41"/>
        <v>8483.067939999999</v>
      </c>
      <c r="W151" s="1">
        <v>15.02</v>
      </c>
      <c r="Y151" s="30">
        <f t="shared" si="64"/>
        <v>0</v>
      </c>
      <c r="Z151" s="30">
        <f t="shared" ca="1" si="65"/>
        <v>0</v>
      </c>
      <c r="AB151" s="170">
        <f t="shared" ca="1" si="72"/>
        <v>3186.852789999999</v>
      </c>
      <c r="AC151" s="168">
        <f t="shared" ca="1" si="73"/>
        <v>2518.1632719437034</v>
      </c>
      <c r="AD151" s="28">
        <f t="shared" ca="1" si="44"/>
        <v>0.7340854402789887</v>
      </c>
      <c r="AE151" s="48">
        <f t="shared" ca="1" si="68"/>
        <v>0</v>
      </c>
      <c r="AF151" s="48">
        <f t="shared" ca="1" si="69"/>
        <v>2.4755688580400908E-3</v>
      </c>
      <c r="AG151" s="204">
        <f ca="1">AVERAGE($AF$5:$AF$257)</f>
        <v>3.9682539682539663E-3</v>
      </c>
      <c r="AH151" s="1" t="str">
        <f t="shared" ca="1" si="45"/>
        <v>no</v>
      </c>
      <c r="AI151" s="28">
        <f t="shared" ca="1" si="67"/>
        <v>-7.6330008987644749E-2</v>
      </c>
    </row>
    <row r="152" spans="1:35" x14ac:dyDescent="0.2">
      <c r="A152" s="15">
        <v>1</v>
      </c>
      <c r="B152" s="1" t="e" vm="108">
        <v>#VALUE!</v>
      </c>
      <c r="D152" s="1" t="str" cm="1">
        <f t="array" aca="1" ref="D152" ca="1">_FV(B152,"Ticker symbol",TRUE)</f>
        <v>LBTYA</v>
      </c>
      <c r="E152" s="25" cm="1">
        <f t="array" aca="1" ref="E152" ca="1">_FV(B152,"Price")</f>
        <v>11.61</v>
      </c>
      <c r="F152" s="25" cm="1">
        <f t="array" aca="1" ref="F152" ca="1">_FV(B152,"open")</f>
        <v>11.88</v>
      </c>
      <c r="G152" s="5" t="str" cm="1">
        <f t="array" aca="1" ref="G152" ca="1">_FV(B152,"Currency")</f>
        <v>USD</v>
      </c>
      <c r="H152" s="5" t="s">
        <v>128</v>
      </c>
      <c r="I152" s="4">
        <v>45873</v>
      </c>
      <c r="J152" s="172">
        <v>0.86299999999999999</v>
      </c>
      <c r="K152" s="14">
        <v>515</v>
      </c>
      <c r="L152" s="19">
        <v>10.55</v>
      </c>
      <c r="M152" s="5">
        <f>+K152*L152+O152</f>
        <v>5435.84</v>
      </c>
      <c r="N152" s="5">
        <f ca="1">IF(G152="USD",M152*J152,+K152*L152+O152)</f>
        <v>4691.1299200000003</v>
      </c>
      <c r="O152" s="14">
        <v>2.59</v>
      </c>
      <c r="P152" s="14"/>
      <c r="Q152" s="4">
        <f t="shared" ca="1" si="66"/>
        <v>46140</v>
      </c>
      <c r="R152" s="8">
        <f ca="1">+$M$551</f>
        <v>0.85299999999999998</v>
      </c>
      <c r="S152" s="1">
        <f>+K152</f>
        <v>515</v>
      </c>
      <c r="T152" s="5">
        <f ca="1">+E152</f>
        <v>11.61</v>
      </c>
      <c r="U152" s="5">
        <f ca="1">+S152*T152-W152</f>
        <v>5976.15</v>
      </c>
      <c r="V152" s="5">
        <f ca="1">IF(G152="USD",U152*R152,+S152*T152-W152)</f>
        <v>5097.6559499999994</v>
      </c>
      <c r="W152" s="1">
        <v>3</v>
      </c>
      <c r="Y152" s="30">
        <f>IF(A152=0,V152-N152,0)</f>
        <v>0</v>
      </c>
      <c r="Z152" s="30">
        <f ca="1">+Y152-(Y152*$AA$1)</f>
        <v>0</v>
      </c>
      <c r="AB152" s="170">
        <f t="shared" ca="1" si="72"/>
        <v>406.52602999999908</v>
      </c>
      <c r="AC152" s="168">
        <f t="shared" ca="1" si="73"/>
        <v>321.22566848626923</v>
      </c>
      <c r="AD152" s="28">
        <f ca="1">+U152/M152-1</f>
        <v>9.9397701183257636E-2</v>
      </c>
      <c r="AE152" s="48">
        <f t="shared" ca="1" si="68"/>
        <v>0</v>
      </c>
      <c r="AF152" s="48">
        <f t="shared" ca="1" si="69"/>
        <v>2.1927385519774634E-3</v>
      </c>
      <c r="AG152" s="204">
        <f ca="1">AVERAGE($AF$5:$AF$257)</f>
        <v>3.9682539682539663E-3</v>
      </c>
      <c r="AH152" s="1" t="str">
        <f ca="1">IF(AF152&lt;AG152,"no","si")</f>
        <v>no</v>
      </c>
      <c r="AI152" s="28">
        <f ca="1">IF(G152="USD",+R152/J152-1,"-")</f>
        <v>-1.1587485515643148E-2</v>
      </c>
    </row>
    <row r="153" spans="1:35" x14ac:dyDescent="0.2">
      <c r="A153" s="1">
        <v>1</v>
      </c>
      <c r="B153" s="1" t="e" vm="109">
        <v>#VALUE!</v>
      </c>
      <c r="D153" s="1" t="str" cm="1">
        <f t="array" aca="1" ref="D153" ca="1">_FV(B153,"Ticker symbol",TRUE)</f>
        <v>LDA</v>
      </c>
      <c r="E153" s="27" cm="1">
        <f t="array" aca="1" ref="E153" ca="1">_FV(B153,"Price")</f>
        <v>1.194</v>
      </c>
      <c r="F153" s="27" cm="1">
        <f t="array" aca="1" ref="F153" ca="1">_FV(B153,"open")</f>
        <v>1.26</v>
      </c>
      <c r="G153" s="5" t="str" cm="1">
        <f t="array" aca="1" ref="G153" ca="1">_FV(B153,"Currency")</f>
        <v>EUR</v>
      </c>
      <c r="H153" s="5" t="s">
        <v>184</v>
      </c>
      <c r="I153" s="4">
        <v>46043</v>
      </c>
      <c r="J153" s="18"/>
      <c r="K153" s="1">
        <v>9416</v>
      </c>
      <c r="L153" s="10">
        <v>1.1659999999999999</v>
      </c>
      <c r="M153" s="5">
        <f>+K153*L153+O153</f>
        <v>11016.105999999998</v>
      </c>
      <c r="N153" s="5">
        <f ca="1">IF(G153="USD",M153*J153,+K153*L153+O153)</f>
        <v>11016.105999999998</v>
      </c>
      <c r="O153" s="1">
        <v>37.049999999999997</v>
      </c>
      <c r="Q153" s="4">
        <f t="shared" ca="1" si="66"/>
        <v>46140</v>
      </c>
      <c r="S153" s="1">
        <f>+K153</f>
        <v>9416</v>
      </c>
      <c r="T153" s="5">
        <f ca="1">+E153</f>
        <v>1.194</v>
      </c>
      <c r="U153" s="5">
        <f ca="1">+S153*T153-W153</f>
        <v>11205.704</v>
      </c>
      <c r="V153" s="5">
        <f ca="1">IF(G153="USD",U153*R153,+S153*T153-W153)</f>
        <v>11205.704</v>
      </c>
      <c r="W153" s="1">
        <v>37</v>
      </c>
      <c r="Y153" s="30">
        <f>IF(A153=0,V153-N153,0)</f>
        <v>0</v>
      </c>
      <c r="Z153" s="30">
        <f ca="1">+Y153-(Y153*$AA$1)</f>
        <v>0</v>
      </c>
      <c r="AB153" s="170">
        <f ca="1">IF(A153=1,+V153-N153,0)</f>
        <v>189.59800000000178</v>
      </c>
      <c r="AC153" s="168">
        <f ca="1">+AB153-(AB153*$AA$1)</f>
        <v>149.81511588239596</v>
      </c>
      <c r="AD153" s="28">
        <f ca="1">+U153/M153-1</f>
        <v>1.721098181154046E-2</v>
      </c>
      <c r="AE153" s="48">
        <f t="shared" ca="1" si="68"/>
        <v>0</v>
      </c>
      <c r="AF153" s="48">
        <f t="shared" ca="1" si="69"/>
        <v>5.1491731695357179E-3</v>
      </c>
      <c r="AG153" s="204">
        <f ca="1">AVERAGE($AF$5:$AF$257)</f>
        <v>3.9682539682539663E-3</v>
      </c>
      <c r="AH153" s="1" t="str">
        <f ca="1">IF(AF153&lt;AG153,"no","si")</f>
        <v>si</v>
      </c>
      <c r="AI153" s="28" t="str">
        <f ca="1">IF(G153="USD",+R153/J153-1,"-")</f>
        <v>-</v>
      </c>
    </row>
    <row r="154" spans="1:35" x14ac:dyDescent="0.2">
      <c r="A154" s="1">
        <v>1</v>
      </c>
      <c r="B154" s="1" t="e" vm="110">
        <v>#VALUE!</v>
      </c>
      <c r="D154" s="1" t="str" cm="1">
        <f t="array" aca="1" ref="D154" ca="1">_FV(B154,"Ticker symbol",TRUE)</f>
        <v>ALHG</v>
      </c>
      <c r="E154" s="27" cm="1">
        <f t="array" aca="1" ref="E154" ca="1">_FV(B154,"Price")</f>
        <v>1.7250000000000001</v>
      </c>
      <c r="F154" s="27" cm="1">
        <f t="array" aca="1" ref="F154" ca="1">_FV(B154,"open")</f>
        <v>1.7050000000000001</v>
      </c>
      <c r="G154" s="5" t="str" cm="1">
        <f t="array" aca="1" ref="G154" ca="1">_FV(B154,"Currency")</f>
        <v>EUR</v>
      </c>
      <c r="H154" s="5" t="s">
        <v>184</v>
      </c>
      <c r="I154" s="4">
        <v>46027</v>
      </c>
      <c r="J154" s="18"/>
      <c r="K154" s="1">
        <v>10000</v>
      </c>
      <c r="L154" s="10">
        <v>1.55</v>
      </c>
      <c r="M154" s="5">
        <f>+K154*L154+O154</f>
        <v>15520.77</v>
      </c>
      <c r="N154" s="5">
        <f ca="1">IF(G154="USD",M154*J154,+K154*L154+O154)</f>
        <v>15520.77</v>
      </c>
      <c r="O154" s="1">
        <v>20.77</v>
      </c>
      <c r="Q154" s="4">
        <f t="shared" ca="1" si="66"/>
        <v>46140</v>
      </c>
      <c r="S154" s="1">
        <f>+K154</f>
        <v>10000</v>
      </c>
      <c r="T154" s="5">
        <f ca="1">+E154</f>
        <v>1.7250000000000001</v>
      </c>
      <c r="U154" s="5">
        <f ca="1">+S154*T154-W154</f>
        <v>17229</v>
      </c>
      <c r="V154" s="5">
        <f ca="1">IF(G154="USD",U154*R154,+S154*T154-W154)</f>
        <v>17229</v>
      </c>
      <c r="W154" s="1">
        <v>21</v>
      </c>
      <c r="Y154" s="30">
        <f>IF(A154=0,V154-N154,0)</f>
        <v>0</v>
      </c>
      <c r="Z154" s="30">
        <f ca="1">+Y154-(Y154*$AA$1)</f>
        <v>0</v>
      </c>
      <c r="AB154" s="170">
        <f ca="1">IF(A154=1,+V154-N154,0)</f>
        <v>1708.2299999999996</v>
      </c>
      <c r="AC154" s="168">
        <f ca="1">+AB154-(AB154*$AA$1)</f>
        <v>1349.7962816262977</v>
      </c>
      <c r="AD154" s="28">
        <f ca="1">+U154/M154-1</f>
        <v>0.11006090548342629</v>
      </c>
      <c r="AE154" s="48">
        <f t="shared" ca="1" si="68"/>
        <v>0</v>
      </c>
      <c r="AF154" s="48">
        <f t="shared" ca="1" si="69"/>
        <v>7.2547533996618133E-3</v>
      </c>
      <c r="AG154" s="204">
        <f ca="1">AVERAGE($AF$5:$AF$257)</f>
        <v>3.9682539682539663E-3</v>
      </c>
      <c r="AH154" s="1" t="str">
        <f ca="1">IF(AF154&lt;AG154,"no","si")</f>
        <v>si</v>
      </c>
      <c r="AI154" s="28" t="str">
        <f ca="1">IF(G154="USD",+R154/J154-1,"-")</f>
        <v>-</v>
      </c>
    </row>
    <row r="155" spans="1:35" x14ac:dyDescent="0.2">
      <c r="A155" s="14">
        <v>1</v>
      </c>
      <c r="B155" s="14" t="e" vm="111">
        <v>#VALUE!</v>
      </c>
      <c r="C155" s="14"/>
      <c r="D155" s="1" t="str" cm="1">
        <f t="array" aca="1" ref="D155" ca="1">_FV(B155,"Ticker symbol",TRUE)</f>
        <v>MARA</v>
      </c>
      <c r="E155" s="25" cm="1">
        <f t="array" aca="1" ref="E155" ca="1">_FV(B155,"Price")</f>
        <v>11.18</v>
      </c>
      <c r="F155" s="25" cm="1">
        <f t="array" aca="1" ref="F155" ca="1">_FV(B155,"open")</f>
        <v>11.548</v>
      </c>
      <c r="G155" s="5" t="str" cm="1">
        <f t="array" aca="1" ref="G155" ca="1">_FV(B155,"Currency")</f>
        <v>USD</v>
      </c>
      <c r="H155" s="5" t="s">
        <v>26</v>
      </c>
      <c r="I155" s="16">
        <v>45789</v>
      </c>
      <c r="J155" s="172">
        <v>0.90210000000000001</v>
      </c>
      <c r="K155" s="14">
        <f>366</f>
        <v>366</v>
      </c>
      <c r="L155" s="19">
        <v>16.16</v>
      </c>
      <c r="M155" s="5">
        <f t="shared" si="35"/>
        <v>5929.56</v>
      </c>
      <c r="N155" s="5">
        <f t="shared" ca="1" si="36"/>
        <v>5349.0560760000008</v>
      </c>
      <c r="O155" s="14">
        <v>15</v>
      </c>
      <c r="P155" s="14"/>
      <c r="Q155" s="4">
        <f t="shared" ca="1" si="66"/>
        <v>46140</v>
      </c>
      <c r="R155" s="8">
        <f ca="1">+$M$551</f>
        <v>0.85299999999999998</v>
      </c>
      <c r="S155" s="1">
        <f t="shared" si="71"/>
        <v>366</v>
      </c>
      <c r="T155" s="5">
        <f t="shared" ca="1" si="39"/>
        <v>11.18</v>
      </c>
      <c r="U155" s="5">
        <f t="shared" ca="1" si="40"/>
        <v>4076.88</v>
      </c>
      <c r="V155" s="5">
        <f t="shared" ca="1" si="41"/>
        <v>3477.5786400000002</v>
      </c>
      <c r="W155" s="14">
        <v>15</v>
      </c>
      <c r="X155" s="17"/>
      <c r="Y155" s="30">
        <f t="shared" si="64"/>
        <v>0</v>
      </c>
      <c r="Z155" s="30">
        <f t="shared" ca="1" si="65"/>
        <v>0</v>
      </c>
      <c r="AA155" s="14"/>
      <c r="AB155" s="170">
        <f t="shared" ca="1" si="72"/>
        <v>-1871.4774360000006</v>
      </c>
      <c r="AC155" s="168">
        <f t="shared" ca="1" si="73"/>
        <v>-1478.7899078346118</v>
      </c>
      <c r="AD155" s="28">
        <f t="shared" ca="1" si="44"/>
        <v>-0.31244814117742292</v>
      </c>
      <c r="AE155" s="48">
        <f t="shared" ca="1" si="68"/>
        <v>0</v>
      </c>
      <c r="AF155" s="48">
        <f t="shared" ca="1" si="69"/>
        <v>2.5002678831232395E-3</v>
      </c>
      <c r="AG155" s="204">
        <f ca="1">AVERAGE($AF$5:$AF$257)</f>
        <v>3.9682539682539663E-3</v>
      </c>
      <c r="AH155" s="1" t="str">
        <f t="shared" ca="1" si="45"/>
        <v>no</v>
      </c>
      <c r="AI155" s="28">
        <f t="shared" ca="1" si="67"/>
        <v>-5.4428555592506367E-2</v>
      </c>
    </row>
    <row r="156" spans="1:35" x14ac:dyDescent="0.2">
      <c r="A156" s="14">
        <v>1</v>
      </c>
      <c r="B156" s="14" t="e" vm="112">
        <v>#VALUE!</v>
      </c>
      <c r="C156" s="14"/>
      <c r="D156" s="1" t="str" cm="1">
        <f t="array" aca="1" ref="D156" ca="1">_FV(B156,"Ticker symbol",TRUE)</f>
        <v>MAS</v>
      </c>
      <c r="E156" s="25" cm="1">
        <f t="array" aca="1" ref="E156" ca="1">_FV(B156,"Price")</f>
        <v>74.239999999999995</v>
      </c>
      <c r="F156" s="25" cm="1">
        <f t="array" aca="1" ref="F156" ca="1">_FV(B156,"open")</f>
        <v>74.489999999999995</v>
      </c>
      <c r="G156" s="5" t="str" cm="1">
        <f t="array" aca="1" ref="G156" ca="1">_FV(B156,"Currency")</f>
        <v>USD</v>
      </c>
      <c r="H156" s="5" t="s">
        <v>183</v>
      </c>
      <c r="I156" s="16">
        <v>45622</v>
      </c>
      <c r="J156" s="172">
        <v>0.95369999999999999</v>
      </c>
      <c r="K156" s="14">
        <v>120</v>
      </c>
      <c r="L156" s="19">
        <v>81.010000000000005</v>
      </c>
      <c r="M156" s="5">
        <f t="shared" si="35"/>
        <v>9736.2000000000007</v>
      </c>
      <c r="N156" s="5">
        <f t="shared" ca="1" si="36"/>
        <v>9285.4139400000004</v>
      </c>
      <c r="O156" s="14">
        <v>15</v>
      </c>
      <c r="P156" s="14"/>
      <c r="Q156" s="4">
        <f t="shared" ca="1" si="66"/>
        <v>46140</v>
      </c>
      <c r="R156" s="8">
        <f ca="1">+$M$551</f>
        <v>0.85299999999999998</v>
      </c>
      <c r="S156" s="1">
        <f t="shared" si="71"/>
        <v>120</v>
      </c>
      <c r="T156" s="5">
        <f t="shared" ca="1" si="39"/>
        <v>74.239999999999995</v>
      </c>
      <c r="U156" s="5">
        <f t="shared" ca="1" si="40"/>
        <v>8893.7999999999993</v>
      </c>
      <c r="V156" s="5">
        <f t="shared" ca="1" si="41"/>
        <v>7586.411399999999</v>
      </c>
      <c r="W156" s="14">
        <v>15</v>
      </c>
      <c r="X156" s="17"/>
      <c r="Y156" s="30">
        <f t="shared" si="64"/>
        <v>0</v>
      </c>
      <c r="Z156" s="30">
        <f t="shared" ca="1" si="65"/>
        <v>0</v>
      </c>
      <c r="AA156" s="14"/>
      <c r="AB156" s="170">
        <f t="shared" ca="1" si="72"/>
        <v>-1699.0025400000013</v>
      </c>
      <c r="AC156" s="168">
        <f t="shared" ca="1" si="73"/>
        <v>-1342.5049969650677</v>
      </c>
      <c r="AD156" s="28">
        <f t="shared" ca="1" si="44"/>
        <v>-8.6522462562396152E-2</v>
      </c>
      <c r="AE156" s="48">
        <f t="shared" ca="1" si="68"/>
        <v>0</v>
      </c>
      <c r="AF156" s="48">
        <f t="shared" ca="1" si="69"/>
        <v>4.3402091744470274E-3</v>
      </c>
      <c r="AG156" s="204">
        <f ca="1">AVERAGE($AF$5:$AF$257)</f>
        <v>3.9682539682539663E-3</v>
      </c>
      <c r="AH156" s="1" t="str">
        <f t="shared" ca="1" si="45"/>
        <v>si</v>
      </c>
      <c r="AI156" s="28">
        <f t="shared" ca="1" si="67"/>
        <v>-0.10558875956799829</v>
      </c>
    </row>
    <row r="157" spans="1:35" x14ac:dyDescent="0.2">
      <c r="A157" s="1">
        <v>1</v>
      </c>
      <c r="B157" s="14" t="e" vm="113">
        <v>#VALUE!</v>
      </c>
      <c r="D157" s="1" t="str" cm="1">
        <f t="array" aca="1" ref="D157" ca="1">_FV(B157,"Ticker symbol",TRUE)</f>
        <v>MKC</v>
      </c>
      <c r="E157" s="25" cm="1">
        <f t="array" aca="1" ref="E157" ca="1">_FV(B157,"Price")</f>
        <v>50.4</v>
      </c>
      <c r="F157" s="25" cm="1">
        <f t="array" aca="1" ref="F157" ca="1">_FV(B157,"open")</f>
        <v>51.28</v>
      </c>
      <c r="G157" s="5" t="str" cm="1">
        <f t="array" aca="1" ref="G157" ca="1">_FV(B157,"Currency")</f>
        <v>USD</v>
      </c>
      <c r="H157" s="5" t="s">
        <v>183</v>
      </c>
      <c r="I157" s="4">
        <v>45120</v>
      </c>
      <c r="J157" s="172">
        <v>0.89424999999999999</v>
      </c>
      <c r="K157" s="1">
        <v>125</v>
      </c>
      <c r="L157" s="10">
        <v>84.8</v>
      </c>
      <c r="M157" s="5">
        <f t="shared" si="35"/>
        <v>10615</v>
      </c>
      <c r="N157" s="5">
        <f t="shared" ca="1" si="36"/>
        <v>9492.463749999999</v>
      </c>
      <c r="O157" s="1">
        <v>15</v>
      </c>
      <c r="Q157" s="4">
        <f t="shared" ca="1" si="66"/>
        <v>46140</v>
      </c>
      <c r="R157" s="8">
        <f ca="1">+$M$551</f>
        <v>0.85299999999999998</v>
      </c>
      <c r="S157" s="1">
        <f t="shared" si="71"/>
        <v>125</v>
      </c>
      <c r="T157" s="5">
        <f t="shared" ca="1" si="39"/>
        <v>50.4</v>
      </c>
      <c r="U157" s="5">
        <f t="shared" ca="1" si="40"/>
        <v>6284.98</v>
      </c>
      <c r="V157" s="5">
        <f t="shared" ca="1" si="41"/>
        <v>5361.0879399999994</v>
      </c>
      <c r="W157" s="1">
        <v>15.02</v>
      </c>
      <c r="Y157" s="30">
        <f t="shared" si="64"/>
        <v>0</v>
      </c>
      <c r="Z157" s="30">
        <f t="shared" ca="1" si="65"/>
        <v>0</v>
      </c>
      <c r="AB157" s="170">
        <f t="shared" ca="1" si="72"/>
        <v>-4131.3758099999995</v>
      </c>
      <c r="AC157" s="168">
        <f t="shared" ca="1" si="73"/>
        <v>-3264.4993392803281</v>
      </c>
      <c r="AD157" s="28">
        <f t="shared" ca="1" si="44"/>
        <v>-0.4079152143193594</v>
      </c>
      <c r="AE157" s="48">
        <f t="shared" ca="1" si="68"/>
        <v>0</v>
      </c>
      <c r="AF157" s="48">
        <f t="shared" ca="1" si="69"/>
        <v>4.4369888646941498E-3</v>
      </c>
      <c r="AG157" s="204">
        <f ca="1">AVERAGE($AF$5:$AF$257)</f>
        <v>3.9682539682539663E-3</v>
      </c>
      <c r="AH157" s="1" t="str">
        <f t="shared" ca="1" si="45"/>
        <v>si</v>
      </c>
      <c r="AI157" s="28">
        <f t="shared" ca="1" si="67"/>
        <v>-4.6128040257198744E-2</v>
      </c>
    </row>
    <row r="158" spans="1:35" x14ac:dyDescent="0.2">
      <c r="A158" s="14">
        <v>1</v>
      </c>
      <c r="B158" s="14" t="e" vm="114">
        <v>#VALUE!</v>
      </c>
      <c r="C158" s="14"/>
      <c r="D158" s="1" t="str" cm="1">
        <f t="array" aca="1" ref="D158" ca="1">_FV(B158,"Ticker symbol",TRUE)</f>
        <v>MDT</v>
      </c>
      <c r="E158" s="25" cm="1">
        <f t="array" aca="1" ref="E158" ca="1">_FV(B158,"Price")</f>
        <v>82.92</v>
      </c>
      <c r="F158" s="25" cm="1">
        <f t="array" aca="1" ref="F158" ca="1">_FV(B158,"open")</f>
        <v>83.12</v>
      </c>
      <c r="G158" s="5" t="str" cm="1">
        <f t="array" aca="1" ref="G158" ca="1">_FV(B158,"Currency")</f>
        <v>USD</v>
      </c>
      <c r="H158" s="5" t="s">
        <v>128</v>
      </c>
      <c r="I158" s="16">
        <v>45540</v>
      </c>
      <c r="J158" s="172">
        <v>0.90375000000000005</v>
      </c>
      <c r="K158" s="14">
        <v>100</v>
      </c>
      <c r="L158" s="19">
        <v>90.8</v>
      </c>
      <c r="M158" s="5">
        <f t="shared" si="35"/>
        <v>9081.7999999999993</v>
      </c>
      <c r="N158" s="5">
        <f t="shared" ca="1" si="36"/>
        <v>8207.6767500000005</v>
      </c>
      <c r="O158" s="14">
        <v>1.8</v>
      </c>
      <c r="P158" s="14"/>
      <c r="Q158" s="4">
        <f t="shared" ca="1" si="66"/>
        <v>46140</v>
      </c>
      <c r="R158" s="8">
        <f ca="1">+$M$551</f>
        <v>0.85299999999999998</v>
      </c>
      <c r="S158" s="1">
        <f t="shared" si="71"/>
        <v>100</v>
      </c>
      <c r="T158" s="5">
        <f t="shared" ca="1" si="39"/>
        <v>82.92</v>
      </c>
      <c r="U158" s="5">
        <f t="shared" ca="1" si="40"/>
        <v>8290.2000000000007</v>
      </c>
      <c r="V158" s="5">
        <f t="shared" ca="1" si="41"/>
        <v>7071.5406000000003</v>
      </c>
      <c r="W158" s="14">
        <v>1.8</v>
      </c>
      <c r="X158" s="17"/>
      <c r="Y158" s="30">
        <f t="shared" si="64"/>
        <v>0</v>
      </c>
      <c r="Z158" s="30">
        <f t="shared" ca="1" si="65"/>
        <v>0</v>
      </c>
      <c r="AA158" s="14"/>
      <c r="AB158" s="170">
        <f t="shared" ca="1" si="72"/>
        <v>-1136.1361500000003</v>
      </c>
      <c r="AC158" s="168">
        <f t="shared" ca="1" si="73"/>
        <v>-897.74348342507642</v>
      </c>
      <c r="AD158" s="28">
        <f t="shared" ca="1" si="44"/>
        <v>-8.716333766433948E-2</v>
      </c>
      <c r="AE158" s="48">
        <f t="shared" ca="1" si="68"/>
        <v>0</v>
      </c>
      <c r="AF158" s="48">
        <f t="shared" ca="1" si="69"/>
        <v>3.8364508207639008E-3</v>
      </c>
      <c r="AG158" s="204">
        <f ca="1">AVERAGE($AF$5:$AF$257)</f>
        <v>3.9682539682539663E-3</v>
      </c>
      <c r="AH158" s="1" t="str">
        <f t="shared" ca="1" si="45"/>
        <v>no</v>
      </c>
      <c r="AI158" s="28">
        <f t="shared" ca="1" si="67"/>
        <v>-5.6154910096818833E-2</v>
      </c>
    </row>
    <row r="159" spans="1:35" x14ac:dyDescent="0.2">
      <c r="A159" s="1">
        <v>1</v>
      </c>
      <c r="B159" s="1" t="e" vm="115">
        <v>#VALUE!</v>
      </c>
      <c r="D159" s="1" t="str" cm="1">
        <f t="array" aca="1" ref="D159" ca="1">_FV(B159,"Ticker symbol",TRUE)</f>
        <v>MFEB</v>
      </c>
      <c r="E159" s="27" cm="1">
        <f t="array" aca="1" ref="E159" ca="1">_FV(B159,"Price")</f>
        <v>3.7360000000000002</v>
      </c>
      <c r="F159" s="27" cm="1">
        <f t="array" aca="1" ref="F159" ca="1">_FV(B159,"open")</f>
        <v>3.8159999999999998</v>
      </c>
      <c r="G159" s="5" t="str" cm="1">
        <f t="array" aca="1" ref="G159" ca="1">_FV(B159,"Currency")</f>
        <v>EUR</v>
      </c>
      <c r="H159" s="5" t="s">
        <v>115</v>
      </c>
      <c r="I159" s="4">
        <v>43518</v>
      </c>
      <c r="J159" s="18"/>
      <c r="K159" s="1">
        <v>3153</v>
      </c>
      <c r="L159" s="10">
        <v>4.6440000000000001</v>
      </c>
      <c r="M159" s="5">
        <f t="shared" si="35"/>
        <v>14657.532000000001</v>
      </c>
      <c r="N159" s="5">
        <f t="shared" ca="1" si="36"/>
        <v>14657.532000000001</v>
      </c>
      <c r="O159" s="1">
        <v>15</v>
      </c>
      <c r="Q159" s="4">
        <f t="shared" ca="1" si="66"/>
        <v>46140</v>
      </c>
      <c r="S159" s="1">
        <f t="shared" si="71"/>
        <v>3153</v>
      </c>
      <c r="T159" s="5">
        <f t="shared" ca="1" si="39"/>
        <v>3.7360000000000002</v>
      </c>
      <c r="U159" s="5">
        <f t="shared" ca="1" si="40"/>
        <v>11764.608</v>
      </c>
      <c r="V159" s="5">
        <f t="shared" ca="1" si="41"/>
        <v>11764.608</v>
      </c>
      <c r="W159" s="1">
        <v>15</v>
      </c>
      <c r="Y159" s="30">
        <f t="shared" ref="Y159:Y202" si="74">IF(A159=0,V159-N159,0)</f>
        <v>0</v>
      </c>
      <c r="Z159" s="30">
        <f t="shared" ref="Z159:Z202" ca="1" si="75">+Y159-(Y159*$AA$1)</f>
        <v>0</v>
      </c>
      <c r="AB159" s="170">
        <f t="shared" ca="1" si="72"/>
        <v>-2892.9240000000009</v>
      </c>
      <c r="AC159" s="168">
        <f t="shared" ca="1" si="73"/>
        <v>-2285.9088402776429</v>
      </c>
      <c r="AD159" s="28">
        <f t="shared" ca="1" si="44"/>
        <v>-0.19736774240028954</v>
      </c>
      <c r="AE159" s="48">
        <f t="shared" ca="1" si="68"/>
        <v>0</v>
      </c>
      <c r="AF159" s="48">
        <f t="shared" ca="1" si="69"/>
        <v>6.8512567422654817E-3</v>
      </c>
      <c r="AG159" s="204">
        <f ca="1">AVERAGE($AF$5:$AF$257)</f>
        <v>3.9682539682539663E-3</v>
      </c>
      <c r="AH159" s="1" t="str">
        <f t="shared" ca="1" si="45"/>
        <v>si</v>
      </c>
      <c r="AI159" s="28" t="str">
        <f t="shared" ca="1" si="67"/>
        <v>-</v>
      </c>
    </row>
    <row r="160" spans="1:35" x14ac:dyDescent="0.2">
      <c r="A160" s="1">
        <v>1</v>
      </c>
      <c r="B160" s="1" t="e" vm="116">
        <v>#VALUE!</v>
      </c>
      <c r="D160" s="1" t="str" cm="1">
        <f t="array" aca="1" ref="D160" ca="1">_FV(B160,"Ticker symbol",TRUE)</f>
        <v>MSFT</v>
      </c>
      <c r="E160" s="25" cm="1">
        <f t="array" aca="1" ref="E160" ca="1">_FV(B160,"Price")</f>
        <v>424.82</v>
      </c>
      <c r="F160" s="25" cm="1">
        <f t="array" aca="1" ref="F160" ca="1">_FV(B160,"open")</f>
        <v>422.375</v>
      </c>
      <c r="G160" s="5" t="str" cm="1">
        <f t="array" aca="1" ref="G160" ca="1">_FV(B160,"Currency")</f>
        <v>USD</v>
      </c>
      <c r="H160" s="5" t="s">
        <v>183</v>
      </c>
      <c r="I160" s="4">
        <v>45121</v>
      </c>
      <c r="J160" s="172">
        <v>0.94840000000000002</v>
      </c>
      <c r="K160" s="1">
        <v>23</v>
      </c>
      <c r="L160" s="10">
        <v>443</v>
      </c>
      <c r="M160" s="5">
        <f t="shared" ref="M160:M238" si="76">+K160*L160+O160</f>
        <v>10204</v>
      </c>
      <c r="N160" s="5">
        <f t="shared" ref="N160:N238" ca="1" si="77">IF(G160="USD",M160*J160,+K160*L160+O160)</f>
        <v>9677.4735999999994</v>
      </c>
      <c r="O160" s="1">
        <v>15</v>
      </c>
      <c r="Q160" s="4">
        <f t="shared" ref="Q160:Q238" ca="1" si="78">TODAY()</f>
        <v>46140</v>
      </c>
      <c r="R160" s="8">
        <f ca="1">+$M$551</f>
        <v>0.85299999999999998</v>
      </c>
      <c r="S160" s="1">
        <f t="shared" si="71"/>
        <v>23</v>
      </c>
      <c r="T160" s="5">
        <f t="shared" ref="T160:T238" ca="1" si="79">+E160</f>
        <v>424.82</v>
      </c>
      <c r="U160" s="5">
        <f t="shared" ref="U160:U238" ca="1" si="80">+S160*T160-W160</f>
        <v>9755.86</v>
      </c>
      <c r="V160" s="5">
        <f t="shared" ref="V160:V238" ca="1" si="81">IF(G160="USD",U160*R160,+S160*T160-W160)</f>
        <v>8321.7485799999995</v>
      </c>
      <c r="W160" s="1">
        <v>15</v>
      </c>
      <c r="Y160" s="30">
        <f t="shared" si="74"/>
        <v>0</v>
      </c>
      <c r="Z160" s="30">
        <f t="shared" ca="1" si="75"/>
        <v>0</v>
      </c>
      <c r="AB160" s="170">
        <f t="shared" ca="1" si="72"/>
        <v>-1355.7250199999999</v>
      </c>
      <c r="AC160" s="168">
        <f t="shared" ca="1" si="73"/>
        <v>-1071.2565584867016</v>
      </c>
      <c r="AD160" s="28">
        <f t="shared" ref="AD160:AD238" ca="1" si="82">+U160/M160-1</f>
        <v>-4.3918071344570708E-2</v>
      </c>
      <c r="AE160" s="48">
        <f t="shared" ca="1" si="68"/>
        <v>0</v>
      </c>
      <c r="AF160" s="48">
        <f t="shared" ca="1" si="69"/>
        <v>4.5234665870145258E-3</v>
      </c>
      <c r="AG160" s="204">
        <f ca="1">AVERAGE($AF$5:$AF$257)</f>
        <v>3.9682539682539663E-3</v>
      </c>
      <c r="AH160" s="1" t="str">
        <f t="shared" ref="AH160:AH238" ca="1" si="83">IF(AF160&lt;AG160,"no","si")</f>
        <v>si</v>
      </c>
      <c r="AI160" s="28">
        <f t="shared" ref="AI160:AI171" ca="1" si="84">IF(G160="USD",+R160/J160-1,"-")</f>
        <v>-0.10059046815689587</v>
      </c>
    </row>
    <row r="161" spans="1:35" x14ac:dyDescent="0.2">
      <c r="A161" s="1">
        <v>1</v>
      </c>
      <c r="B161" s="1" t="e" vm="117">
        <v>#VALUE!</v>
      </c>
      <c r="D161" s="1" t="str" cm="1">
        <f t="array" aca="1" ref="D161" ca="1">_FV(B161,"Ticker symbol",TRUE)</f>
        <v>MSTR</v>
      </c>
      <c r="E161" s="25" cm="1">
        <f t="array" aca="1" ref="E161" ca="1">_FV(B161,"Price")</f>
        <v>169.2</v>
      </c>
      <c r="F161" s="25" cm="1">
        <f t="array" aca="1" ref="F161" ca="1">_FV(B161,"open")</f>
        <v>170.92</v>
      </c>
      <c r="G161" s="5" t="str" cm="1">
        <f t="array" aca="1" ref="G161" ca="1">_FV(B161,"Currency")</f>
        <v>USD</v>
      </c>
      <c r="H161" s="5" t="s">
        <v>204</v>
      </c>
      <c r="I161" s="4">
        <v>46036</v>
      </c>
      <c r="J161" s="172">
        <v>0.85809999999999997</v>
      </c>
      <c r="K161" s="1">
        <v>24.83</v>
      </c>
      <c r="L161" s="10">
        <v>181.23</v>
      </c>
      <c r="M161" s="5">
        <f>+K161*L161+O161</f>
        <v>4499.9408999999996</v>
      </c>
      <c r="N161" s="5">
        <f ca="1">IF(G161="USD",M161*J161,+K161*L161+O161)</f>
        <v>3861.3992862899995</v>
      </c>
      <c r="O161" s="1">
        <v>0</v>
      </c>
      <c r="Q161" s="4">
        <f t="shared" ca="1" si="78"/>
        <v>46140</v>
      </c>
      <c r="R161" s="8">
        <f ca="1">+$M$551</f>
        <v>0.85299999999999998</v>
      </c>
      <c r="S161" s="1">
        <f>+K161</f>
        <v>24.83</v>
      </c>
      <c r="T161" s="5">
        <f ca="1">+E161</f>
        <v>169.2</v>
      </c>
      <c r="U161" s="5">
        <f ca="1">+S161*T161-W161</f>
        <v>4201.2359999999999</v>
      </c>
      <c r="V161" s="5">
        <f ca="1">IF(G161="USD",U161*R161,+S161*T161-W161)</f>
        <v>3583.6543079999997</v>
      </c>
      <c r="W161" s="1">
        <v>0</v>
      </c>
      <c r="Y161" s="30">
        <f>IF(A161=0,V161-N161,0)</f>
        <v>0</v>
      </c>
      <c r="Z161" s="30">
        <f ca="1">+Y161-(Y161*$AA$1)</f>
        <v>0</v>
      </c>
      <c r="AB161" s="170">
        <f ca="1">IF(A161=1,+V161-N161,0)</f>
        <v>-277.74497828999984</v>
      </c>
      <c r="AC161" s="168">
        <f ca="1">+AB161-(AB161*$AA$1)</f>
        <v>-219.46642954181735</v>
      </c>
      <c r="AD161" s="28">
        <f ca="1">+U161/M161-1</f>
        <v>-6.6379738453898329E-2</v>
      </c>
      <c r="AE161" s="48">
        <f t="shared" ca="1" si="68"/>
        <v>0</v>
      </c>
      <c r="AF161" s="48">
        <f t="shared" ca="1" si="69"/>
        <v>1.8049039834791749E-3</v>
      </c>
      <c r="AG161" s="204">
        <f ca="1">AVERAGE($AF$5:$AF$257)</f>
        <v>3.9682539682539663E-3</v>
      </c>
      <c r="AH161" s="1" t="str">
        <f ca="1">IF(AF161&lt;AG161,"no","si")</f>
        <v>no</v>
      </c>
      <c r="AI161" s="28">
        <f ca="1">IF(G161="USD",+R161/J161-1,"-")</f>
        <v>-5.9433632443770534E-3</v>
      </c>
    </row>
    <row r="162" spans="1:35" x14ac:dyDescent="0.2">
      <c r="A162" s="1">
        <v>1</v>
      </c>
      <c r="B162" s="1" t="e" vm="117">
        <v>#VALUE!</v>
      </c>
      <c r="D162" s="1" t="str" cm="1">
        <f t="array" aca="1" ref="D162" ca="1">_FV(B162,"Ticker symbol",TRUE)</f>
        <v>MSTR</v>
      </c>
      <c r="E162" s="25" cm="1">
        <f t="array" aca="1" ref="E162" ca="1">_FV(B162,"Price")</f>
        <v>169.2</v>
      </c>
      <c r="F162" s="25" cm="1">
        <f t="array" aca="1" ref="F162" ca="1">_FV(B162,"open")</f>
        <v>170.92</v>
      </c>
      <c r="G162" s="5" t="str" cm="1">
        <f t="array" aca="1" ref="G162" ca="1">_FV(B162,"Currency")</f>
        <v>USD</v>
      </c>
      <c r="H162" s="5" t="s">
        <v>128</v>
      </c>
      <c r="I162" s="4">
        <v>46098</v>
      </c>
      <c r="J162" s="172">
        <v>0.86750000000000005</v>
      </c>
      <c r="K162" s="1">
        <v>25</v>
      </c>
      <c r="L162" s="10">
        <v>149.5</v>
      </c>
      <c r="M162" s="5">
        <f>+K162*L162+O162</f>
        <v>3738.5</v>
      </c>
      <c r="N162" s="5">
        <f ca="1">IF(G162="USD",M162*J162,+K162*L162+O162)</f>
        <v>3243.1487500000003</v>
      </c>
      <c r="O162" s="1">
        <v>1</v>
      </c>
      <c r="Q162" s="4">
        <f t="shared" ca="1" si="78"/>
        <v>46140</v>
      </c>
      <c r="R162" s="8">
        <f ca="1">+$M$551</f>
        <v>0.85299999999999998</v>
      </c>
      <c r="S162" s="1">
        <f>+K162</f>
        <v>25</v>
      </c>
      <c r="T162" s="5">
        <f ca="1">+E162</f>
        <v>169.2</v>
      </c>
      <c r="U162" s="5">
        <f ca="1">+S162*T162-W162</f>
        <v>4229</v>
      </c>
      <c r="V162" s="5">
        <f ca="1">IF(G162="USD",U162*R162,+S162*T162-W162)</f>
        <v>3607.337</v>
      </c>
      <c r="W162" s="1">
        <v>1</v>
      </c>
      <c r="Y162" s="30">
        <f>IF(A162=0,V162-N162,0)</f>
        <v>0</v>
      </c>
      <c r="Z162" s="30">
        <f ca="1">+Y162-(Y162*$AA$1)</f>
        <v>0</v>
      </c>
      <c r="AB162" s="170">
        <f ca="1">IF(A162=1,+V162-N162,0)</f>
        <v>364.1882499999997</v>
      </c>
      <c r="AC162" s="168">
        <f ca="1">+AB162-(AB162*$AA$1)</f>
        <v>287.77152120147065</v>
      </c>
      <c r="AD162" s="28">
        <f ca="1">+U162/M162-1</f>
        <v>0.13120235388524804</v>
      </c>
      <c r="AE162" s="48">
        <f t="shared" ca="1" si="68"/>
        <v>0</v>
      </c>
      <c r="AF162" s="48">
        <f t="shared" ca="1" si="69"/>
        <v>1.5159199201889766E-3</v>
      </c>
      <c r="AG162" s="204">
        <f ca="1">AVERAGE($AF$5:$AF$257)</f>
        <v>3.9682539682539663E-3</v>
      </c>
      <c r="AH162" s="1" t="str">
        <f ca="1">IF(AF162&lt;AG162,"no","si")</f>
        <v>no</v>
      </c>
      <c r="AI162" s="28">
        <f ca="1">IF(G162="USD",+R162/J162-1,"-")</f>
        <v>-1.6714697406340129E-2</v>
      </c>
    </row>
    <row r="163" spans="1:35" x14ac:dyDescent="0.2">
      <c r="A163" s="1">
        <v>1</v>
      </c>
      <c r="B163" s="1" t="e" vm="118">
        <v>#VALUE!</v>
      </c>
      <c r="D163" s="1" t="str" cm="1">
        <f t="array" aca="1" ref="D163" ca="1">_FV(B163,"Ticker symbol",TRUE)</f>
        <v>MRNA</v>
      </c>
      <c r="E163" s="25" cm="1">
        <f t="array" aca="1" ref="E163" ca="1">_FV(B163,"Price")</f>
        <v>48.7</v>
      </c>
      <c r="F163" s="25" cm="1">
        <f t="array" aca="1" ref="F163" ca="1">_FV(B163,"open")</f>
        <v>50.63</v>
      </c>
      <c r="G163" s="5" t="str" cm="1">
        <f t="array" aca="1" ref="G163" ca="1">_FV(B163,"Currency")</f>
        <v>USD</v>
      </c>
      <c r="H163" s="5" t="s">
        <v>183</v>
      </c>
      <c r="I163" s="4">
        <v>45383</v>
      </c>
      <c r="J163" s="172">
        <v>0.93389</v>
      </c>
      <c r="K163" s="1">
        <v>69</v>
      </c>
      <c r="L163" s="10">
        <v>106.29</v>
      </c>
      <c r="M163" s="5">
        <f t="shared" si="76"/>
        <v>7349.01</v>
      </c>
      <c r="N163" s="5">
        <f t="shared" ca="1" si="77"/>
        <v>6863.1669489000005</v>
      </c>
      <c r="O163" s="1">
        <v>15</v>
      </c>
      <c r="Q163" s="4">
        <f t="shared" ca="1" si="78"/>
        <v>46140</v>
      </c>
      <c r="R163" s="8">
        <f ca="1">+$M$551</f>
        <v>0.85299999999999998</v>
      </c>
      <c r="S163" s="1">
        <f t="shared" si="71"/>
        <v>69</v>
      </c>
      <c r="T163" s="5">
        <f t="shared" ca="1" si="79"/>
        <v>48.7</v>
      </c>
      <c r="U163" s="5">
        <f t="shared" ca="1" si="80"/>
        <v>3345.3</v>
      </c>
      <c r="V163" s="5">
        <f t="shared" ca="1" si="81"/>
        <v>2853.5409</v>
      </c>
      <c r="W163" s="1">
        <v>15</v>
      </c>
      <c r="Y163" s="30">
        <f t="shared" si="74"/>
        <v>0</v>
      </c>
      <c r="Z163" s="30">
        <f t="shared" ca="1" si="75"/>
        <v>0</v>
      </c>
      <c r="AB163" s="170">
        <f t="shared" ca="1" si="72"/>
        <v>-4009.6260489000006</v>
      </c>
      <c r="AC163" s="168">
        <f t="shared" ca="1" si="73"/>
        <v>-3168.2960324529868</v>
      </c>
      <c r="AD163" s="28">
        <f t="shared" ca="1" si="82"/>
        <v>-0.54479582964236006</v>
      </c>
      <c r="AE163" s="48">
        <f t="shared" ca="1" si="68"/>
        <v>0</v>
      </c>
      <c r="AF163" s="48">
        <f t="shared" ca="1" si="69"/>
        <v>3.2079970101340895E-3</v>
      </c>
      <c r="AG163" s="204">
        <f ca="1">AVERAGE($AF$5:$AF$257)</f>
        <v>3.9682539682539663E-3</v>
      </c>
      <c r="AH163" s="1" t="str">
        <f t="shared" ca="1" si="83"/>
        <v>no</v>
      </c>
      <c r="AI163" s="28">
        <f t="shared" ca="1" si="84"/>
        <v>-8.661619676835608E-2</v>
      </c>
    </row>
    <row r="164" spans="1:35" x14ac:dyDescent="0.2">
      <c r="A164" s="14">
        <v>1</v>
      </c>
      <c r="B164" s="14" t="e" vm="119">
        <v>#VALUE!</v>
      </c>
      <c r="C164" s="14"/>
      <c r="D164" s="1" t="str" cm="1">
        <f t="array" aca="1" ref="D164" ca="1">_FV(B164,"Ticker symbol",TRUE)</f>
        <v>MONC</v>
      </c>
      <c r="E164" s="27" cm="1">
        <f t="array" aca="1" ref="E164" ca="1">_FV(B164,"Price")</f>
        <v>54.98</v>
      </c>
      <c r="F164" s="27" cm="1">
        <f t="array" aca="1" ref="F164" ca="1">_FV(B164,"open")</f>
        <v>54.1</v>
      </c>
      <c r="G164" s="5" t="str" cm="1">
        <f t="array" aca="1" ref="G164" ca="1">_FV(B164,"Currency")</f>
        <v>EUR</v>
      </c>
      <c r="H164" s="5" t="s">
        <v>115</v>
      </c>
      <c r="I164" s="16">
        <v>45356</v>
      </c>
      <c r="J164" s="18"/>
      <c r="K164" s="14">
        <v>120</v>
      </c>
      <c r="L164" s="19">
        <v>66</v>
      </c>
      <c r="M164" s="5">
        <f t="shared" si="76"/>
        <v>7940</v>
      </c>
      <c r="N164" s="5">
        <f t="shared" ca="1" si="77"/>
        <v>7940</v>
      </c>
      <c r="O164" s="14">
        <v>20</v>
      </c>
      <c r="P164" s="14"/>
      <c r="Q164" s="4">
        <f t="shared" ca="1" si="78"/>
        <v>46140</v>
      </c>
      <c r="S164" s="1">
        <f t="shared" si="71"/>
        <v>120</v>
      </c>
      <c r="T164" s="5">
        <f t="shared" ca="1" si="79"/>
        <v>54.98</v>
      </c>
      <c r="U164" s="5">
        <f t="shared" ca="1" si="80"/>
        <v>6577.5999999999995</v>
      </c>
      <c r="V164" s="5">
        <f t="shared" ca="1" si="81"/>
        <v>6577.5999999999995</v>
      </c>
      <c r="W164" s="14">
        <v>20</v>
      </c>
      <c r="Y164" s="30">
        <f t="shared" si="74"/>
        <v>0</v>
      </c>
      <c r="Z164" s="30">
        <f t="shared" ca="1" si="75"/>
        <v>0</v>
      </c>
      <c r="AB164" s="170">
        <f t="shared" ca="1" si="72"/>
        <v>-1362.4000000000005</v>
      </c>
      <c r="AC164" s="168">
        <f t="shared" ca="1" si="73"/>
        <v>-1076.5309437766982</v>
      </c>
      <c r="AD164" s="28">
        <f t="shared" ca="1" si="82"/>
        <v>-0.17158690176322422</v>
      </c>
      <c r="AE164" s="48">
        <f t="shared" ca="1" si="68"/>
        <v>0</v>
      </c>
      <c r="AF164" s="48">
        <f t="shared" ca="1" si="69"/>
        <v>3.7113327491686814E-3</v>
      </c>
      <c r="AG164" s="204">
        <f ca="1">AVERAGE($AF$5:$AF$257)</f>
        <v>3.9682539682539663E-3</v>
      </c>
      <c r="AH164" s="1" t="str">
        <f t="shared" ca="1" si="83"/>
        <v>no</v>
      </c>
      <c r="AI164" s="28" t="str">
        <f t="shared" ca="1" si="84"/>
        <v>-</v>
      </c>
    </row>
    <row r="165" spans="1:35" x14ac:dyDescent="0.2">
      <c r="A165" s="14">
        <v>1</v>
      </c>
      <c r="B165" s="14" t="e" vm="119">
        <v>#VALUE!</v>
      </c>
      <c r="C165" s="14"/>
      <c r="D165" s="1" t="str" cm="1">
        <f t="array" aca="1" ref="D165" ca="1">_FV(B165,"Ticker symbol",TRUE)</f>
        <v>MONC</v>
      </c>
      <c r="E165" s="27" cm="1">
        <f t="array" aca="1" ref="E165" ca="1">_FV(B165,"Price")</f>
        <v>54.98</v>
      </c>
      <c r="F165" s="27" cm="1">
        <f t="array" aca="1" ref="F165" ca="1">_FV(B165,"open")</f>
        <v>54.1</v>
      </c>
      <c r="G165" s="5" t="str" cm="1">
        <f t="array" aca="1" ref="G165" ca="1">_FV(B165,"Currency")</f>
        <v>EUR</v>
      </c>
      <c r="H165" s="5" t="s">
        <v>115</v>
      </c>
      <c r="I165" s="16">
        <v>45939</v>
      </c>
      <c r="J165" s="18"/>
      <c r="K165" s="14">
        <v>100</v>
      </c>
      <c r="L165" s="19">
        <v>51.82</v>
      </c>
      <c r="M165" s="5">
        <f>+K165*L165+O165</f>
        <v>5191.68</v>
      </c>
      <c r="N165" s="5">
        <f ca="1">IF(G165="USD",M165*J165,+K165*L165+O165)</f>
        <v>5191.68</v>
      </c>
      <c r="O165" s="14">
        <v>9.68</v>
      </c>
      <c r="P165" s="14"/>
      <c r="Q165" s="4">
        <f t="shared" ca="1" si="78"/>
        <v>46140</v>
      </c>
      <c r="S165" s="1">
        <f>+K165</f>
        <v>100</v>
      </c>
      <c r="T165" s="5">
        <f ca="1">+E165</f>
        <v>54.98</v>
      </c>
      <c r="U165" s="5">
        <f ca="1">+S165*T165-W165</f>
        <v>5488.32</v>
      </c>
      <c r="V165" s="5">
        <f ca="1">IF(G165="USD",U165*R165,+S165*T165-W165)</f>
        <v>5488.32</v>
      </c>
      <c r="W165" s="14">
        <v>9.68</v>
      </c>
      <c r="Y165" s="30">
        <f>IF(A165=0,V165-N165,0)</f>
        <v>0</v>
      </c>
      <c r="Z165" s="30">
        <f ca="1">+Y165-(Y165*$AA$1)</f>
        <v>0</v>
      </c>
      <c r="AB165" s="170">
        <f t="shared" ca="1" si="72"/>
        <v>296.63999999999942</v>
      </c>
      <c r="AC165" s="168">
        <f t="shared" ca="1" si="73"/>
        <v>234.39675511004037</v>
      </c>
      <c r="AD165" s="28">
        <f ca="1">+U165/M165-1</f>
        <v>5.7137573964497035E-2</v>
      </c>
      <c r="AE165" s="48">
        <f t="shared" ca="1" si="68"/>
        <v>0</v>
      </c>
      <c r="AF165" s="48">
        <f t="shared" ca="1" si="69"/>
        <v>2.4267068019148694E-3</v>
      </c>
      <c r="AG165" s="204">
        <f ca="1">AVERAGE($AF$5:$AF$257)</f>
        <v>3.9682539682539663E-3</v>
      </c>
      <c r="AH165" s="1" t="str">
        <f ca="1">IF(AF165&lt;AG165,"no","si")</f>
        <v>no</v>
      </c>
      <c r="AI165" s="28" t="str">
        <f ca="1">IF(G165="USD",+R165/J165-1,"-")</f>
        <v>-</v>
      </c>
    </row>
    <row r="166" spans="1:35" x14ac:dyDescent="0.2">
      <c r="A166" s="14">
        <v>1</v>
      </c>
      <c r="B166" s="14" t="e" vm="120">
        <v>#VALUE!</v>
      </c>
      <c r="C166" s="14"/>
      <c r="D166" s="1" t="str" cm="1">
        <f t="array" aca="1" ref="D166" ca="1">_FV(B166,"Ticker symbol",TRUE)</f>
        <v>MOH</v>
      </c>
      <c r="E166" s="25" cm="1">
        <f t="array" aca="1" ref="E166" ca="1">_FV(B166,"Price")</f>
        <v>179.29499999999999</v>
      </c>
      <c r="F166" s="27" cm="1">
        <f t="array" aca="1" ref="F166" ca="1">_FV(B166,"open")</f>
        <v>177.96</v>
      </c>
      <c r="G166" s="5" t="str" cm="1">
        <f t="array" aca="1" ref="G166" ca="1">_FV(B166,"Currency")</f>
        <v>USD</v>
      </c>
      <c r="H166" s="5" t="s">
        <v>128</v>
      </c>
      <c r="I166" s="16">
        <v>46139</v>
      </c>
      <c r="J166" s="172">
        <v>0.85170000000000001</v>
      </c>
      <c r="K166" s="14">
        <v>20</v>
      </c>
      <c r="L166" s="19">
        <v>178.1</v>
      </c>
      <c r="M166" s="5">
        <f>+K166*L166+O166</f>
        <v>3563</v>
      </c>
      <c r="N166" s="5">
        <f ca="1">IF(G166="USD",M166*J166,+K166*L166+O166)</f>
        <v>3034.6071000000002</v>
      </c>
      <c r="O166" s="14">
        <v>1</v>
      </c>
      <c r="P166" s="14"/>
      <c r="Q166" s="4">
        <f t="shared" ca="1" si="78"/>
        <v>46140</v>
      </c>
      <c r="R166" s="8">
        <f ca="1">+$M$551</f>
        <v>0.85299999999999998</v>
      </c>
      <c r="S166" s="1">
        <f>+K166</f>
        <v>20</v>
      </c>
      <c r="T166" s="5">
        <f ca="1">+E166</f>
        <v>179.29499999999999</v>
      </c>
      <c r="U166" s="5">
        <f ca="1">+S166*T166-W166</f>
        <v>3584.8999999999996</v>
      </c>
      <c r="V166" s="5">
        <f ca="1">IF(G166="USD",U166*R166,+S166*T166-W166)</f>
        <v>3057.9196999999995</v>
      </c>
      <c r="W166" s="14">
        <v>1</v>
      </c>
      <c r="Y166" s="30">
        <f>IF(A166=0,V166-N166,0)</f>
        <v>0</v>
      </c>
      <c r="Z166" s="30">
        <f ca="1">+Y166-(Y166*$AA$1)</f>
        <v>0</v>
      </c>
      <c r="AB166" s="170">
        <f t="shared" ref="AB166" ca="1" si="85">IF(A166=1,+V166-N166,0)</f>
        <v>23.312599999999293</v>
      </c>
      <c r="AC166" s="168">
        <f t="shared" ref="AC166" ca="1" si="86">+AB166-(AB166*$AA$1)</f>
        <v>18.42097422187895</v>
      </c>
      <c r="AD166" s="28">
        <f ca="1">+U166/M166-1</f>
        <v>6.1465057535783352E-3</v>
      </c>
      <c r="AE166" s="48">
        <f t="shared" ref="AE166" ca="1" si="87">+Z166/$Z$393</f>
        <v>0</v>
      </c>
      <c r="AF166" s="48">
        <f t="shared" ref="AF166" ca="1" si="88">+N166/$N$259</f>
        <v>1.4184429107165996E-3</v>
      </c>
      <c r="AG166" s="204">
        <f ca="1">AVERAGE($AF$5:$AF$257)</f>
        <v>3.9682539682539663E-3</v>
      </c>
      <c r="AH166" s="1" t="str">
        <f ca="1">IF(AF166&lt;AG166,"no","si")</f>
        <v>no</v>
      </c>
      <c r="AI166" s="28">
        <f ca="1">IF(G166="USD",+R166/J166-1,"-")</f>
        <v>1.5263590466125798E-3</v>
      </c>
    </row>
    <row r="167" spans="1:35" x14ac:dyDescent="0.2">
      <c r="A167" s="14">
        <v>1</v>
      </c>
      <c r="B167" s="14" t="e" vm="121">
        <v>#VALUE!</v>
      </c>
      <c r="C167" s="14"/>
      <c r="D167" s="1" t="str" cm="1">
        <f t="array" aca="1" ref="D167" ca="1">_FV(B167,"Ticker symbol",TRUE)</f>
        <v>MTX</v>
      </c>
      <c r="E167" s="25" cm="1">
        <f t="array" aca="1" ref="E167" ca="1">_FV(B167,"Price")</f>
        <v>72.260000000000005</v>
      </c>
      <c r="F167" s="25" cm="1">
        <f t="array" aca="1" ref="F167" ca="1">_FV(B167,"open")</f>
        <v>71.91</v>
      </c>
      <c r="G167" s="5" t="str" cm="1">
        <f t="array" aca="1" ref="G167" ca="1">_FV(B167,"Currency")</f>
        <v>USD</v>
      </c>
      <c r="H167" s="5" t="s">
        <v>128</v>
      </c>
      <c r="I167" s="16">
        <v>45866</v>
      </c>
      <c r="J167" s="172">
        <v>0.92810000000000004</v>
      </c>
      <c r="K167" s="14">
        <v>50</v>
      </c>
      <c r="L167" s="19">
        <v>64.010000000000005</v>
      </c>
      <c r="M167" s="5">
        <f>+K167*L167+O167</f>
        <v>3201.5000000000005</v>
      </c>
      <c r="N167" s="5">
        <f ca="1">IF(G167="USD",M167*J167,+K167*L167+O167)</f>
        <v>2971.3121500000007</v>
      </c>
      <c r="O167" s="14">
        <v>1</v>
      </c>
      <c r="P167" s="14"/>
      <c r="Q167" s="4">
        <f t="shared" ca="1" si="78"/>
        <v>46140</v>
      </c>
      <c r="R167" s="8">
        <f ca="1">+$M$551</f>
        <v>0.85299999999999998</v>
      </c>
      <c r="S167" s="1">
        <f>+K167</f>
        <v>50</v>
      </c>
      <c r="T167" s="5">
        <f ca="1">+E167</f>
        <v>72.260000000000005</v>
      </c>
      <c r="U167" s="5">
        <f ca="1">+S167*T167-W167</f>
        <v>3612.0000000000005</v>
      </c>
      <c r="V167" s="5">
        <f ca="1">IF(G167="USD",U167*R167,+S167*T167-W167)</f>
        <v>3081.0360000000005</v>
      </c>
      <c r="W167" s="14">
        <v>1</v>
      </c>
      <c r="Y167" s="30">
        <f>IF(A167=0,V167-N167,0)</f>
        <v>0</v>
      </c>
      <c r="Z167" s="30">
        <f ca="1">+Y167-(Y167*$AA$1)</f>
        <v>0</v>
      </c>
      <c r="AB167" s="170">
        <f t="shared" ca="1" si="72"/>
        <v>109.72384999999986</v>
      </c>
      <c r="AC167" s="168">
        <f t="shared" ca="1" si="73"/>
        <v>86.700763208538362</v>
      </c>
      <c r="AD167" s="28">
        <f ca="1">+U167/M167-1</f>
        <v>0.12822114633765413</v>
      </c>
      <c r="AE167" s="48">
        <f t="shared" ca="1" si="68"/>
        <v>0</v>
      </c>
      <c r="AF167" s="48">
        <f t="shared" ca="1" si="69"/>
        <v>1.3888574421029986E-3</v>
      </c>
      <c r="AG167" s="204">
        <f ca="1">AVERAGE($AF$5:$AF$257)</f>
        <v>3.9682539682539663E-3</v>
      </c>
      <c r="AH167" s="1" t="str">
        <f ca="1">IF(AF167&lt;AG167,"no","si")</f>
        <v>no</v>
      </c>
      <c r="AI167" s="28">
        <f ca="1">IF(G167="USD",+R167/J167-1,"-")</f>
        <v>-8.0918004525374454E-2</v>
      </c>
    </row>
    <row r="168" spans="1:35" x14ac:dyDescent="0.2">
      <c r="A168" s="1">
        <v>1</v>
      </c>
      <c r="B168" s="1" t="e" vm="122">
        <v>#VALUE!</v>
      </c>
      <c r="D168" s="1" t="str" cm="1">
        <f t="array" aca="1" ref="D168" ca="1">_FV(B168,"Ticker symbol",TRUE)</f>
        <v>NTGY</v>
      </c>
      <c r="E168" s="27" cm="1">
        <f t="array" aca="1" ref="E168" ca="1">_FV(B168,"Price")</f>
        <v>27.4</v>
      </c>
      <c r="F168" s="27" cm="1">
        <f t="array" aca="1" ref="F168" ca="1">_FV(B168,"open")</f>
        <v>27.1</v>
      </c>
      <c r="G168" s="5" t="str" cm="1">
        <f t="array" aca="1" ref="G168" ca="1">_FV(B168,"Currency")</f>
        <v>EUR</v>
      </c>
      <c r="H168" s="5" t="s">
        <v>115</v>
      </c>
      <c r="I168" s="4">
        <v>46119</v>
      </c>
      <c r="J168" s="172"/>
      <c r="K168" s="1">
        <v>489</v>
      </c>
      <c r="L168" s="10">
        <v>26.48</v>
      </c>
      <c r="M168" s="5">
        <f>+K168*L168+O168</f>
        <v>12997.72</v>
      </c>
      <c r="N168" s="5">
        <f ca="1">IF(G168="USD",M168*J168,+K168*L168+O168)</f>
        <v>12997.72</v>
      </c>
      <c r="O168" s="1">
        <v>49</v>
      </c>
      <c r="Q168" s="4">
        <f t="shared" ca="1" si="78"/>
        <v>46140</v>
      </c>
      <c r="S168" s="1">
        <f>+K168</f>
        <v>489</v>
      </c>
      <c r="T168" s="5">
        <f ca="1">+E168</f>
        <v>27.4</v>
      </c>
      <c r="U168" s="5">
        <f ca="1">+S168*T168-W168</f>
        <v>13349.599999999999</v>
      </c>
      <c r="V168" s="5">
        <f ca="1">IF(G168="USD",U168*R168,+S168*T168-W168)</f>
        <v>13349.599999999999</v>
      </c>
      <c r="W168" s="1">
        <v>49</v>
      </c>
      <c r="X168" s="17"/>
      <c r="Y168" s="30">
        <f>IF(A168=0,V168-N168,0)</f>
        <v>0</v>
      </c>
      <c r="Z168" s="30">
        <f ca="1">+Y168-(Y168*$AA$1)</f>
        <v>0</v>
      </c>
      <c r="AA168" s="14"/>
      <c r="AB168" s="170">
        <f ca="1">IF(A168=1,+V168-N168,0)</f>
        <v>351.8799999999992</v>
      </c>
      <c r="AC168" s="168">
        <f ca="1">+AB168-(AB168*$AA$1)</f>
        <v>278.04588116275954</v>
      </c>
      <c r="AD168" s="28">
        <f ca="1">+U168/M168-1</f>
        <v>2.7072440397238884E-2</v>
      </c>
      <c r="AE168" s="48">
        <f t="shared" ca="1" si="68"/>
        <v>0</v>
      </c>
      <c r="AF168" s="48">
        <f t="shared" ca="1" si="69"/>
        <v>6.0754236650534948E-3</v>
      </c>
      <c r="AG168" s="204">
        <f ca="1">AVERAGE($AF$5:$AF$257)</f>
        <v>3.9682539682539663E-3</v>
      </c>
      <c r="AH168" s="1" t="str">
        <f ca="1">IF(AF168&lt;AG168,"no","si")</f>
        <v>si</v>
      </c>
      <c r="AI168" s="28" t="str">
        <f ca="1">IF(G168="USD",+R168/J168-1,"-")</f>
        <v>-</v>
      </c>
    </row>
    <row r="169" spans="1:35" x14ac:dyDescent="0.2">
      <c r="A169" s="14">
        <v>1</v>
      </c>
      <c r="B169" s="14" t="e" vm="123">
        <v>#VALUE!</v>
      </c>
      <c r="C169" s="14"/>
      <c r="D169" s="1" t="str" cm="1">
        <f t="array" aca="1" ref="D169" ca="1">_FV(B169,"Ticker symbol",TRUE)</f>
        <v>NEOV</v>
      </c>
      <c r="E169" s="25" cm="1">
        <f t="array" aca="1" ref="E169" ca="1">_FV(B169,"Price")</f>
        <v>2.91</v>
      </c>
      <c r="F169" s="27" cm="1">
        <f t="array" aca="1" ref="F169" ca="1">_FV(B169,"open")</f>
        <v>2.78</v>
      </c>
      <c r="G169" s="5" t="str" cm="1">
        <f t="array" aca="1" ref="G169" ca="1">_FV(B169,"Currency")</f>
        <v>USD</v>
      </c>
      <c r="H169" s="5" t="s">
        <v>128</v>
      </c>
      <c r="I169" s="16">
        <v>45652</v>
      </c>
      <c r="J169" s="172">
        <v>0.95899999999999996</v>
      </c>
      <c r="K169" s="14">
        <v>450</v>
      </c>
      <c r="L169" s="19">
        <v>5.26</v>
      </c>
      <c r="M169" s="5">
        <f t="shared" si="76"/>
        <v>2369</v>
      </c>
      <c r="N169" s="5">
        <f t="shared" ca="1" si="77"/>
        <v>2271.8710000000001</v>
      </c>
      <c r="O169" s="14">
        <v>2</v>
      </c>
      <c r="P169" s="14"/>
      <c r="Q169" s="4">
        <f t="shared" ca="1" si="78"/>
        <v>46140</v>
      </c>
      <c r="R169" s="8">
        <f ca="1">+$M$551</f>
        <v>0.85299999999999998</v>
      </c>
      <c r="S169" s="1">
        <f t="shared" si="71"/>
        <v>450</v>
      </c>
      <c r="T169" s="5">
        <f t="shared" ca="1" si="79"/>
        <v>2.91</v>
      </c>
      <c r="U169" s="5">
        <f t="shared" ca="1" si="80"/>
        <v>1307.5</v>
      </c>
      <c r="V169" s="5">
        <f t="shared" ca="1" si="81"/>
        <v>1115.2974999999999</v>
      </c>
      <c r="W169" s="14">
        <v>2</v>
      </c>
      <c r="Y169" s="30">
        <f t="shared" si="74"/>
        <v>0</v>
      </c>
      <c r="Z169" s="30">
        <f t="shared" ca="1" si="75"/>
        <v>0</v>
      </c>
      <c r="AB169" s="170">
        <f t="shared" ca="1" si="72"/>
        <v>-1156.5735000000002</v>
      </c>
      <c r="AC169" s="168">
        <f t="shared" ca="1" si="73"/>
        <v>-913.89251431453226</v>
      </c>
      <c r="AD169" s="28">
        <f t="shared" ca="1" si="82"/>
        <v>-0.44807935837906288</v>
      </c>
      <c r="AE169" s="48">
        <f t="shared" ca="1" si="68"/>
        <v>0</v>
      </c>
      <c r="AF169" s="48">
        <f t="shared" ca="1" si="69"/>
        <v>1.0619230786129222E-3</v>
      </c>
      <c r="AG169" s="204">
        <f ca="1">AVERAGE($AF$5:$AF$257)</f>
        <v>3.9682539682539663E-3</v>
      </c>
      <c r="AH169" s="1" t="str">
        <f t="shared" ca="1" si="83"/>
        <v>no</v>
      </c>
      <c r="AI169" s="28">
        <f t="shared" ca="1" si="84"/>
        <v>-0.11053180396246087</v>
      </c>
    </row>
    <row r="170" spans="1:35" x14ac:dyDescent="0.2">
      <c r="A170" s="1">
        <v>1</v>
      </c>
      <c r="B170" s="1" t="e" vm="124">
        <v>#VALUE!</v>
      </c>
      <c r="D170" s="1" t="str" cm="1">
        <f t="array" aca="1" ref="D170" ca="1">_FV(B170,"Ticker symbol",TRUE)</f>
        <v>NEXI</v>
      </c>
      <c r="E170" s="27" cm="1">
        <f t="array" aca="1" ref="E170" ca="1">_FV(B170,"Price")</f>
        <v>3.8719999999999999</v>
      </c>
      <c r="F170" s="27" cm="1">
        <f t="array" aca="1" ref="F170" ca="1">_FV(B170,"open")</f>
        <v>3.7639999999999998</v>
      </c>
      <c r="G170" s="5" t="str" cm="1">
        <f t="array" aca="1" ref="G170" ca="1">_FV(B170,"Currency")</f>
        <v>EUR</v>
      </c>
      <c r="H170" s="5" t="s">
        <v>115</v>
      </c>
      <c r="I170" s="4">
        <v>45586</v>
      </c>
      <c r="J170" s="172"/>
      <c r="K170" s="1">
        <v>2000</v>
      </c>
      <c r="L170" s="10">
        <v>5.96</v>
      </c>
      <c r="M170" s="5">
        <f t="shared" si="76"/>
        <v>11946</v>
      </c>
      <c r="N170" s="5">
        <f t="shared" ca="1" si="77"/>
        <v>11946</v>
      </c>
      <c r="O170" s="1">
        <v>26</v>
      </c>
      <c r="Q170" s="4">
        <f t="shared" ca="1" si="78"/>
        <v>46140</v>
      </c>
      <c r="S170" s="1">
        <f t="shared" si="71"/>
        <v>2000</v>
      </c>
      <c r="T170" s="5">
        <f t="shared" ca="1" si="79"/>
        <v>3.8719999999999999</v>
      </c>
      <c r="U170" s="5">
        <f t="shared" ca="1" si="80"/>
        <v>7718</v>
      </c>
      <c r="V170" s="5">
        <f t="shared" ca="1" si="81"/>
        <v>7718</v>
      </c>
      <c r="W170" s="1">
        <v>26</v>
      </c>
      <c r="X170" s="17"/>
      <c r="Y170" s="30">
        <f t="shared" si="74"/>
        <v>0</v>
      </c>
      <c r="Z170" s="30">
        <f t="shared" ca="1" si="75"/>
        <v>0</v>
      </c>
      <c r="AA170" s="14"/>
      <c r="AB170" s="170">
        <f t="shared" ca="1" si="72"/>
        <v>-4228</v>
      </c>
      <c r="AC170" s="168">
        <f t="shared" ca="1" si="73"/>
        <v>-3340.8491120727231</v>
      </c>
      <c r="AD170" s="28">
        <f t="shared" ca="1" si="82"/>
        <v>-0.35392600033484012</v>
      </c>
      <c r="AE170" s="48">
        <f t="shared" ca="1" si="68"/>
        <v>0</v>
      </c>
      <c r="AF170" s="48">
        <f t="shared" ca="1" si="69"/>
        <v>5.5838263251346432E-3</v>
      </c>
      <c r="AG170" s="204">
        <f ca="1">AVERAGE($AF$5:$AF$257)</f>
        <v>3.9682539682539663E-3</v>
      </c>
      <c r="AH170" s="1" t="str">
        <f t="shared" ca="1" si="83"/>
        <v>si</v>
      </c>
      <c r="AI170" s="28" t="str">
        <f t="shared" ca="1" si="84"/>
        <v>-</v>
      </c>
    </row>
    <row r="171" spans="1:35" x14ac:dyDescent="0.2">
      <c r="A171" s="14">
        <v>1</v>
      </c>
      <c r="B171" s="14" t="e" vm="125">
        <v>#VALUE!</v>
      </c>
      <c r="C171" s="14"/>
      <c r="D171" s="1" t="str" cm="1">
        <f t="array" aca="1" ref="D171" ca="1">_FV(B171,"Ticker symbol",TRUE)</f>
        <v>NOV</v>
      </c>
      <c r="E171" s="25" cm="1">
        <f t="array" aca="1" ref="E171" ca="1">_FV(B171,"Price")</f>
        <v>20.82</v>
      </c>
      <c r="F171" s="25" cm="1">
        <f t="array" aca="1" ref="F171" ca="1">_FV(B171,"open")</f>
        <v>20.65</v>
      </c>
      <c r="G171" s="5" t="str" cm="1">
        <f t="array" aca="1" ref="G171" ca="1">_FV(B171,"Currency")</f>
        <v>USD</v>
      </c>
      <c r="H171" s="5" t="s">
        <v>26</v>
      </c>
      <c r="I171" s="16">
        <v>45694</v>
      </c>
      <c r="J171" s="172">
        <v>0.96809999999999996</v>
      </c>
      <c r="K171" s="14">
        <v>358</v>
      </c>
      <c r="L171" s="19">
        <v>16.440000000000001</v>
      </c>
      <c r="M171" s="5">
        <f t="shared" si="76"/>
        <v>5900.52</v>
      </c>
      <c r="N171" s="5">
        <f t="shared" ca="1" si="77"/>
        <v>5712.293412</v>
      </c>
      <c r="O171" s="14">
        <v>15</v>
      </c>
      <c r="P171" s="14"/>
      <c r="Q171" s="4">
        <f t="shared" ca="1" si="78"/>
        <v>46140</v>
      </c>
      <c r="R171" s="8">
        <f ca="1">+$M$551</f>
        <v>0.85299999999999998</v>
      </c>
      <c r="S171" s="1">
        <f t="shared" si="71"/>
        <v>358</v>
      </c>
      <c r="T171" s="5">
        <f t="shared" ca="1" si="79"/>
        <v>20.82</v>
      </c>
      <c r="U171" s="5">
        <f t="shared" ca="1" si="80"/>
        <v>7438.56</v>
      </c>
      <c r="V171" s="5">
        <f t="shared" ca="1" si="81"/>
        <v>6345.0916800000005</v>
      </c>
      <c r="W171" s="14">
        <v>15</v>
      </c>
      <c r="Y171" s="30">
        <f t="shared" si="74"/>
        <v>0</v>
      </c>
      <c r="Z171" s="30">
        <f t="shared" ca="1" si="75"/>
        <v>0</v>
      </c>
      <c r="AB171" s="170">
        <f t="shared" ca="1" si="72"/>
        <v>632.79826800000046</v>
      </c>
      <c r="AC171" s="168">
        <f t="shared" ca="1" si="73"/>
        <v>500.01975680438949</v>
      </c>
      <c r="AD171" s="28">
        <f t="shared" ca="1" si="82"/>
        <v>0.26066177218279063</v>
      </c>
      <c r="AE171" s="48">
        <f t="shared" ca="1" si="68"/>
        <v>0</v>
      </c>
      <c r="AF171" s="48">
        <f t="shared" ca="1" si="69"/>
        <v>2.6700530998508953E-3</v>
      </c>
      <c r="AG171" s="204">
        <f ca="1">AVERAGE($AF$5:$AF$257)</f>
        <v>3.9682539682539663E-3</v>
      </c>
      <c r="AH171" s="1" t="str">
        <f t="shared" ca="1" si="83"/>
        <v>no</v>
      </c>
      <c r="AI171" s="28">
        <f t="shared" ca="1" si="84"/>
        <v>-0.11889267637640744</v>
      </c>
    </row>
    <row r="172" spans="1:35" x14ac:dyDescent="0.2">
      <c r="A172" s="1">
        <v>1</v>
      </c>
      <c r="B172" s="1" t="e" vm="126">
        <v>#VALUE!</v>
      </c>
      <c r="D172" s="1" t="str" cm="1">
        <f t="array" aca="1" ref="D172" ca="1">_FV(B172,"Ticker symbol",TRUE)</f>
        <v>OHLA</v>
      </c>
      <c r="E172" s="260" cm="1">
        <f t="array" aca="1" ref="E172" ca="1">_FV(B172,"Price")</f>
        <v>0.46700000000000003</v>
      </c>
      <c r="F172" s="27" cm="1">
        <f t="array" aca="1" ref="F172" ca="1">_FV(B172,"open")</f>
        <v>0.47320000000000001</v>
      </c>
      <c r="G172" s="5" t="str" cm="1">
        <f t="array" aca="1" ref="G172" ca="1">_FV(B172,"Currency")</f>
        <v>EUR</v>
      </c>
      <c r="H172" s="5" t="s">
        <v>115</v>
      </c>
      <c r="I172" s="16">
        <v>45796</v>
      </c>
      <c r="J172" s="18"/>
      <c r="K172" s="14">
        <v>30063</v>
      </c>
      <c r="L172" s="19">
        <v>0.33200000000000002</v>
      </c>
      <c r="M172" s="5">
        <f t="shared" si="76"/>
        <v>9999.8560000000016</v>
      </c>
      <c r="N172" s="5">
        <f t="shared" ca="1" si="77"/>
        <v>9999.8560000000016</v>
      </c>
      <c r="O172" s="14">
        <v>18.940000000000001</v>
      </c>
      <c r="P172" s="14"/>
      <c r="Q172" s="4">
        <f t="shared" ca="1" si="78"/>
        <v>46140</v>
      </c>
      <c r="S172" s="1">
        <f t="shared" si="71"/>
        <v>30063</v>
      </c>
      <c r="T172" s="5">
        <f t="shared" ca="1" si="79"/>
        <v>0.46700000000000003</v>
      </c>
      <c r="U172" s="5">
        <f t="shared" ca="1" si="80"/>
        <v>14020.421</v>
      </c>
      <c r="V172" s="5">
        <f t="shared" ca="1" si="81"/>
        <v>14020.421</v>
      </c>
      <c r="W172" s="14">
        <v>19</v>
      </c>
      <c r="Y172" s="30">
        <f t="shared" si="74"/>
        <v>0</v>
      </c>
      <c r="Z172" s="30">
        <f t="shared" ca="1" si="75"/>
        <v>0</v>
      </c>
      <c r="AB172" s="170">
        <f t="shared" ca="1" si="72"/>
        <v>4020.5649999999987</v>
      </c>
      <c r="AC172" s="168">
        <f t="shared" ca="1" si="73"/>
        <v>3176.9396902272147</v>
      </c>
      <c r="AD172" s="28">
        <f t="shared" ca="1" si="82"/>
        <v>0.40206228969697144</v>
      </c>
      <c r="AE172" s="48">
        <f t="shared" ca="1" si="68"/>
        <v>0</v>
      </c>
      <c r="AF172" s="48">
        <f t="shared" ca="1" si="69"/>
        <v>4.6741552972003704E-3</v>
      </c>
      <c r="AG172" s="204">
        <f ca="1">AVERAGE($AF$5:$AF$257)</f>
        <v>3.9682539682539663E-3</v>
      </c>
      <c r="AH172" s="1" t="str">
        <f t="shared" ca="1" si="83"/>
        <v>si</v>
      </c>
      <c r="AI172" s="28"/>
    </row>
    <row r="173" spans="1:35" x14ac:dyDescent="0.2">
      <c r="A173" s="14">
        <v>1</v>
      </c>
      <c r="B173" s="192" t="e" vm="127">
        <v>#VALUE!</v>
      </c>
      <c r="C173" s="14"/>
      <c r="D173" s="1" t="str" cm="1">
        <f t="array" aca="1" ref="D173" ca="1">_FV(B173,"Ticker symbol",TRUE)</f>
        <v>OCI</v>
      </c>
      <c r="E173" s="27" cm="1">
        <f t="array" aca="1" ref="E173" ca="1">_FV(B173,"Price")</f>
        <v>3.56</v>
      </c>
      <c r="F173" s="27" cm="1">
        <f t="array" aca="1" ref="F173" ca="1">_FV(B173,"open")</f>
        <v>3.6440000000000001</v>
      </c>
      <c r="G173" s="5" t="str" cm="1">
        <f t="array" aca="1" ref="G173" ca="1">_FV(B173,"Currency")</f>
        <v>EUR</v>
      </c>
      <c r="H173" s="5" t="s">
        <v>26</v>
      </c>
      <c r="I173" s="16">
        <v>45327</v>
      </c>
      <c r="J173" s="18"/>
      <c r="K173" s="14">
        <v>425</v>
      </c>
      <c r="L173" s="19">
        <f>27.45-'dividendos 26'!I285</f>
        <v>6.5253647058823532</v>
      </c>
      <c r="M173" s="5">
        <f t="shared" si="76"/>
        <v>2788.28</v>
      </c>
      <c r="N173" s="5">
        <f t="shared" ca="1" si="77"/>
        <v>2788.28</v>
      </c>
      <c r="O173" s="14">
        <v>15</v>
      </c>
      <c r="P173" s="14"/>
      <c r="Q173" s="4">
        <f t="shared" ca="1" si="78"/>
        <v>46140</v>
      </c>
      <c r="S173" s="1">
        <f t="shared" si="71"/>
        <v>425</v>
      </c>
      <c r="T173" s="5">
        <f t="shared" ca="1" si="79"/>
        <v>3.56</v>
      </c>
      <c r="U173" s="5">
        <f t="shared" ca="1" si="80"/>
        <v>1498</v>
      </c>
      <c r="V173" s="5">
        <f t="shared" ca="1" si="81"/>
        <v>1498</v>
      </c>
      <c r="W173" s="14">
        <v>15</v>
      </c>
      <c r="Y173" s="30">
        <f t="shared" si="74"/>
        <v>0</v>
      </c>
      <c r="Z173" s="30">
        <f t="shared" ca="1" si="75"/>
        <v>0</v>
      </c>
      <c r="AB173" s="170">
        <f t="shared" ca="1" si="72"/>
        <v>-1290.2800000000002</v>
      </c>
      <c r="AC173" s="168">
        <f t="shared" ca="1" si="73"/>
        <v>-1019.5437067940384</v>
      </c>
      <c r="AD173" s="28">
        <f t="shared" ca="1" si="82"/>
        <v>-0.46275123014905251</v>
      </c>
      <c r="AE173" s="48">
        <f t="shared" ca="1" si="68"/>
        <v>0</v>
      </c>
      <c r="AF173" s="48">
        <f t="shared" ca="1" si="69"/>
        <v>1.303304140787412E-3</v>
      </c>
      <c r="AG173" s="204">
        <f ca="1">AVERAGE($AF$5:$AF$257)</f>
        <v>3.9682539682539663E-3</v>
      </c>
      <c r="AH173" s="1" t="str">
        <f t="shared" ca="1" si="83"/>
        <v>no</v>
      </c>
      <c r="AI173" s="28" t="str">
        <f t="shared" ref="AI173:AI212" ca="1" si="89">IF(G173="USD",+R173/J173-1,"-")</f>
        <v>-</v>
      </c>
    </row>
    <row r="174" spans="1:35" x14ac:dyDescent="0.2">
      <c r="A174" s="1">
        <v>1</v>
      </c>
      <c r="B174" s="1" t="e" vm="128">
        <v>#VALUE!</v>
      </c>
      <c r="D174" s="1" t="str" cm="1">
        <f t="array" aca="1" ref="D174" ca="1">_FV(B174,"Ticker symbol",TRUE)</f>
        <v>OGN</v>
      </c>
      <c r="E174" s="25" cm="1">
        <f t="array" aca="1" ref="E174" ca="1">_FV(B174,"Price")</f>
        <v>13.175000000000001</v>
      </c>
      <c r="F174" s="25" cm="1">
        <f t="array" aca="1" ref="F174" ca="1">_FV(B174,"open")</f>
        <v>13.215</v>
      </c>
      <c r="G174" s="5" t="str" cm="1">
        <f t="array" aca="1" ref="G174" ca="1">_FV(B174,"Currency")</f>
        <v>USD</v>
      </c>
      <c r="H174" s="5" t="s">
        <v>26</v>
      </c>
      <c r="I174" s="4">
        <v>45418</v>
      </c>
      <c r="J174" s="172">
        <v>0.93200000000000005</v>
      </c>
      <c r="K174" s="1">
        <v>520</v>
      </c>
      <c r="L174" s="10">
        <v>19.72</v>
      </c>
      <c r="M174" s="5">
        <f t="shared" si="76"/>
        <v>10269.4</v>
      </c>
      <c r="N174" s="5">
        <f t="shared" ca="1" si="77"/>
        <v>9571.0807999999997</v>
      </c>
      <c r="O174" s="1">
        <v>15</v>
      </c>
      <c r="Q174" s="4">
        <f t="shared" ca="1" si="78"/>
        <v>46140</v>
      </c>
      <c r="R174" s="8">
        <f ca="1">+$M$551</f>
        <v>0.85299999999999998</v>
      </c>
      <c r="S174" s="1">
        <f t="shared" si="71"/>
        <v>520</v>
      </c>
      <c r="T174" s="5">
        <f t="shared" ca="1" si="79"/>
        <v>13.175000000000001</v>
      </c>
      <c r="U174" s="5">
        <f t="shared" ca="1" si="80"/>
        <v>6836</v>
      </c>
      <c r="V174" s="5">
        <f t="shared" ca="1" si="81"/>
        <v>5831.1080000000002</v>
      </c>
      <c r="W174" s="1">
        <v>15</v>
      </c>
      <c r="X174" s="17"/>
      <c r="Y174" s="30">
        <f t="shared" si="74"/>
        <v>0</v>
      </c>
      <c r="Z174" s="30">
        <f t="shared" ca="1" si="75"/>
        <v>0</v>
      </c>
      <c r="AA174" s="14"/>
      <c r="AB174" s="170">
        <f t="shared" ca="1" si="72"/>
        <v>-3739.9727999999996</v>
      </c>
      <c r="AC174" s="168">
        <f t="shared" ca="1" si="73"/>
        <v>-2955.2234645355097</v>
      </c>
      <c r="AD174" s="28">
        <f t="shared" ca="1" si="82"/>
        <v>-0.33433306717042865</v>
      </c>
      <c r="AE174" s="48">
        <f t="shared" ca="1" si="68"/>
        <v>0</v>
      </c>
      <c r="AF174" s="48">
        <f t="shared" ca="1" si="69"/>
        <v>4.4737362239268995E-3</v>
      </c>
      <c r="AG174" s="204">
        <f ca="1">AVERAGE($AF$5:$AF$257)</f>
        <v>3.9682539682539663E-3</v>
      </c>
      <c r="AH174" s="1" t="str">
        <f t="shared" ca="1" si="83"/>
        <v>si</v>
      </c>
      <c r="AI174" s="28">
        <f t="shared" ca="1" si="89"/>
        <v>-8.476394849785418E-2</v>
      </c>
    </row>
    <row r="175" spans="1:35" x14ac:dyDescent="0.2">
      <c r="A175" s="1">
        <v>1</v>
      </c>
      <c r="B175" s="1" t="e" vm="129">
        <v>#VALUE!</v>
      </c>
      <c r="D175" s="1" t="str" cm="1">
        <f t="array" aca="1" ref="D175" ca="1">_FV(B175,"Ticker symbol",TRUE)</f>
        <v>OC</v>
      </c>
      <c r="E175" s="25" cm="1">
        <f t="array" aca="1" ref="E175" ca="1">_FV(B175,"Price")</f>
        <v>125.52</v>
      </c>
      <c r="F175" s="25" cm="1">
        <f t="array" aca="1" ref="F175" ca="1">_FV(B175,"open")</f>
        <v>126.15</v>
      </c>
      <c r="G175" s="5" t="str" cm="1">
        <f t="array" aca="1" ref="G175" ca="1">_FV(B175,"Currency")</f>
        <v>USD</v>
      </c>
      <c r="H175" s="5" t="s">
        <v>183</v>
      </c>
      <c r="I175" s="4">
        <v>46135</v>
      </c>
      <c r="J175" s="172">
        <v>0.85870000000000002</v>
      </c>
      <c r="K175" s="1">
        <v>94</v>
      </c>
      <c r="L175" s="10">
        <v>126.51</v>
      </c>
      <c r="M175" s="5">
        <f t="shared" ref="M175" si="90">+K175*L175+O175</f>
        <v>11906.94</v>
      </c>
      <c r="N175" s="5">
        <f t="shared" ref="N175" ca="1" si="91">IF(G175="USD",M175*J175,+K175*L175+O175)</f>
        <v>10224.489378</v>
      </c>
      <c r="O175" s="1">
        <v>15</v>
      </c>
      <c r="Q175" s="4">
        <f t="shared" ca="1" si="78"/>
        <v>46140</v>
      </c>
      <c r="R175" s="8">
        <f ca="1">+$M$551</f>
        <v>0.85299999999999998</v>
      </c>
      <c r="S175" s="1">
        <f t="shared" ref="S175" si="92">+K175</f>
        <v>94</v>
      </c>
      <c r="T175" s="5">
        <f t="shared" ref="T175" ca="1" si="93">+E175</f>
        <v>125.52</v>
      </c>
      <c r="U175" s="5">
        <f t="shared" ref="U175" ca="1" si="94">+S175*T175-W175</f>
        <v>11783.88</v>
      </c>
      <c r="V175" s="5">
        <f t="shared" ref="V175" ca="1" si="95">IF(G175="USD",U175*R175,+S175*T175-W175)</f>
        <v>10051.64964</v>
      </c>
      <c r="W175" s="1">
        <v>15</v>
      </c>
      <c r="X175" s="17"/>
      <c r="Y175" s="30">
        <f t="shared" ref="Y175" si="96">IF(A175=0,V175-N175,0)</f>
        <v>0</v>
      </c>
      <c r="Z175" s="30">
        <f t="shared" ref="Z175" ca="1" si="97">+Y175-(Y175*$AA$1)</f>
        <v>0</v>
      </c>
      <c r="AA175" s="14"/>
      <c r="AB175" s="170">
        <f t="shared" ref="AB175" ca="1" si="98">IF(A175=1,+V175-N175,0)</f>
        <v>-172.83973800000058</v>
      </c>
      <c r="AC175" s="168">
        <f t="shared" ref="AC175" ca="1" si="99">+AB175-(AB175*$AA$1)</f>
        <v>-136.57319896598489</v>
      </c>
      <c r="AD175" s="28">
        <f t="shared" ref="AD175" ca="1" si="100">+U175/M175-1</f>
        <v>-1.0335149081124206E-2</v>
      </c>
      <c r="AE175" s="48">
        <f t="shared" ca="1" si="68"/>
        <v>0</v>
      </c>
      <c r="AF175" s="48">
        <f t="shared" ca="1" si="69"/>
        <v>4.7791539385514765E-3</v>
      </c>
      <c r="AG175" s="204">
        <f ca="1">AVERAGE($AF$5:$AF$257)</f>
        <v>3.9682539682539663E-3</v>
      </c>
      <c r="AH175" s="1" t="str">
        <f t="shared" ref="AH175" ca="1" si="101">IF(AF175&lt;AG175,"no","si")</f>
        <v>si</v>
      </c>
      <c r="AI175" s="28">
        <f t="shared" ref="AI175" ca="1" si="102">IF(G175="USD",+R175/J175-1,"-")</f>
        <v>-6.6379410737161804E-3</v>
      </c>
    </row>
    <row r="176" spans="1:35" x14ac:dyDescent="0.2">
      <c r="A176" s="14">
        <v>1</v>
      </c>
      <c r="B176" s="14" t="e" vm="130">
        <v>#VALUE!</v>
      </c>
      <c r="C176" s="14"/>
      <c r="D176" s="1" t="str" cm="1">
        <f t="array" aca="1" ref="D176" ca="1">_FV(B176,"Ticker symbol",TRUE)</f>
        <v>ORY</v>
      </c>
      <c r="E176" s="27" cm="1">
        <f t="array" aca="1" ref="E176" ca="1">_FV(B176,"Price")</f>
        <v>2.8119999999999998</v>
      </c>
      <c r="F176" s="27" cm="1">
        <f t="array" aca="1" ref="F176" ca="1">_FV(B176,"open")</f>
        <v>2.79</v>
      </c>
      <c r="G176" s="5" t="s">
        <v>148</v>
      </c>
      <c r="H176" s="5" t="s">
        <v>190</v>
      </c>
      <c r="I176" s="16">
        <v>43671</v>
      </c>
      <c r="J176" s="18"/>
      <c r="K176" s="14">
        <f>5176+2500</f>
        <v>7676</v>
      </c>
      <c r="L176" s="19">
        <v>3.556</v>
      </c>
      <c r="M176" s="5">
        <f t="shared" si="76"/>
        <v>27336.856</v>
      </c>
      <c r="N176" s="5">
        <f t="shared" si="77"/>
        <v>27336.856</v>
      </c>
      <c r="O176" s="14">
        <f>20+21</f>
        <v>41</v>
      </c>
      <c r="P176" s="14"/>
      <c r="Q176" s="4">
        <f t="shared" ca="1" si="78"/>
        <v>46140</v>
      </c>
      <c r="S176" s="1">
        <f t="shared" si="71"/>
        <v>7676</v>
      </c>
      <c r="T176" s="5">
        <f t="shared" ca="1" si="79"/>
        <v>2.8119999999999998</v>
      </c>
      <c r="U176" s="5">
        <f t="shared" ca="1" si="80"/>
        <v>21543.912</v>
      </c>
      <c r="V176" s="5">
        <f t="shared" ca="1" si="81"/>
        <v>21543.912</v>
      </c>
      <c r="W176" s="14">
        <f>20+21</f>
        <v>41</v>
      </c>
      <c r="Y176" s="30">
        <f t="shared" si="74"/>
        <v>0</v>
      </c>
      <c r="Z176" s="30">
        <f t="shared" ca="1" si="75"/>
        <v>0</v>
      </c>
      <c r="AB176" s="170">
        <f t="shared" ca="1" si="72"/>
        <v>-5792.9439999999995</v>
      </c>
      <c r="AC176" s="168">
        <f t="shared" ca="1" si="73"/>
        <v>-4577.4247442495289</v>
      </c>
      <c r="AD176" s="28">
        <f t="shared" ca="1" si="82"/>
        <v>-0.2119096651055995</v>
      </c>
      <c r="AE176" s="48">
        <f t="shared" ca="1" si="68"/>
        <v>0</v>
      </c>
      <c r="AF176" s="48">
        <f t="shared" ca="1" si="69"/>
        <v>1.2777855029232791E-2</v>
      </c>
      <c r="AG176" s="204">
        <f ca="1">AVERAGE($AF$5:$AF$257)</f>
        <v>3.9682539682539663E-3</v>
      </c>
      <c r="AH176" s="1" t="str">
        <f t="shared" ca="1" si="83"/>
        <v>si</v>
      </c>
      <c r="AI176" s="28" t="str">
        <f t="shared" si="89"/>
        <v>-</v>
      </c>
    </row>
    <row r="177" spans="1:35" x14ac:dyDescent="0.2">
      <c r="A177" s="1">
        <v>1</v>
      </c>
      <c r="B177" s="1" t="e" vm="131">
        <v>#VALUE!</v>
      </c>
      <c r="D177" s="1" t="str" cm="1">
        <f t="array" aca="1" ref="D177" ca="1">_FV(B177,"Ticker symbol",TRUE)</f>
        <v>PCRX</v>
      </c>
      <c r="E177" s="25" cm="1">
        <f t="array" aca="1" ref="E177" ca="1">_FV(B177,"Price")</f>
        <v>25.55</v>
      </c>
      <c r="F177" s="25" cm="1">
        <f t="array" aca="1" ref="F177" ca="1">_FV(B177,"open")</f>
        <v>24.51</v>
      </c>
      <c r="G177" s="5" t="str" cm="1">
        <f t="array" aca="1" ref="G177" ca="1">_FV(B177,"Currency")</f>
        <v>USD</v>
      </c>
      <c r="H177" s="5" t="s">
        <v>199</v>
      </c>
      <c r="I177" s="4">
        <v>45801</v>
      </c>
      <c r="J177" s="172">
        <v>0.85370000000000001</v>
      </c>
      <c r="K177" s="1">
        <v>490</v>
      </c>
      <c r="L177" s="10">
        <v>26.49</v>
      </c>
      <c r="M177" s="5">
        <f>+K177*L177+O177</f>
        <v>12995.099999999999</v>
      </c>
      <c r="N177" s="5">
        <f ca="1">IF(G177="USD",M177*J177,+K177*L177+O177)</f>
        <v>11093.916869999999</v>
      </c>
      <c r="O177" s="1">
        <v>15</v>
      </c>
      <c r="Q177" s="4">
        <f t="shared" ca="1" si="78"/>
        <v>46140</v>
      </c>
      <c r="R177" s="8">
        <f ca="1">+$M$551</f>
        <v>0.85299999999999998</v>
      </c>
      <c r="S177" s="1">
        <f>+K177</f>
        <v>490</v>
      </c>
      <c r="T177" s="5">
        <f ca="1">+E177</f>
        <v>25.55</v>
      </c>
      <c r="U177" s="5">
        <f ca="1">+S177*T177-W177</f>
        <v>12504.5</v>
      </c>
      <c r="V177" s="5">
        <f ca="1">IF(G177="USD",U177*R177,+S177*T177-W177)</f>
        <v>10666.3385</v>
      </c>
      <c r="W177" s="1">
        <v>15</v>
      </c>
      <c r="X177" s="17"/>
      <c r="Y177" s="30">
        <f>IF(A177=0,V177-N177,0)</f>
        <v>0</v>
      </c>
      <c r="Z177" s="30">
        <f ca="1">+Y177-(Y177*$AA$1)</f>
        <v>0</v>
      </c>
      <c r="AA177" s="14"/>
      <c r="AB177" s="170">
        <f ca="1">IF(A177=1,+V177-N177,0)</f>
        <v>-427.57836999999927</v>
      </c>
      <c r="AC177" s="168">
        <f ca="1">+AB177-(AB177*$AA$1)</f>
        <v>-337.86064752980133</v>
      </c>
      <c r="AD177" s="28">
        <f ca="1">+U177/M177-1</f>
        <v>-3.7752691399065674E-2</v>
      </c>
      <c r="AE177" s="48">
        <f t="shared" ca="1" si="68"/>
        <v>0</v>
      </c>
      <c r="AF177" s="48">
        <f t="shared" ca="1" si="69"/>
        <v>5.1855437022904167E-3</v>
      </c>
      <c r="AG177" s="204">
        <f ca="1">AVERAGE($AF$5:$AF$257)</f>
        <v>3.9682539682539663E-3</v>
      </c>
      <c r="AH177" s="1" t="str">
        <f ca="1">IF(AF177&lt;AG177,"no","si")</f>
        <v>si</v>
      </c>
      <c r="AI177" s="28">
        <f ca="1">IF(G177="USD",+R177/J177-1,"-")</f>
        <v>-8.199601733630546E-4</v>
      </c>
    </row>
    <row r="178" spans="1:35" x14ac:dyDescent="0.2">
      <c r="A178" s="1">
        <v>1</v>
      </c>
      <c r="B178" s="1" t="e" vm="132">
        <v>#VALUE!</v>
      </c>
      <c r="D178" s="1" t="str" cm="1">
        <f t="array" aca="1" ref="D178" ca="1">_FV(B178,"Ticker symbol",TRUE)</f>
        <v>PGY</v>
      </c>
      <c r="E178" s="25" cm="1">
        <f t="array" aca="1" ref="E178" ca="1">_FV(B178,"Price")</f>
        <v>13.29</v>
      </c>
      <c r="F178" s="25" cm="1">
        <f t="array" aca="1" ref="F178" ca="1">_FV(B178,"open")</f>
        <v>13.59</v>
      </c>
      <c r="G178" s="5" t="str" cm="1">
        <f t="array" aca="1" ref="G178" ca="1">_FV(B178,"Currency")</f>
        <v>USD</v>
      </c>
      <c r="H178" s="5" t="s">
        <v>128</v>
      </c>
      <c r="I178" s="4">
        <v>46029</v>
      </c>
      <c r="J178" s="172">
        <v>0.85540000000000005</v>
      </c>
      <c r="K178" s="1">
        <v>300</v>
      </c>
      <c r="L178" s="10">
        <v>23.68</v>
      </c>
      <c r="M178" s="5">
        <f>+K178*L178+O178</f>
        <v>7105.5</v>
      </c>
      <c r="N178" s="5">
        <f ca="1">IF(G178="USD",M178*J178,+K178*L178+O178)</f>
        <v>6078.0447000000004</v>
      </c>
      <c r="O178" s="1">
        <v>1.5</v>
      </c>
      <c r="Q178" s="4">
        <f t="shared" ca="1" si="78"/>
        <v>46140</v>
      </c>
      <c r="R178" s="8">
        <f ca="1">+$M$551</f>
        <v>0.85299999999999998</v>
      </c>
      <c r="S178" s="1">
        <f>+K178</f>
        <v>300</v>
      </c>
      <c r="T178" s="5">
        <f ca="1">+E178</f>
        <v>13.29</v>
      </c>
      <c r="U178" s="5">
        <f ca="1">+S178*T178-W178</f>
        <v>3985.4999999999995</v>
      </c>
      <c r="V178" s="5">
        <f ca="1">IF(G178="USD",U178*R178,+S178*T178-W178)</f>
        <v>3399.6314999999995</v>
      </c>
      <c r="W178" s="1">
        <v>1.5</v>
      </c>
      <c r="X178" s="17"/>
      <c r="Y178" s="30">
        <f>IF(A178=0,V178-N178,0)</f>
        <v>0</v>
      </c>
      <c r="Z178" s="30">
        <f ca="1">+Y178-(Y178*$AA$1)</f>
        <v>0</v>
      </c>
      <c r="AA178" s="14"/>
      <c r="AB178" s="170">
        <f ca="1">IF(A178=1,+V178-N178,0)</f>
        <v>-2678.4132000000009</v>
      </c>
      <c r="AC178" s="168">
        <f ca="1">+AB178-(AB178*$AA$1)</f>
        <v>-2116.4083162213492</v>
      </c>
      <c r="AD178" s="28">
        <f ca="1">+U178/M178-1</f>
        <v>-0.4390964745619591</v>
      </c>
      <c r="AE178" s="48">
        <f t="shared" ca="1" si="68"/>
        <v>0</v>
      </c>
      <c r="AF178" s="48">
        <f t="shared" ca="1" si="69"/>
        <v>2.8410133937054327E-3</v>
      </c>
      <c r="AG178" s="204">
        <f ca="1">AVERAGE($AF$5:$AF$257)</f>
        <v>3.9682539682539663E-3</v>
      </c>
      <c r="AH178" s="1" t="str">
        <f ca="1">IF(AF178&lt;AG178,"no","si")</f>
        <v>no</v>
      </c>
      <c r="AI178" s="28">
        <f ca="1">IF(G178="USD",+R178/J178-1,"-")</f>
        <v>-2.8057049333646278E-3</v>
      </c>
    </row>
    <row r="179" spans="1:35" x14ac:dyDescent="0.2">
      <c r="A179" s="1">
        <v>1</v>
      </c>
      <c r="B179" s="1" t="e" vm="133">
        <v>#VALUE!</v>
      </c>
      <c r="D179" s="1" t="str" cm="1">
        <f t="array" aca="1" ref="D179" ca="1">_FV(B179,"Ticker symbol",TRUE)</f>
        <v>PGEN</v>
      </c>
      <c r="E179" s="25" cm="1">
        <f t="array" aca="1" ref="E179" ca="1">_FV(B179,"Price")</f>
        <v>3.96</v>
      </c>
      <c r="F179" s="25" cm="1">
        <f t="array" aca="1" ref="F179" ca="1">_FV(B179,"open")</f>
        <v>4.0999999999999996</v>
      </c>
      <c r="G179" s="5" t="str" cm="1">
        <f t="array" aca="1" ref="G179" ca="1">_FV(B179,"Currency")</f>
        <v>USD</v>
      </c>
      <c r="H179" s="5" t="s">
        <v>26</v>
      </c>
      <c r="I179" s="4">
        <v>46006</v>
      </c>
      <c r="J179" s="172">
        <v>0.85719999999999996</v>
      </c>
      <c r="K179" s="1">
        <v>1100</v>
      </c>
      <c r="L179" s="10">
        <v>3.45</v>
      </c>
      <c r="M179" s="5">
        <f>+K179*L179+O179</f>
        <v>3800.52</v>
      </c>
      <c r="N179" s="5">
        <f ca="1">IF(G179="USD",M179*J179,+K179*L179+O179)</f>
        <v>3257.8057439999998</v>
      </c>
      <c r="O179" s="1">
        <v>5.52</v>
      </c>
      <c r="Q179" s="4">
        <f t="shared" ca="1" si="78"/>
        <v>46140</v>
      </c>
      <c r="R179" s="8">
        <f ca="1">+$M$551</f>
        <v>0.85299999999999998</v>
      </c>
      <c r="S179" s="1">
        <f>+K179</f>
        <v>1100</v>
      </c>
      <c r="T179" s="5">
        <f ca="1">+E179</f>
        <v>3.96</v>
      </c>
      <c r="U179" s="5">
        <f ca="1">+S179*T179-W179</f>
        <v>4350.4799999999996</v>
      </c>
      <c r="V179" s="5">
        <f ca="1">IF(G179="USD",U179*R179,+S179*T179-W179)</f>
        <v>3710.9594399999996</v>
      </c>
      <c r="W179" s="1">
        <v>5.52</v>
      </c>
      <c r="X179" s="17"/>
      <c r="Y179" s="30">
        <f>IF(A179=0,V179-N179,0)</f>
        <v>0</v>
      </c>
      <c r="Z179" s="30">
        <f ca="1">+Y179-(Y179*$AA$1)</f>
        <v>0</v>
      </c>
      <c r="AA179" s="14"/>
      <c r="AB179" s="170">
        <f t="shared" ca="1" si="72"/>
        <v>453.15369599999985</v>
      </c>
      <c r="AC179" s="168">
        <f t="shared" ca="1" si="73"/>
        <v>358.06956549528672</v>
      </c>
      <c r="AD179" s="28">
        <f ca="1">+U179/M179-1</f>
        <v>0.14470651384547373</v>
      </c>
      <c r="AE179" s="48">
        <f t="shared" ca="1" si="68"/>
        <v>0</v>
      </c>
      <c r="AF179" s="48">
        <f t="shared" ca="1" si="69"/>
        <v>1.5227709254580655E-3</v>
      </c>
      <c r="AG179" s="204">
        <f ca="1">AVERAGE($AF$5:$AF$257)</f>
        <v>3.9682539682539663E-3</v>
      </c>
      <c r="AH179" s="1" t="str">
        <f ca="1">IF(AF179&lt;AG179,"no","si")</f>
        <v>no</v>
      </c>
      <c r="AI179" s="28">
        <f ca="1">IF(G179="USD",+R179/J179-1,"-")</f>
        <v>-4.8996733551096572E-3</v>
      </c>
    </row>
    <row r="180" spans="1:35" x14ac:dyDescent="0.2">
      <c r="A180" s="14">
        <v>1</v>
      </c>
      <c r="B180" s="14" t="e" vm="134">
        <v>#VALUE!</v>
      </c>
      <c r="C180" s="14"/>
      <c r="D180" s="1" t="str" cm="1">
        <f t="array" aca="1" ref="D180" ca="1">_FV(B180,"Ticker symbol",TRUE)</f>
        <v>PHM</v>
      </c>
      <c r="E180" s="27" cm="1">
        <f t="array" aca="1" ref="E180" ca="1">_FV(B180,"Price")</f>
        <v>96.85</v>
      </c>
      <c r="F180" s="27" cm="1">
        <f t="array" aca="1" ref="F180" ca="1">_FV(B180,"open")</f>
        <v>94.9</v>
      </c>
      <c r="G180" s="5" t="str" cm="1">
        <f t="array" aca="1" ref="G180" ca="1">_FV(B180,"Currency")</f>
        <v>EUR</v>
      </c>
      <c r="H180" s="5" t="s">
        <v>190</v>
      </c>
      <c r="I180" s="16">
        <v>43098</v>
      </c>
      <c r="J180" s="18"/>
      <c r="K180" s="14">
        <v>484</v>
      </c>
      <c r="L180" s="19">
        <v>42.787999999999997</v>
      </c>
      <c r="M180" s="5">
        <f t="shared" si="76"/>
        <v>20729.392</v>
      </c>
      <c r="N180" s="5">
        <f t="shared" ca="1" si="77"/>
        <v>20729.392</v>
      </c>
      <c r="O180" s="14">
        <v>20</v>
      </c>
      <c r="P180" s="14"/>
      <c r="Q180" s="4">
        <f t="shared" ca="1" si="78"/>
        <v>46140</v>
      </c>
      <c r="S180" s="1">
        <f t="shared" si="71"/>
        <v>484</v>
      </c>
      <c r="T180" s="5">
        <f t="shared" ca="1" si="79"/>
        <v>96.85</v>
      </c>
      <c r="U180" s="5">
        <f t="shared" ca="1" si="80"/>
        <v>46855.399999999994</v>
      </c>
      <c r="V180" s="5">
        <f t="shared" ca="1" si="81"/>
        <v>46855.399999999994</v>
      </c>
      <c r="W180" s="14">
        <v>20</v>
      </c>
      <c r="Y180" s="30">
        <f t="shared" si="74"/>
        <v>0</v>
      </c>
      <c r="Z180" s="30">
        <f t="shared" ca="1" si="75"/>
        <v>0</v>
      </c>
      <c r="AB180" s="170">
        <f t="shared" ca="1" si="72"/>
        <v>26126.007999999994</v>
      </c>
      <c r="AC180" s="168">
        <f t="shared" ca="1" si="73"/>
        <v>20644.051709745705</v>
      </c>
      <c r="AD180" s="28">
        <f t="shared" ca="1" si="82"/>
        <v>1.2603364343729906</v>
      </c>
      <c r="AE180" s="48">
        <f t="shared" ca="1" si="68"/>
        <v>0</v>
      </c>
      <c r="AF180" s="48">
        <f t="shared" ca="1" si="69"/>
        <v>9.6893792695157775E-3</v>
      </c>
      <c r="AG180" s="204">
        <f ca="1">AVERAGE($AF$5:$AF$257)</f>
        <v>3.9682539682539663E-3</v>
      </c>
      <c r="AH180" s="1" t="str">
        <f t="shared" ca="1" si="83"/>
        <v>si</v>
      </c>
      <c r="AI180" s="28" t="str">
        <f t="shared" ca="1" si="89"/>
        <v>-</v>
      </c>
    </row>
    <row r="181" spans="1:35" x14ac:dyDescent="0.2">
      <c r="A181" s="14">
        <v>1</v>
      </c>
      <c r="B181" s="14" t="e" vm="134">
        <v>#VALUE!</v>
      </c>
      <c r="C181" s="14"/>
      <c r="D181" s="1" t="str" cm="1">
        <f t="array" aca="1" ref="D181" ca="1">_FV(B181,"Ticker symbol",TRUE)</f>
        <v>PHM</v>
      </c>
      <c r="E181" s="27" cm="1">
        <f t="array" aca="1" ref="E181" ca="1">_FV(B181,"Price")</f>
        <v>96.85</v>
      </c>
      <c r="F181" s="27" cm="1">
        <f t="array" aca="1" ref="F181" ca="1">_FV(B181,"open")</f>
        <v>94.9</v>
      </c>
      <c r="G181" s="5" t="str" cm="1">
        <f t="array" aca="1" ref="G181" ca="1">_FV(B181,"Currency")</f>
        <v>EUR</v>
      </c>
      <c r="H181" s="5" t="s">
        <v>190</v>
      </c>
      <c r="I181" s="16">
        <v>45663</v>
      </c>
      <c r="J181" s="18"/>
      <c r="K181" s="14">
        <v>97</v>
      </c>
      <c r="L181" s="19">
        <v>83.25</v>
      </c>
      <c r="M181" s="5">
        <f t="shared" si="76"/>
        <v>8092.06</v>
      </c>
      <c r="N181" s="5">
        <f t="shared" ca="1" si="77"/>
        <v>8092.06</v>
      </c>
      <c r="O181" s="14">
        <v>16.809999999999999</v>
      </c>
      <c r="P181" s="14"/>
      <c r="Q181" s="4">
        <f t="shared" ca="1" si="78"/>
        <v>46140</v>
      </c>
      <c r="S181" s="1">
        <f t="shared" si="71"/>
        <v>97</v>
      </c>
      <c r="T181" s="5">
        <f t="shared" ca="1" si="79"/>
        <v>96.85</v>
      </c>
      <c r="U181" s="5">
        <f t="shared" ca="1" si="80"/>
        <v>9376.4499999999989</v>
      </c>
      <c r="V181" s="5">
        <f t="shared" ca="1" si="81"/>
        <v>9376.4499999999989</v>
      </c>
      <c r="W181" s="14">
        <v>18</v>
      </c>
      <c r="Y181" s="30">
        <f t="shared" si="74"/>
        <v>0</v>
      </c>
      <c r="Z181" s="30">
        <f t="shared" ca="1" si="75"/>
        <v>0</v>
      </c>
      <c r="AB181" s="170">
        <f t="shared" ca="1" si="72"/>
        <v>1284.3899999999985</v>
      </c>
      <c r="AC181" s="168">
        <f t="shared" ca="1" si="73"/>
        <v>1014.8895910726301</v>
      </c>
      <c r="AD181" s="28">
        <f t="shared" ca="1" si="82"/>
        <v>0.15872225366593895</v>
      </c>
      <c r="AE181" s="48">
        <f t="shared" ca="1" si="68"/>
        <v>0</v>
      </c>
      <c r="AF181" s="48">
        <f t="shared" ca="1" si="69"/>
        <v>3.7824089781156073E-3</v>
      </c>
      <c r="AG181" s="204">
        <f ca="1">AVERAGE($AF$5:$AF$257)</f>
        <v>3.9682539682539663E-3</v>
      </c>
      <c r="AH181" s="1" t="str">
        <f t="shared" ca="1" si="83"/>
        <v>no</v>
      </c>
      <c r="AI181" s="28" t="str">
        <f t="shared" ca="1" si="89"/>
        <v>-</v>
      </c>
    </row>
    <row r="182" spans="1:35" ht="17" customHeight="1" x14ac:dyDescent="0.2">
      <c r="A182" s="1">
        <v>1</v>
      </c>
      <c r="B182" s="1" t="e" vm="135">
        <v>#VALUE!</v>
      </c>
      <c r="D182" s="1" t="str" cm="1">
        <f t="array" aca="1" ref="D182" ca="1">_FV(B182,"Ticker symbol",TRUE)</f>
        <v>POOL</v>
      </c>
      <c r="E182" s="25" cm="1">
        <f t="array" aca="1" ref="E182" ca="1">_FV(B182,"Price")</f>
        <v>225.28</v>
      </c>
      <c r="F182" s="25" cm="1">
        <f t="array" aca="1" ref="F182" ca="1">_FV(B182,"open")</f>
        <v>230.82499999999999</v>
      </c>
      <c r="G182" s="5" t="str" cm="1">
        <f t="array" aca="1" ref="G182" ca="1">_FV(B182,"Currency")</f>
        <v>USD</v>
      </c>
      <c r="H182" s="5" t="s">
        <v>26</v>
      </c>
      <c r="I182" s="4">
        <v>44685</v>
      </c>
      <c r="J182" s="172">
        <v>0.95025999999999999</v>
      </c>
      <c r="K182" s="1">
        <v>25</v>
      </c>
      <c r="L182" s="10">
        <v>404</v>
      </c>
      <c r="M182" s="5">
        <f t="shared" si="76"/>
        <v>10115</v>
      </c>
      <c r="N182" s="5">
        <f t="shared" ca="1" si="77"/>
        <v>9611.8798999999999</v>
      </c>
      <c r="O182" s="1">
        <v>15</v>
      </c>
      <c r="Q182" s="4">
        <f t="shared" ca="1" si="78"/>
        <v>46140</v>
      </c>
      <c r="R182" s="8">
        <f ca="1">+$M$551</f>
        <v>0.85299999999999998</v>
      </c>
      <c r="S182" s="1">
        <f t="shared" si="71"/>
        <v>25</v>
      </c>
      <c r="T182" s="5">
        <f t="shared" ca="1" si="79"/>
        <v>225.28</v>
      </c>
      <c r="U182" s="5">
        <f t="shared" ca="1" si="80"/>
        <v>5616.98</v>
      </c>
      <c r="V182" s="5">
        <f t="shared" ca="1" si="81"/>
        <v>4791.2839399999993</v>
      </c>
      <c r="W182" s="1">
        <v>15.02</v>
      </c>
      <c r="X182" s="17"/>
      <c r="Y182" s="30">
        <f t="shared" si="74"/>
        <v>0</v>
      </c>
      <c r="Z182" s="30">
        <f t="shared" ca="1" si="75"/>
        <v>0</v>
      </c>
      <c r="AA182" s="14"/>
      <c r="AB182" s="170">
        <f t="shared" ca="1" si="72"/>
        <v>-4820.5959600000006</v>
      </c>
      <c r="AC182" s="168">
        <f t="shared" ca="1" si="73"/>
        <v>-3809.1021127311633</v>
      </c>
      <c r="AD182" s="28">
        <f t="shared" ca="1" si="82"/>
        <v>-0.44468808699950568</v>
      </c>
      <c r="AE182" s="48">
        <f t="shared" ca="1" si="68"/>
        <v>0</v>
      </c>
      <c r="AF182" s="48">
        <f t="shared" ca="1" si="69"/>
        <v>4.492806631479369E-3</v>
      </c>
      <c r="AG182" s="204">
        <f ca="1">AVERAGE($AF$5:$AF$257)</f>
        <v>3.9682539682539663E-3</v>
      </c>
      <c r="AH182" s="1" t="str">
        <f t="shared" ca="1" si="83"/>
        <v>si</v>
      </c>
      <c r="AI182" s="28">
        <f t="shared" ca="1" si="89"/>
        <v>-0.102350935533433</v>
      </c>
    </row>
    <row r="183" spans="1:35" ht="17" customHeight="1" x14ac:dyDescent="0.2">
      <c r="A183" s="1">
        <v>1</v>
      </c>
      <c r="B183" s="1" t="e" vm="136">
        <v>#VALUE!</v>
      </c>
      <c r="D183" s="1" t="str" cm="1">
        <f t="array" aca="1" ref="D183" ca="1">_FV(B183,"Ticker symbol",TRUE)</f>
        <v>PAH3</v>
      </c>
      <c r="E183" s="27" cm="1">
        <f t="array" aca="1" ref="E183" ca="1">_FV(B183,"Price")</f>
        <v>31.33</v>
      </c>
      <c r="F183" s="27" cm="1">
        <f t="array" aca="1" ref="F183" ca="1">_FV(B183,"open")</f>
        <v>31.17</v>
      </c>
      <c r="G183" s="5" t="str" cm="1">
        <f t="array" aca="1" ref="G183" ca="1">_FV(B183,"Currency")</f>
        <v>EUR</v>
      </c>
      <c r="H183" s="5" t="s">
        <v>183</v>
      </c>
      <c r="I183" s="4">
        <v>45866</v>
      </c>
      <c r="J183" s="172"/>
      <c r="K183" s="1">
        <v>403</v>
      </c>
      <c r="L183" s="10">
        <v>37.81</v>
      </c>
      <c r="M183" s="5">
        <f>+K183*L183+O183</f>
        <v>15252.43</v>
      </c>
      <c r="N183" s="5">
        <f ca="1">IF(G183="USD",M183*J183,+K183*L183+O183)</f>
        <v>15252.43</v>
      </c>
      <c r="O183" s="1">
        <v>15</v>
      </c>
      <c r="Q183" s="4">
        <f t="shared" ca="1" si="78"/>
        <v>46140</v>
      </c>
      <c r="S183" s="1">
        <f>+K183</f>
        <v>403</v>
      </c>
      <c r="T183" s="5">
        <f ca="1">+E183</f>
        <v>31.33</v>
      </c>
      <c r="U183" s="5">
        <f ca="1">+S183*T183-W183</f>
        <v>12610.99</v>
      </c>
      <c r="V183" s="5">
        <f ca="1">IF(G183="USD",U183*R183,+S183*T183-W183)</f>
        <v>12610.99</v>
      </c>
      <c r="W183" s="1">
        <v>15</v>
      </c>
      <c r="X183" s="17"/>
      <c r="Y183" s="30">
        <f>IF(A183=0,V183-N183,0)</f>
        <v>0</v>
      </c>
      <c r="Z183" s="30">
        <f ca="1">+Y183-(Y183*$AA$1)</f>
        <v>0</v>
      </c>
      <c r="AA183" s="14"/>
      <c r="AB183" s="170">
        <f t="shared" ca="1" si="72"/>
        <v>-2641.4400000000005</v>
      </c>
      <c r="AC183" s="168">
        <f t="shared" ca="1" si="73"/>
        <v>-2087.1931122500891</v>
      </c>
      <c r="AD183" s="28">
        <f ca="1">+U183/M183-1</f>
        <v>-0.17318158483599011</v>
      </c>
      <c r="AE183" s="48">
        <f t="shared" ca="1" si="68"/>
        <v>0</v>
      </c>
      <c r="AF183" s="48">
        <f t="shared" ca="1" si="69"/>
        <v>7.1293253102522507E-3</v>
      </c>
      <c r="AG183" s="204">
        <f ca="1">AVERAGE($AF$5:$AF$257)</f>
        <v>3.9682539682539663E-3</v>
      </c>
      <c r="AH183" s="1" t="str">
        <f ca="1">IF(AF183&lt;AG183,"no","si")</f>
        <v>si</v>
      </c>
      <c r="AI183" s="28" t="str">
        <f ca="1">IF(G183="USD",+R183/J183-1,"-")</f>
        <v>-</v>
      </c>
    </row>
    <row r="184" spans="1:35" ht="17" customHeight="1" x14ac:dyDescent="0.2">
      <c r="A184" s="1">
        <v>1</v>
      </c>
      <c r="B184" s="1" t="e" vm="137">
        <v>#VALUE!</v>
      </c>
      <c r="D184" s="1" t="str" cm="1">
        <f t="array" aca="1" ref="D184" ca="1">_FV(B184,"Ticker symbol",TRUE)</f>
        <v>PRZO</v>
      </c>
      <c r="E184" s="25" cm="1">
        <f t="array" aca="1" ref="E184" ca="1">_FV(B184,"Price")</f>
        <v>0.73</v>
      </c>
      <c r="F184" s="25" cm="1">
        <f t="array" aca="1" ref="F184" ca="1">_FV(B184,"open")</f>
        <v>0.7</v>
      </c>
      <c r="G184" s="5" t="str" cm="1">
        <f t="array" aca="1" ref="G184" ca="1">_FV(B184,"Currency")</f>
        <v>USD</v>
      </c>
      <c r="H184" s="5" t="s">
        <v>26</v>
      </c>
      <c r="I184" s="4">
        <v>45915</v>
      </c>
      <c r="J184" s="172">
        <v>0.85340000000000005</v>
      </c>
      <c r="K184" s="1">
        <v>3378</v>
      </c>
      <c r="L184" s="10">
        <v>1.51</v>
      </c>
      <c r="M184" s="5">
        <f>+K184*L184+O184</f>
        <v>5115.78</v>
      </c>
      <c r="N184" s="5">
        <f ca="1">IF(G184="USD",M184*J184,+K184*L184+O184)</f>
        <v>4365.8066520000002</v>
      </c>
      <c r="O184" s="1">
        <v>15</v>
      </c>
      <c r="Q184" s="4">
        <f t="shared" ca="1" si="78"/>
        <v>46140</v>
      </c>
      <c r="R184" s="8">
        <f ca="1">+$M$551</f>
        <v>0.85299999999999998</v>
      </c>
      <c r="S184" s="1">
        <f>+K184</f>
        <v>3378</v>
      </c>
      <c r="T184" s="5">
        <f ca="1">+E184</f>
        <v>0.73</v>
      </c>
      <c r="U184" s="5">
        <f ca="1">+S184*T184-W184</f>
        <v>2450.94</v>
      </c>
      <c r="V184" s="5">
        <f ca="1">IF(G184="USD",U184*R184,+S184*T184-W184)</f>
        <v>2090.65182</v>
      </c>
      <c r="W184" s="1">
        <v>15</v>
      </c>
      <c r="X184" s="17"/>
      <c r="Y184" s="30">
        <f>IF(A184=0,V184-N184,0)</f>
        <v>0</v>
      </c>
      <c r="Z184" s="30">
        <f ca="1">+Y184-(Y184*$AA$1)</f>
        <v>0</v>
      </c>
      <c r="AA184" s="14"/>
      <c r="AB184" s="170">
        <f t="shared" ca="1" si="72"/>
        <v>-2275.1548320000002</v>
      </c>
      <c r="AC184" s="168">
        <f t="shared" ca="1" si="73"/>
        <v>-1797.7646642183458</v>
      </c>
      <c r="AD184" s="28">
        <f ca="1">+U184/M184-1</f>
        <v>-0.52090590291216587</v>
      </c>
      <c r="AE184" s="48">
        <f t="shared" ca="1" si="68"/>
        <v>0</v>
      </c>
      <c r="AF184" s="48">
        <f t="shared" ca="1" si="69"/>
        <v>2.0406752146229319E-3</v>
      </c>
      <c r="AG184" s="204">
        <f ca="1">AVERAGE($AF$5:$AF$257)</f>
        <v>3.9682539682539663E-3</v>
      </c>
      <c r="AH184" s="1" t="str">
        <f ca="1">IF(AF184&lt;AG184,"no","si")</f>
        <v>no</v>
      </c>
      <c r="AI184" s="28">
        <f ca="1">IF(G184="USD",+R184/J184-1,"-")</f>
        <v>-4.687133817671274E-4</v>
      </c>
    </row>
    <row r="185" spans="1:35" x14ac:dyDescent="0.2">
      <c r="A185" s="15">
        <v>1</v>
      </c>
      <c r="B185" s="1" t="e" vm="138">
        <v>#VALUE!</v>
      </c>
      <c r="D185" s="1" t="str" cm="1">
        <f t="array" aca="1" ref="D185" ca="1">_FV(B185,"Ticker symbol",TRUE)</f>
        <v>PUIG</v>
      </c>
      <c r="E185" s="27" cm="1">
        <f t="array" aca="1" ref="E185" ca="1">_FV(B185,"Price")</f>
        <v>18.38</v>
      </c>
      <c r="F185" s="27" cm="1">
        <f t="array" aca="1" ref="F185" ca="1">_FV(B185,"open")</f>
        <v>18.25</v>
      </c>
      <c r="G185" s="5" t="str" cm="1">
        <f t="array" aca="1" ref="G185" ca="1">_FV(B185,"Currency")</f>
        <v>EUR</v>
      </c>
      <c r="H185" s="5" t="s">
        <v>183</v>
      </c>
      <c r="I185" s="4">
        <v>45674</v>
      </c>
      <c r="J185" s="18"/>
      <c r="K185" s="14">
        <v>550</v>
      </c>
      <c r="L185" s="19">
        <v>18.135000000000002</v>
      </c>
      <c r="M185" s="5">
        <f t="shared" si="76"/>
        <v>10001.25</v>
      </c>
      <c r="N185" s="5">
        <f t="shared" ca="1" si="77"/>
        <v>10001.25</v>
      </c>
      <c r="O185" s="14">
        <v>27</v>
      </c>
      <c r="P185" s="14"/>
      <c r="Q185" s="4">
        <f t="shared" ca="1" si="78"/>
        <v>46140</v>
      </c>
      <c r="S185" s="1">
        <f t="shared" si="71"/>
        <v>550</v>
      </c>
      <c r="T185" s="5">
        <f t="shared" ca="1" si="79"/>
        <v>18.38</v>
      </c>
      <c r="U185" s="5">
        <f t="shared" ca="1" si="80"/>
        <v>10082</v>
      </c>
      <c r="V185" s="5">
        <f t="shared" ca="1" si="81"/>
        <v>10082</v>
      </c>
      <c r="W185" s="1">
        <v>27</v>
      </c>
      <c r="X185" s="26"/>
      <c r="Y185" s="30">
        <f t="shared" si="74"/>
        <v>0</v>
      </c>
      <c r="Z185" s="30">
        <f t="shared" ca="1" si="75"/>
        <v>0</v>
      </c>
      <c r="AA185" s="25"/>
      <c r="AB185" s="170">
        <f t="shared" ca="1" si="72"/>
        <v>80.75</v>
      </c>
      <c r="AC185" s="168">
        <f t="shared" ca="1" si="73"/>
        <v>63.80642521283643</v>
      </c>
      <c r="AD185" s="28">
        <f t="shared" ca="1" si="82"/>
        <v>8.0739907511560016E-3</v>
      </c>
      <c r="AE185" s="48">
        <f t="shared" ca="1" si="68"/>
        <v>0</v>
      </c>
      <c r="AF185" s="48">
        <f t="shared" ca="1" si="69"/>
        <v>4.6748068838316469E-3</v>
      </c>
      <c r="AG185" s="204">
        <f ca="1">AVERAGE($AF$5:$AF$257)</f>
        <v>3.9682539682539663E-3</v>
      </c>
      <c r="AH185" s="1" t="str">
        <f t="shared" ca="1" si="83"/>
        <v>si</v>
      </c>
      <c r="AI185" s="28" t="str">
        <f t="shared" ca="1" si="89"/>
        <v>-</v>
      </c>
    </row>
    <row r="186" spans="1:35" x14ac:dyDescent="0.2">
      <c r="A186" s="15">
        <v>1</v>
      </c>
      <c r="B186" s="1" t="e" vm="138">
        <v>#VALUE!</v>
      </c>
      <c r="D186" s="1" t="str" cm="1">
        <f t="array" aca="1" ref="D186" ca="1">_FV(B186,"Ticker symbol",TRUE)</f>
        <v>PUIG</v>
      </c>
      <c r="E186" s="27" cm="1">
        <f t="array" aca="1" ref="E186" ca="1">_FV(B186,"Price")</f>
        <v>18.38</v>
      </c>
      <c r="F186" s="27" cm="1">
        <f t="array" aca="1" ref="F186" ca="1">_FV(B186,"open")</f>
        <v>18.25</v>
      </c>
      <c r="G186" s="5" t="str" cm="1">
        <f t="array" aca="1" ref="G186" ca="1">_FV(B186,"Currency")</f>
        <v>EUR</v>
      </c>
      <c r="H186" s="5" t="s">
        <v>183</v>
      </c>
      <c r="I186" s="4">
        <v>45868</v>
      </c>
      <c r="J186" s="18"/>
      <c r="K186" s="14">
        <v>360</v>
      </c>
      <c r="L186" s="19">
        <v>16.940000000000001</v>
      </c>
      <c r="M186" s="5">
        <f>+K186*L186+O186</f>
        <v>6112.7800000000007</v>
      </c>
      <c r="N186" s="5">
        <f ca="1">IF(G186="USD",M186*J186,+K186*L186+O186)</f>
        <v>6112.7800000000007</v>
      </c>
      <c r="O186" s="14">
        <v>14.38</v>
      </c>
      <c r="P186" s="14"/>
      <c r="Q186" s="4">
        <f t="shared" ca="1" si="78"/>
        <v>46140</v>
      </c>
      <c r="S186" s="1">
        <f>+K186</f>
        <v>360</v>
      </c>
      <c r="T186" s="5">
        <f ca="1">+E186</f>
        <v>18.38</v>
      </c>
      <c r="U186" s="5">
        <f ca="1">+S186*T186-W186</f>
        <v>6600.7999999999993</v>
      </c>
      <c r="V186" s="5">
        <f ca="1">IF(G186="USD",U186*R186,+S186*T186-W186)</f>
        <v>6600.7999999999993</v>
      </c>
      <c r="W186" s="1">
        <v>16</v>
      </c>
      <c r="X186" s="26"/>
      <c r="Y186" s="30">
        <f>IF(A186=0,V186-N186,0)</f>
        <v>0</v>
      </c>
      <c r="Z186" s="30">
        <f ca="1">+Y186-(Y186*$AA$1)</f>
        <v>0</v>
      </c>
      <c r="AA186" s="25"/>
      <c r="AB186" s="170">
        <f t="shared" ca="1" si="72"/>
        <v>488.01999999999862</v>
      </c>
      <c r="AC186" s="168">
        <f t="shared" ca="1" si="73"/>
        <v>385.61995829558322</v>
      </c>
      <c r="AD186" s="28">
        <f ca="1">+U186/M186-1</f>
        <v>7.983601569171439E-2</v>
      </c>
      <c r="AE186" s="48">
        <f t="shared" ca="1" si="68"/>
        <v>0</v>
      </c>
      <c r="AF186" s="48">
        <f t="shared" ca="1" si="69"/>
        <v>2.8572494461540725E-3</v>
      </c>
      <c r="AG186" s="204">
        <f ca="1">AVERAGE($AF$5:$AF$257)</f>
        <v>3.9682539682539663E-3</v>
      </c>
      <c r="AH186" s="1" t="str">
        <f ca="1">IF(AF186&lt;AG186,"no","si")</f>
        <v>no</v>
      </c>
      <c r="AI186" s="28" t="str">
        <f ca="1">IF(G186="USD",+R186/J186-1,"-")</f>
        <v>-</v>
      </c>
    </row>
    <row r="187" spans="1:35" x14ac:dyDescent="0.2">
      <c r="A187" s="15">
        <v>1</v>
      </c>
      <c r="B187" s="316" t="e" vm="139">
        <v>#VALUE!</v>
      </c>
      <c r="D187" s="1" t="str" cm="1">
        <f t="array" aca="1" ref="D187" ca="1">_FV(B187,"Ticker symbol",TRUE)</f>
        <v>RAL</v>
      </c>
      <c r="E187" s="25" cm="1">
        <f t="array" aca="1" ref="E187" ca="1">_FV(B187,"Price")</f>
        <v>44.37</v>
      </c>
      <c r="F187" s="25" cm="1">
        <f t="array" aca="1" ref="F187" ca="1">_FV(B187,"open")</f>
        <v>44.69</v>
      </c>
      <c r="G187" s="5" t="str">
        <f ca="1">+G277</f>
        <v>USD</v>
      </c>
      <c r="H187" s="5" t="s">
        <v>128</v>
      </c>
      <c r="I187" s="4">
        <v>45841</v>
      </c>
      <c r="J187" s="172">
        <v>0.85019999999999996</v>
      </c>
      <c r="K187" s="14">
        <v>33</v>
      </c>
      <c r="L187" s="19">
        <v>47.89</v>
      </c>
      <c r="M187" s="5">
        <f>+K187*L187+O187</f>
        <v>1580.3700000000001</v>
      </c>
      <c r="N187" s="5">
        <f ca="1">IF(G187="USD",M187*J187,+K187*L187+O187)</f>
        <v>1343.630574</v>
      </c>
      <c r="O187" s="14">
        <v>0</v>
      </c>
      <c r="P187" s="14"/>
      <c r="Q187" s="4">
        <f t="shared" ca="1" si="78"/>
        <v>46140</v>
      </c>
      <c r="R187" s="8">
        <f ca="1">+$M$551</f>
        <v>0.85299999999999998</v>
      </c>
      <c r="S187" s="1">
        <f>+K187</f>
        <v>33</v>
      </c>
      <c r="T187" s="5">
        <f ca="1">+E187</f>
        <v>44.37</v>
      </c>
      <c r="U187" s="5">
        <f ca="1">+S187*T187-W187</f>
        <v>1464.2099999999998</v>
      </c>
      <c r="V187" s="5">
        <f ca="1">IF(G187="USD",U187*R187,+S187*T187-W187)</f>
        <v>1248.9711299999999</v>
      </c>
      <c r="W187" s="1">
        <v>0</v>
      </c>
      <c r="X187" s="26"/>
      <c r="Y187" s="30">
        <f>IF(A187=0,V187-N187,0)</f>
        <v>0</v>
      </c>
      <c r="Z187" s="30">
        <f ca="1">+Y187-(Y187*$AA$1)</f>
        <v>0</v>
      </c>
      <c r="AA187" s="25"/>
      <c r="AB187" s="170">
        <f t="shared" ca="1" si="72"/>
        <v>-94.659444000000121</v>
      </c>
      <c r="AC187" s="168">
        <f t="shared" ca="1" si="73"/>
        <v>-74.797284634980628</v>
      </c>
      <c r="AD187" s="28">
        <f ca="1">+U187/M187-1</f>
        <v>-7.3501774900814554E-2</v>
      </c>
      <c r="AE187" s="48">
        <f t="shared" ca="1" si="68"/>
        <v>0</v>
      </c>
      <c r="AF187" s="48">
        <f t="shared" ca="1" si="69"/>
        <v>6.280428403111478E-4</v>
      </c>
      <c r="AG187" s="204">
        <f ca="1">AVERAGE($AF$5:$AF$257)</f>
        <v>3.9682539682539663E-3</v>
      </c>
      <c r="AH187" s="1" t="str">
        <f ca="1">IF(AF187&lt;AG187,"no","si")</f>
        <v>no</v>
      </c>
      <c r="AI187" s="28">
        <f ca="1">IF(G187="USD",+R187/J187-1,"-")</f>
        <v>3.2933427428840645E-3</v>
      </c>
    </row>
    <row r="188" spans="1:35" x14ac:dyDescent="0.2">
      <c r="A188" s="14">
        <v>1</v>
      </c>
      <c r="B188" s="14" t="e" vm="140">
        <v>#VALUE!</v>
      </c>
      <c r="C188" s="14"/>
      <c r="D188" s="1" t="str" cm="1">
        <f t="array" aca="1" ref="D188" ca="1">_FV(B188,"Ticker symbol",TRUE)</f>
        <v>REP</v>
      </c>
      <c r="E188" s="27" cm="1">
        <f t="array" aca="1" ref="E188" ca="1">_FV(B188,"Price")</f>
        <v>21.22</v>
      </c>
      <c r="F188" s="27" cm="1">
        <f t="array" aca="1" ref="F188" ca="1">_FV(B188,"open")</f>
        <v>21.01</v>
      </c>
      <c r="G188" s="5" t="str" cm="1">
        <f t="array" aca="1" ref="G188" ca="1">_FV(B188,"Currency")</f>
        <v>EUR</v>
      </c>
      <c r="H188" s="5" t="s">
        <v>196</v>
      </c>
      <c r="I188" s="16">
        <v>43356</v>
      </c>
      <c r="J188" s="18"/>
      <c r="K188" s="14">
        <v>1047</v>
      </c>
      <c r="L188" s="19">
        <v>14.85</v>
      </c>
      <c r="M188" s="5">
        <f t="shared" si="76"/>
        <v>15567.949999999999</v>
      </c>
      <c r="N188" s="5">
        <f t="shared" ca="1" si="77"/>
        <v>15567.949999999999</v>
      </c>
      <c r="O188" s="14">
        <v>20</v>
      </c>
      <c r="P188" s="14"/>
      <c r="Q188" s="4">
        <f t="shared" ca="1" si="78"/>
        <v>46140</v>
      </c>
      <c r="S188" s="1">
        <f t="shared" si="71"/>
        <v>1047</v>
      </c>
      <c r="T188" s="5">
        <f t="shared" ca="1" si="79"/>
        <v>21.22</v>
      </c>
      <c r="U188" s="5">
        <f t="shared" ca="1" si="80"/>
        <v>22197.34</v>
      </c>
      <c r="V188" s="5">
        <f t="shared" ca="1" si="81"/>
        <v>22197.34</v>
      </c>
      <c r="W188" s="14">
        <v>20</v>
      </c>
      <c r="X188" s="17"/>
      <c r="Y188" s="30">
        <f t="shared" si="74"/>
        <v>0</v>
      </c>
      <c r="Z188" s="30">
        <f t="shared" ca="1" si="75"/>
        <v>0</v>
      </c>
      <c r="AA188" s="14"/>
      <c r="AB188" s="170">
        <f t="shared" ca="1" si="72"/>
        <v>6629.3900000000012</v>
      </c>
      <c r="AC188" s="168">
        <f t="shared" ca="1" si="73"/>
        <v>5238.3613280709069</v>
      </c>
      <c r="AD188" s="28">
        <f t="shared" ca="1" si="82"/>
        <v>0.42583577156915342</v>
      </c>
      <c r="AE188" s="48">
        <f t="shared" ca="1" si="68"/>
        <v>0</v>
      </c>
      <c r="AF188" s="48">
        <f t="shared" ca="1" si="69"/>
        <v>7.2768063819169488E-3</v>
      </c>
      <c r="AG188" s="204">
        <f ca="1">AVERAGE($AF$5:$AF$257)</f>
        <v>3.9682539682539663E-3</v>
      </c>
      <c r="AH188" s="1" t="str">
        <f t="shared" ca="1" si="83"/>
        <v>si</v>
      </c>
      <c r="AI188" s="28" t="str">
        <f t="shared" ca="1" si="89"/>
        <v>-</v>
      </c>
    </row>
    <row r="189" spans="1:35" x14ac:dyDescent="0.2">
      <c r="A189" s="14">
        <v>1</v>
      </c>
      <c r="B189" s="14" t="e" vm="140">
        <v>#VALUE!</v>
      </c>
      <c r="C189" s="14"/>
      <c r="D189" s="1" t="str" cm="1">
        <f t="array" aca="1" ref="D189" ca="1">_FV(B189,"Ticker symbol",TRUE)</f>
        <v>REP</v>
      </c>
      <c r="E189" s="27" cm="1">
        <f t="array" aca="1" ref="E189" ca="1">_FV(B189,"Price")</f>
        <v>21.22</v>
      </c>
      <c r="F189" s="27" cm="1">
        <f t="array" aca="1" ref="F189" ca="1">_FV(B189,"open")</f>
        <v>21.01</v>
      </c>
      <c r="G189" s="5" t="str" cm="1">
        <f t="array" aca="1" ref="G189" ca="1">_FV(B189,"Currency")</f>
        <v>EUR</v>
      </c>
      <c r="H189" s="5" t="s">
        <v>115</v>
      </c>
      <c r="I189" s="16">
        <v>42705</v>
      </c>
      <c r="J189" s="18"/>
      <c r="K189" s="14">
        <f>1170-474</f>
        <v>696</v>
      </c>
      <c r="L189" s="19">
        <v>12.84</v>
      </c>
      <c r="M189" s="5">
        <f t="shared" si="76"/>
        <v>8948.64</v>
      </c>
      <c r="N189" s="5">
        <f t="shared" ca="1" si="77"/>
        <v>8948.64</v>
      </c>
      <c r="O189" s="14">
        <v>12</v>
      </c>
      <c r="P189" s="14"/>
      <c r="Q189" s="4">
        <f t="shared" ca="1" si="78"/>
        <v>46140</v>
      </c>
      <c r="S189" s="1">
        <f t="shared" ref="S189:S223" si="103">+K189</f>
        <v>696</v>
      </c>
      <c r="T189" s="5">
        <f t="shared" ca="1" si="79"/>
        <v>21.22</v>
      </c>
      <c r="U189" s="5">
        <f t="shared" ca="1" si="80"/>
        <v>14754.119999999999</v>
      </c>
      <c r="V189" s="5">
        <f t="shared" ca="1" si="81"/>
        <v>14754.119999999999</v>
      </c>
      <c r="W189" s="14">
        <v>15</v>
      </c>
      <c r="X189" s="17"/>
      <c r="Y189" s="30">
        <f t="shared" si="74"/>
        <v>0</v>
      </c>
      <c r="Z189" s="30">
        <f t="shared" ca="1" si="75"/>
        <v>0</v>
      </c>
      <c r="AA189" s="14"/>
      <c r="AB189" s="170">
        <f t="shared" ca="1" si="72"/>
        <v>5805.48</v>
      </c>
      <c r="AC189" s="168">
        <f t="shared" ca="1" si="73"/>
        <v>4587.3303460633761</v>
      </c>
      <c r="AD189" s="28">
        <f t="shared" ca="1" si="82"/>
        <v>0.64875556509145516</v>
      </c>
      <c r="AE189" s="48">
        <f t="shared" ca="1" si="68"/>
        <v>0</v>
      </c>
      <c r="AF189" s="48">
        <f t="shared" ca="1" si="69"/>
        <v>4.1827935381008596E-3</v>
      </c>
      <c r="AG189" s="204">
        <f ca="1">AVERAGE($AF$5:$AF$257)</f>
        <v>3.9682539682539663E-3</v>
      </c>
      <c r="AH189" s="1" t="str">
        <f t="shared" ca="1" si="83"/>
        <v>si</v>
      </c>
      <c r="AI189" s="28" t="str">
        <f t="shared" ca="1" si="89"/>
        <v>-</v>
      </c>
    </row>
    <row r="190" spans="1:35" x14ac:dyDescent="0.2">
      <c r="A190" s="14">
        <v>1</v>
      </c>
      <c r="B190" s="14" t="e" vm="140">
        <v>#VALUE!</v>
      </c>
      <c r="C190" s="14"/>
      <c r="D190" s="1" t="str" cm="1">
        <f t="array" aca="1" ref="D190" ca="1">_FV(B190,"Ticker symbol",TRUE)</f>
        <v>REP</v>
      </c>
      <c r="E190" s="27" cm="1">
        <f t="array" aca="1" ref="E190" ca="1">_FV(B190,"Price")</f>
        <v>21.22</v>
      </c>
      <c r="F190" s="27" cm="1">
        <f t="array" aca="1" ref="F190" ca="1">_FV(B190,"open")</f>
        <v>21.01</v>
      </c>
      <c r="G190" s="5" t="str" cm="1">
        <f t="array" aca="1" ref="G190" ca="1">_FV(B190,"Currency")</f>
        <v>EUR</v>
      </c>
      <c r="H190" s="5" t="s">
        <v>115</v>
      </c>
      <c r="I190" s="16">
        <v>44131</v>
      </c>
      <c r="J190" s="18"/>
      <c r="K190" s="14">
        <v>918</v>
      </c>
      <c r="L190" s="19">
        <v>5.4279999999999999</v>
      </c>
      <c r="M190" s="5">
        <f t="shared" si="76"/>
        <v>4992.2339999999995</v>
      </c>
      <c r="N190" s="5">
        <f t="shared" ca="1" si="77"/>
        <v>4992.2339999999995</v>
      </c>
      <c r="O190" s="14">
        <v>9.33</v>
      </c>
      <c r="P190" s="14"/>
      <c r="Q190" s="4">
        <f t="shared" ca="1" si="78"/>
        <v>46140</v>
      </c>
      <c r="S190" s="1">
        <f t="shared" si="103"/>
        <v>918</v>
      </c>
      <c r="T190" s="5">
        <f t="shared" ca="1" si="79"/>
        <v>21.22</v>
      </c>
      <c r="U190" s="5">
        <f t="shared" ca="1" si="80"/>
        <v>19464.96</v>
      </c>
      <c r="V190" s="5">
        <f t="shared" ca="1" si="81"/>
        <v>19464.96</v>
      </c>
      <c r="W190" s="14">
        <v>15</v>
      </c>
      <c r="X190" s="17"/>
      <c r="Y190" s="30">
        <f t="shared" si="74"/>
        <v>0</v>
      </c>
      <c r="Z190" s="30">
        <f t="shared" ca="1" si="75"/>
        <v>0</v>
      </c>
      <c r="AA190" s="14"/>
      <c r="AB190" s="170">
        <f t="shared" ca="1" si="72"/>
        <v>14472.725999999999</v>
      </c>
      <c r="AC190" s="168">
        <f t="shared" ca="1" si="73"/>
        <v>11435.949339255396</v>
      </c>
      <c r="AD190" s="28">
        <f t="shared" ca="1" si="82"/>
        <v>2.8990480013557058</v>
      </c>
      <c r="AE190" s="48">
        <f t="shared" ca="1" si="68"/>
        <v>0</v>
      </c>
      <c r="AF190" s="48">
        <f t="shared" ca="1" si="69"/>
        <v>2.3334813017271234E-3</v>
      </c>
      <c r="AG190" s="204">
        <f ca="1">AVERAGE($AF$5:$AF$257)</f>
        <v>3.9682539682539663E-3</v>
      </c>
      <c r="AH190" s="1" t="str">
        <f t="shared" ca="1" si="83"/>
        <v>no</v>
      </c>
      <c r="AI190" s="28" t="str">
        <f t="shared" ca="1" si="89"/>
        <v>-</v>
      </c>
    </row>
    <row r="191" spans="1:35" x14ac:dyDescent="0.2">
      <c r="A191" s="14">
        <v>1</v>
      </c>
      <c r="B191" s="14" t="e" vm="140">
        <v>#VALUE!</v>
      </c>
      <c r="C191" s="14"/>
      <c r="D191" s="1" t="str" cm="1">
        <f t="array" aca="1" ref="D191" ca="1">_FV(B191,"Ticker symbol",TRUE)</f>
        <v>REP</v>
      </c>
      <c r="E191" s="27" cm="1">
        <f t="array" aca="1" ref="E191" ca="1">_FV(B191,"Price")</f>
        <v>21.22</v>
      </c>
      <c r="F191" s="27" cm="1">
        <f t="array" aca="1" ref="F191" ca="1">_FV(B191,"open")</f>
        <v>21.01</v>
      </c>
      <c r="G191" s="5" t="str" cm="1">
        <f t="array" aca="1" ref="G191" ca="1">_FV(B191,"Currency")</f>
        <v>EUR</v>
      </c>
      <c r="H191" s="5" t="s">
        <v>115</v>
      </c>
      <c r="I191" s="16">
        <v>42758</v>
      </c>
      <c r="J191" s="18"/>
      <c r="K191" s="14">
        <v>286</v>
      </c>
      <c r="L191" s="19">
        <v>0.01</v>
      </c>
      <c r="M191" s="5">
        <f t="shared" si="76"/>
        <v>2.86</v>
      </c>
      <c r="N191" s="5">
        <f t="shared" ca="1" si="77"/>
        <v>2.86</v>
      </c>
      <c r="O191" s="14">
        <v>0</v>
      </c>
      <c r="P191" s="14"/>
      <c r="Q191" s="4">
        <f t="shared" ca="1" si="78"/>
        <v>46140</v>
      </c>
      <c r="S191" s="1">
        <f t="shared" si="103"/>
        <v>286</v>
      </c>
      <c r="T191" s="5">
        <f t="shared" ca="1" si="79"/>
        <v>21.22</v>
      </c>
      <c r="U191" s="5">
        <f t="shared" ca="1" si="80"/>
        <v>6045.92</v>
      </c>
      <c r="V191" s="5">
        <f t="shared" ca="1" si="81"/>
        <v>6045.92</v>
      </c>
      <c r="W191" s="14">
        <v>23</v>
      </c>
      <c r="X191" s="17"/>
      <c r="Y191" s="30">
        <f t="shared" si="74"/>
        <v>0</v>
      </c>
      <c r="Z191" s="30">
        <f t="shared" ca="1" si="75"/>
        <v>0</v>
      </c>
      <c r="AA191" s="14"/>
      <c r="AB191" s="170">
        <f t="shared" ca="1" si="72"/>
        <v>6043.06</v>
      </c>
      <c r="AC191" s="168">
        <f t="shared" ca="1" si="73"/>
        <v>4775.0595163675953</v>
      </c>
      <c r="AD191" s="28">
        <f t="shared" ca="1" si="82"/>
        <v>2112.958041958042</v>
      </c>
      <c r="AE191" s="48">
        <f t="shared" ca="1" si="68"/>
        <v>0</v>
      </c>
      <c r="AF191" s="48">
        <f t="shared" ca="1" si="69"/>
        <v>1.3368276653176862E-6</v>
      </c>
      <c r="AG191" s="204">
        <f ca="1">AVERAGE($AF$5:$AF$257)</f>
        <v>3.9682539682539663E-3</v>
      </c>
      <c r="AH191" s="1" t="str">
        <f t="shared" ca="1" si="83"/>
        <v>no</v>
      </c>
      <c r="AI191" s="28" t="str">
        <f t="shared" ca="1" si="89"/>
        <v>-</v>
      </c>
    </row>
    <row r="192" spans="1:35" x14ac:dyDescent="0.2">
      <c r="A192" s="1">
        <v>1</v>
      </c>
      <c r="B192" s="1" t="e" vm="141">
        <v>#VALUE!</v>
      </c>
      <c r="D192" s="1" t="str" cm="1">
        <f t="array" aca="1" ref="D192" ca="1">_FV(B192,"Ticker symbol",TRUE)</f>
        <v>RGTI</v>
      </c>
      <c r="E192" s="25" cm="1">
        <f t="array" aca="1" ref="E192" ca="1">_FV(B192,"Price")</f>
        <v>16.914999999999999</v>
      </c>
      <c r="F192" s="25" cm="1">
        <f t="array" aca="1" ref="F192" ca="1">_FV(B192,"open")</f>
        <v>16.25</v>
      </c>
      <c r="G192" s="5" t="str" cm="1">
        <f t="array" aca="1" ref="G192" ca="1">_FV(B192,"Currency")</f>
        <v>USD</v>
      </c>
      <c r="H192" s="5" t="s">
        <v>204</v>
      </c>
      <c r="I192" s="4">
        <v>46126</v>
      </c>
      <c r="J192" s="172">
        <v>0.84770000000000001</v>
      </c>
      <c r="K192" s="1">
        <v>296.56</v>
      </c>
      <c r="L192" s="10">
        <v>16.86</v>
      </c>
      <c r="M192" s="5">
        <f>+K192*L192+O192</f>
        <v>5000.0015999999996</v>
      </c>
      <c r="N192" s="5">
        <f ca="1">IF(G192="USD",M192*J192,+K192*L192+O192)</f>
        <v>4238.50135632</v>
      </c>
      <c r="O192" s="1">
        <v>0</v>
      </c>
      <c r="Q192" s="4">
        <f t="shared" ca="1" si="78"/>
        <v>46140</v>
      </c>
      <c r="R192" s="8">
        <f ca="1">+$M$551</f>
        <v>0.85299999999999998</v>
      </c>
      <c r="S192" s="1">
        <f>+K192</f>
        <v>296.56</v>
      </c>
      <c r="T192" s="5">
        <f ca="1">+E192</f>
        <v>16.914999999999999</v>
      </c>
      <c r="U192" s="5">
        <f ca="1">+S192*T192-W192</f>
        <v>5016.3123999999998</v>
      </c>
      <c r="V192" s="5">
        <f ca="1">IF(G192="USD",U192*R192,+S192*T192-W192)</f>
        <v>4278.9144772</v>
      </c>
      <c r="W192" s="1">
        <v>0</v>
      </c>
      <c r="X192" s="17"/>
      <c r="Y192" s="30">
        <f>IF(A192=0,V192-N192,0)</f>
        <v>0</v>
      </c>
      <c r="Z192" s="30">
        <f ca="1">+Y192-(Y192*$AA$1)</f>
        <v>0</v>
      </c>
      <c r="AA192" s="14"/>
      <c r="AB192" s="170">
        <f ca="1">IF(A192=1,+V192-N192,0)</f>
        <v>40.413120879999951</v>
      </c>
      <c r="AC192" s="168">
        <f ca="1">+AB192-(AB192*$AA$1)</f>
        <v>31.93333467550508</v>
      </c>
      <c r="AD192" s="28">
        <f ca="1">+U192/M192-1</f>
        <v>3.2621589561092623E-3</v>
      </c>
      <c r="AE192" s="48">
        <f t="shared" ca="1" si="68"/>
        <v>0</v>
      </c>
      <c r="AF192" s="48">
        <f t="shared" ca="1" si="69"/>
        <v>1.9811698855297594E-3</v>
      </c>
      <c r="AG192" s="204">
        <f ca="1">AVERAGE($AF$5:$AF$257)</f>
        <v>3.9682539682539663E-3</v>
      </c>
      <c r="AH192" s="1" t="str">
        <f ca="1">IF(AF192&lt;AG192,"no","si")</f>
        <v>no</v>
      </c>
      <c r="AI192" s="28">
        <f ca="1">IF(G192="USD",+R192/J192-1,"-")</f>
        <v>6.2522118674059879E-3</v>
      </c>
    </row>
    <row r="193" spans="1:35" x14ac:dyDescent="0.2">
      <c r="A193" s="1">
        <v>1</v>
      </c>
      <c r="B193" s="1" t="e" vm="142">
        <v>#VALUE!</v>
      </c>
      <c r="D193" s="1" t="str" cm="1">
        <f t="array" aca="1" ref="D193" ca="1">_FV(B193,"Ticker symbol",TRUE)</f>
        <v>RGEN</v>
      </c>
      <c r="E193" s="25" cm="1">
        <f t="array" aca="1" ref="E193" ca="1">_FV(B193,"Price")</f>
        <v>118.29</v>
      </c>
      <c r="F193" s="25" cm="1">
        <f t="array" aca="1" ref="F193" ca="1">_FV(B193,"open")</f>
        <v>117.56</v>
      </c>
      <c r="G193" s="5" t="str" cm="1">
        <f t="array" aca="1" ref="G193" ca="1">_FV(B193,"Currency")</f>
        <v>USD</v>
      </c>
      <c r="H193" s="5" t="s">
        <v>204</v>
      </c>
      <c r="I193" s="4">
        <v>46126</v>
      </c>
      <c r="J193" s="172">
        <v>0.84770000000000001</v>
      </c>
      <c r="K193" s="1">
        <v>38.130000000000003</v>
      </c>
      <c r="L193" s="10">
        <v>131.13999999999999</v>
      </c>
      <c r="M193" s="5">
        <f>+K193*L193+O193</f>
        <v>5000.3681999999999</v>
      </c>
      <c r="N193" s="5">
        <f ca="1">IF(G193="USD",M193*J193,+K193*L193+O193)</f>
        <v>4238.81212314</v>
      </c>
      <c r="O193" s="1">
        <v>0</v>
      </c>
      <c r="Q193" s="4">
        <f t="shared" ca="1" si="78"/>
        <v>46140</v>
      </c>
      <c r="R193" s="8">
        <f ca="1">+$M$551</f>
        <v>0.85299999999999998</v>
      </c>
      <c r="S193" s="1">
        <f>+K193</f>
        <v>38.130000000000003</v>
      </c>
      <c r="T193" s="5">
        <f ca="1">+E193</f>
        <v>118.29</v>
      </c>
      <c r="U193" s="5">
        <f ca="1">+S193*T193-W193</f>
        <v>4510.3977000000004</v>
      </c>
      <c r="V193" s="5">
        <f ca="1">IF(G193="USD",U193*R193,+S193*T193-W193)</f>
        <v>3847.3692381000001</v>
      </c>
      <c r="W193" s="1">
        <v>0</v>
      </c>
      <c r="X193" s="17"/>
      <c r="Y193" s="30">
        <f>IF(A193=0,V193-N193,0)</f>
        <v>0</v>
      </c>
      <c r="Z193" s="30">
        <f ca="1">+Y193-(Y193*$AA$1)</f>
        <v>0</v>
      </c>
      <c r="AA193" s="14"/>
      <c r="AB193" s="170">
        <f ca="1">IF(A193=1,+V193-N193,0)</f>
        <v>-391.44288503999996</v>
      </c>
      <c r="AC193" s="168">
        <f ca="1">+AB193-(AB193*$AA$1)</f>
        <v>-309.30738290280726</v>
      </c>
      <c r="AD193" s="28">
        <f ca="1">+U193/M193-1</f>
        <v>-9.7986884245844008E-2</v>
      </c>
      <c r="AE193" s="48">
        <f t="shared" ca="1" si="68"/>
        <v>0</v>
      </c>
      <c r="AF193" s="48">
        <f t="shared" ca="1" si="69"/>
        <v>1.9813151448592838E-3</v>
      </c>
      <c r="AG193" s="204">
        <f ca="1">AVERAGE($AF$5:$AF$257)</f>
        <v>3.9682539682539663E-3</v>
      </c>
      <c r="AH193" s="1" t="str">
        <f ca="1">IF(AF193&lt;AG193,"no","si")</f>
        <v>no</v>
      </c>
      <c r="AI193" s="28">
        <f ca="1">IF(G193="USD",+R193/J193-1,"-")</f>
        <v>6.2522118674059879E-3</v>
      </c>
    </row>
    <row r="194" spans="1:35" x14ac:dyDescent="0.2">
      <c r="A194" s="1">
        <v>1</v>
      </c>
      <c r="B194" s="1" t="e" vm="143">
        <v>#VALUE!</v>
      </c>
      <c r="D194" s="1" t="str" cm="1">
        <f t="array" aca="1" ref="D194" ca="1">_FV(B194,"Ticker symbol",TRUE)</f>
        <v>RIOT</v>
      </c>
      <c r="E194" s="25" cm="1">
        <f t="array" aca="1" ref="E194" ca="1">_FV(B194,"Price")</f>
        <v>18.265000000000001</v>
      </c>
      <c r="F194" s="25" cm="1">
        <f t="array" aca="1" ref="F194" ca="1">_FV(B194,"open")</f>
        <v>18.489999999999998</v>
      </c>
      <c r="G194" s="5" t="str" cm="1">
        <f t="array" aca="1" ref="G194" ca="1">_FV(B194,"Currency")</f>
        <v>USD</v>
      </c>
      <c r="H194" s="5" t="s">
        <v>128</v>
      </c>
      <c r="I194" s="4">
        <v>45642</v>
      </c>
      <c r="J194" s="172">
        <v>0.9516</v>
      </c>
      <c r="K194" s="1">
        <v>400</v>
      </c>
      <c r="L194" s="10">
        <v>13.8</v>
      </c>
      <c r="M194" s="5">
        <f t="shared" si="76"/>
        <v>5522</v>
      </c>
      <c r="N194" s="5">
        <f t="shared" ca="1" si="77"/>
        <v>5254.7352000000001</v>
      </c>
      <c r="O194" s="1">
        <v>2</v>
      </c>
      <c r="Q194" s="4">
        <f t="shared" ca="1" si="78"/>
        <v>46140</v>
      </c>
      <c r="R194" s="8">
        <f ca="1">+$M$551</f>
        <v>0.85299999999999998</v>
      </c>
      <c r="S194" s="1">
        <f t="shared" si="103"/>
        <v>400</v>
      </c>
      <c r="T194" s="5">
        <f t="shared" ca="1" si="79"/>
        <v>18.265000000000001</v>
      </c>
      <c r="U194" s="5">
        <f t="shared" ca="1" si="80"/>
        <v>7304</v>
      </c>
      <c r="V194" s="5">
        <f t="shared" ca="1" si="81"/>
        <v>6230.3119999999999</v>
      </c>
      <c r="W194" s="1">
        <v>2</v>
      </c>
      <c r="X194" s="17"/>
      <c r="Y194" s="30">
        <f t="shared" si="74"/>
        <v>0</v>
      </c>
      <c r="Z194" s="30">
        <f t="shared" ca="1" si="75"/>
        <v>0</v>
      </c>
      <c r="AA194" s="14"/>
      <c r="AB194" s="170">
        <f t="shared" ca="1" si="72"/>
        <v>975.57679999999982</v>
      </c>
      <c r="AC194" s="168">
        <f t="shared" ca="1" si="73"/>
        <v>770.87390871304353</v>
      </c>
      <c r="AD194" s="28">
        <f t="shared" ca="1" si="82"/>
        <v>0.32270916334661348</v>
      </c>
      <c r="AE194" s="48">
        <f t="shared" ca="1" si="68"/>
        <v>0</v>
      </c>
      <c r="AF194" s="48">
        <f t="shared" ca="1" si="69"/>
        <v>2.4561802060414912E-3</v>
      </c>
      <c r="AG194" s="204">
        <f ca="1">AVERAGE($AF$5:$AF$257)</f>
        <v>3.9682539682539663E-3</v>
      </c>
      <c r="AH194" s="1" t="str">
        <f t="shared" ca="1" si="83"/>
        <v>no</v>
      </c>
      <c r="AI194" s="28">
        <f t="shared" ca="1" si="89"/>
        <v>-0.10361496427070205</v>
      </c>
    </row>
    <row r="195" spans="1:35" x14ac:dyDescent="0.2">
      <c r="A195" s="1">
        <v>1</v>
      </c>
      <c r="B195" s="1" t="e" vm="144">
        <v>#VALUE!</v>
      </c>
      <c r="D195" s="1" t="str" cm="1">
        <f t="array" aca="1" ref="D195" ca="1">_FV(B195,"Ticker symbol",TRUE)</f>
        <v>SCYR</v>
      </c>
      <c r="E195" s="27" cm="1">
        <f t="array" aca="1" ref="E195" ca="1">_FV(B195,"Price")</f>
        <v>4.6459999999999999</v>
      </c>
      <c r="F195" s="27" cm="1">
        <f t="array" aca="1" ref="F195" ca="1">_FV(B195,"open")</f>
        <v>4.6959999999999997</v>
      </c>
      <c r="G195" s="5" t="str" cm="1">
        <f t="array" aca="1" ref="G195" ca="1">_FV(B195,"Currency")</f>
        <v>EUR</v>
      </c>
      <c r="H195" s="5" t="s">
        <v>115</v>
      </c>
      <c r="I195" s="4">
        <v>42870</v>
      </c>
      <c r="J195" s="18"/>
      <c r="K195" s="1">
        <v>6141</v>
      </c>
      <c r="L195" s="10">
        <v>2.44</v>
      </c>
      <c r="M195" s="5">
        <f t="shared" si="76"/>
        <v>14998.599999999999</v>
      </c>
      <c r="N195" s="5">
        <f t="shared" ca="1" si="77"/>
        <v>14998.599999999999</v>
      </c>
      <c r="O195" s="1">
        <v>14.56</v>
      </c>
      <c r="Q195" s="4">
        <f t="shared" ca="1" si="78"/>
        <v>46140</v>
      </c>
      <c r="S195" s="1">
        <f t="shared" si="103"/>
        <v>6141</v>
      </c>
      <c r="T195" s="5">
        <f t="shared" ca="1" si="79"/>
        <v>4.6459999999999999</v>
      </c>
      <c r="U195" s="5">
        <f t="shared" ca="1" si="80"/>
        <v>28516.085999999999</v>
      </c>
      <c r="V195" s="5">
        <f t="shared" ca="1" si="81"/>
        <v>28516.085999999999</v>
      </c>
      <c r="W195" s="1">
        <v>15</v>
      </c>
      <c r="X195" s="17"/>
      <c r="Y195" s="30">
        <f t="shared" si="74"/>
        <v>0</v>
      </c>
      <c r="Z195" s="30">
        <f t="shared" ca="1" si="75"/>
        <v>0</v>
      </c>
      <c r="AA195" s="14"/>
      <c r="AB195" s="170">
        <f t="shared" ca="1" si="72"/>
        <v>13517.486000000001</v>
      </c>
      <c r="AC195" s="168">
        <f t="shared" ca="1" si="73"/>
        <v>10681.145009592117</v>
      </c>
      <c r="AD195" s="28">
        <f t="shared" ca="1" si="82"/>
        <v>0.90124984998599889</v>
      </c>
      <c r="AE195" s="48">
        <f t="shared" ca="1" si="68"/>
        <v>0</v>
      </c>
      <c r="AF195" s="48">
        <f t="shared" ca="1" si="69"/>
        <v>7.0106795178440026E-3</v>
      </c>
      <c r="AG195" s="204">
        <f ca="1">AVERAGE($AF$5:$AF$257)</f>
        <v>3.9682539682539663E-3</v>
      </c>
      <c r="AH195" s="1" t="str">
        <f t="shared" ca="1" si="83"/>
        <v>si</v>
      </c>
      <c r="AI195" s="28" t="str">
        <f t="shared" ca="1" si="89"/>
        <v>-</v>
      </c>
    </row>
    <row r="196" spans="1:35" x14ac:dyDescent="0.2">
      <c r="A196" s="1">
        <v>1</v>
      </c>
      <c r="B196" s="1" t="e" vm="144">
        <v>#VALUE!</v>
      </c>
      <c r="D196" s="1" t="str" cm="1">
        <f t="array" aca="1" ref="D196" ca="1">_FV(B196,"Ticker symbol",TRUE)</f>
        <v>SCYR</v>
      </c>
      <c r="E196" s="27" cm="1">
        <f t="array" aca="1" ref="E196" ca="1">_FV(B196,"Price")</f>
        <v>4.6459999999999999</v>
      </c>
      <c r="F196" s="27" cm="1">
        <f t="array" aca="1" ref="F196" ca="1">_FV(B196,"open")</f>
        <v>4.6959999999999997</v>
      </c>
      <c r="G196" s="5" t="str" cm="1">
        <f t="array" aca="1" ref="G196" ca="1">_FV(B196,"Currency")</f>
        <v>EUR</v>
      </c>
      <c r="H196" s="5" t="s">
        <v>115</v>
      </c>
      <c r="I196" s="4" t="s">
        <v>38</v>
      </c>
      <c r="J196" s="18"/>
      <c r="K196" s="1">
        <f>186+131+134+143+124+145+175+159+188+167+202+358</f>
        <v>2112</v>
      </c>
      <c r="L196" s="10">
        <v>0.01</v>
      </c>
      <c r="M196" s="5">
        <f t="shared" si="76"/>
        <v>21.12</v>
      </c>
      <c r="N196" s="5">
        <f t="shared" ca="1" si="77"/>
        <v>21.12</v>
      </c>
      <c r="O196" s="1">
        <v>0</v>
      </c>
      <c r="Q196" s="4">
        <f t="shared" ca="1" si="78"/>
        <v>46140</v>
      </c>
      <c r="S196" s="1">
        <f t="shared" si="103"/>
        <v>2112</v>
      </c>
      <c r="T196" s="5">
        <f t="shared" ca="1" si="79"/>
        <v>4.6459999999999999</v>
      </c>
      <c r="U196" s="5">
        <f t="shared" ca="1" si="80"/>
        <v>9796.351999999999</v>
      </c>
      <c r="V196" s="5">
        <f t="shared" ca="1" si="81"/>
        <v>9796.351999999999</v>
      </c>
      <c r="W196" s="1">
        <v>16</v>
      </c>
      <c r="Y196" s="30">
        <f t="shared" si="74"/>
        <v>0</v>
      </c>
      <c r="Z196" s="30">
        <f t="shared" ca="1" si="75"/>
        <v>0</v>
      </c>
      <c r="AB196" s="170">
        <f t="shared" ca="1" si="72"/>
        <v>9775.2319999999982</v>
      </c>
      <c r="AC196" s="168">
        <f t="shared" ca="1" si="73"/>
        <v>7724.1190036671869</v>
      </c>
      <c r="AD196" s="28">
        <f t="shared" ca="1" si="82"/>
        <v>462.84242424242416</v>
      </c>
      <c r="AE196" s="48">
        <f t="shared" ca="1" si="68"/>
        <v>0</v>
      </c>
      <c r="AF196" s="48">
        <f t="shared" ca="1" si="69"/>
        <v>9.8719581438844532E-6</v>
      </c>
      <c r="AG196" s="204">
        <f ca="1">AVERAGE($AF$5:$AF$257)</f>
        <v>3.9682539682539663E-3</v>
      </c>
      <c r="AH196" s="1" t="str">
        <f t="shared" ca="1" si="83"/>
        <v>no</v>
      </c>
      <c r="AI196" s="28" t="str">
        <f t="shared" ca="1" si="89"/>
        <v>-</v>
      </c>
    </row>
    <row r="197" spans="1:35" x14ac:dyDescent="0.2">
      <c r="A197" s="1">
        <v>1</v>
      </c>
      <c r="B197" s="1" t="e" vm="145">
        <v>#VALUE!</v>
      </c>
      <c r="D197" s="1" t="str" cm="1">
        <f t="array" aca="1" ref="D197" ca="1">_FV(B197,"Ticker symbol",TRUE)</f>
        <v>SPM</v>
      </c>
      <c r="E197" s="122" cm="1">
        <f t="array" aca="1" ref="E197" ca="1">_FV(B197,"Price")</f>
        <v>4.5220000000000002</v>
      </c>
      <c r="F197" s="27" cm="1">
        <f t="array" aca="1" ref="F197" ca="1">_FV(B197,"open")</f>
        <v>4.4000000000000004</v>
      </c>
      <c r="G197" s="5" t="str" cm="1">
        <f t="array" aca="1" ref="G197" ca="1">_FV(B197,"Currency")</f>
        <v>EUR</v>
      </c>
      <c r="H197" s="5" t="s">
        <v>115</v>
      </c>
      <c r="I197" s="4">
        <v>45432</v>
      </c>
      <c r="J197" s="18"/>
      <c r="K197" s="1">
        <v>4795</v>
      </c>
      <c r="L197" s="10">
        <v>2.3069999999999999</v>
      </c>
      <c r="M197" s="5">
        <f t="shared" si="76"/>
        <v>11087.065000000001</v>
      </c>
      <c r="N197" s="5">
        <f t="shared" ca="1" si="77"/>
        <v>11087.065000000001</v>
      </c>
      <c r="O197" s="1">
        <v>25</v>
      </c>
      <c r="Q197" s="4">
        <f t="shared" ca="1" si="78"/>
        <v>46140</v>
      </c>
      <c r="S197" s="1">
        <f t="shared" si="103"/>
        <v>4795</v>
      </c>
      <c r="T197" s="5">
        <f t="shared" ca="1" si="79"/>
        <v>4.5220000000000002</v>
      </c>
      <c r="U197" s="5">
        <f t="shared" ca="1" si="80"/>
        <v>21657.99</v>
      </c>
      <c r="V197" s="5">
        <f t="shared" ca="1" si="81"/>
        <v>21657.99</v>
      </c>
      <c r="W197" s="1">
        <v>25</v>
      </c>
      <c r="Y197" s="30">
        <f t="shared" si="74"/>
        <v>0</v>
      </c>
      <c r="Z197" s="30">
        <f t="shared" ca="1" si="75"/>
        <v>0</v>
      </c>
      <c r="AB197" s="170">
        <f t="shared" ca="1" si="72"/>
        <v>10570.925000000001</v>
      </c>
      <c r="AC197" s="168">
        <f t="shared" ca="1" si="73"/>
        <v>8352.8536896966307</v>
      </c>
      <c r="AD197" s="28">
        <f t="shared" ca="1" si="82"/>
        <v>0.95344665157099739</v>
      </c>
      <c r="AE197" s="48">
        <f t="shared" ca="1" si="68"/>
        <v>0</v>
      </c>
      <c r="AF197" s="48">
        <f t="shared" ca="1" si="69"/>
        <v>5.1823409857256761E-3</v>
      </c>
      <c r="AG197" s="204">
        <f ca="1">AVERAGE($AF$5:$AF$257)</f>
        <v>3.9682539682539663E-3</v>
      </c>
      <c r="AH197" s="1" t="str">
        <f t="shared" ca="1" si="83"/>
        <v>si</v>
      </c>
      <c r="AI197" s="28" t="str">
        <f t="shared" ca="1" si="89"/>
        <v>-</v>
      </c>
    </row>
    <row r="198" spans="1:35" x14ac:dyDescent="0.2">
      <c r="A198" s="1">
        <v>1</v>
      </c>
      <c r="B198" s="1" t="e" vm="146">
        <v>#VALUE!</v>
      </c>
      <c r="D198" s="1" t="str" cm="1">
        <f t="array" aca="1" ref="D198" ca="1">_FV(B198,"Ticker symbol",TRUE)</f>
        <v>SAN</v>
      </c>
      <c r="E198" s="27" cm="1">
        <f t="array" aca="1" ref="E198" ca="1">_FV(B198,"Price")</f>
        <v>78.900000000000006</v>
      </c>
      <c r="F198" s="27" cm="1">
        <f t="array" aca="1" ref="F198" ca="1">_FV(B198,"open")</f>
        <v>79.73</v>
      </c>
      <c r="G198" s="5" t="str" cm="1">
        <f t="array" aca="1" ref="G198" ca="1">_FV(B198,"Currency")</f>
        <v>EUR</v>
      </c>
      <c r="H198" s="5" t="s">
        <v>183</v>
      </c>
      <c r="I198" s="4">
        <v>45848</v>
      </c>
      <c r="J198" s="172"/>
      <c r="K198" s="1">
        <v>119</v>
      </c>
      <c r="L198" s="10">
        <v>83.9</v>
      </c>
      <c r="M198" s="5">
        <f>+K198*L198+O198</f>
        <v>9999.1</v>
      </c>
      <c r="N198" s="5">
        <f ca="1">IF(G198="USD",M198*J198,+K198*L198+O198)</f>
        <v>9999.1</v>
      </c>
      <c r="O198" s="1">
        <v>15</v>
      </c>
      <c r="Q198" s="4">
        <f t="shared" ca="1" si="78"/>
        <v>46140</v>
      </c>
      <c r="S198" s="1">
        <f>+K198</f>
        <v>119</v>
      </c>
      <c r="T198" s="5">
        <f ca="1">+E198</f>
        <v>78.900000000000006</v>
      </c>
      <c r="U198" s="5">
        <f ca="1">+S198*T198-W198</f>
        <v>9374.1</v>
      </c>
      <c r="V198" s="5">
        <f ca="1">IF(G198="USD",U198*R198,+S198*T198-W198)</f>
        <v>9374.1</v>
      </c>
      <c r="W198" s="1">
        <v>15</v>
      </c>
      <c r="Y198" s="30">
        <f>IF(A198=0,V198-N198,0)</f>
        <v>0</v>
      </c>
      <c r="Z198" s="30">
        <f ca="1">+Y198-(Y198*$AA$1)</f>
        <v>0</v>
      </c>
      <c r="AB198" s="170">
        <f t="shared" ca="1" si="72"/>
        <v>-625</v>
      </c>
      <c r="AC198" s="168">
        <f t="shared" ca="1" si="73"/>
        <v>-493.85778028511163</v>
      </c>
      <c r="AD198" s="28">
        <f ca="1">+U198/M198-1</f>
        <v>-6.250562550629557E-2</v>
      </c>
      <c r="AE198" s="48">
        <f t="shared" ref="AE198:AE239" ca="1" si="104">+Z198/$Z$393</f>
        <v>0</v>
      </c>
      <c r="AF198" s="48">
        <f t="shared" ref="AF198:AF239" ca="1" si="105">+N198/$N$259</f>
        <v>4.673801925971356E-3</v>
      </c>
      <c r="AG198" s="204">
        <f ca="1">AVERAGE($AF$5:$AF$257)</f>
        <v>3.9682539682539663E-3</v>
      </c>
      <c r="AH198" s="1" t="str">
        <f ca="1">IF(AF198&lt;AG198,"no","si")</f>
        <v>si</v>
      </c>
      <c r="AI198" s="28" t="str">
        <f ca="1">IF(G198="USD",+R198/J198-1,"-")</f>
        <v>-</v>
      </c>
    </row>
    <row r="199" spans="1:35" x14ac:dyDescent="0.2">
      <c r="A199" s="1">
        <v>1</v>
      </c>
      <c r="B199" s="1" t="e" vm="147">
        <v>#VALUE!</v>
      </c>
      <c r="D199" s="1" t="str" cm="1">
        <f t="array" aca="1" ref="D199" ca="1">_FV(B199,"Ticker symbol",TRUE)</f>
        <v>SAP</v>
      </c>
      <c r="E199" s="122" cm="1">
        <f t="array" aca="1" ref="E199" ca="1">_FV(B199,"Price")</f>
        <v>148.96</v>
      </c>
      <c r="F199" s="27" cm="1">
        <f t="array" aca="1" ref="F199" ca="1">_FV(B199,"open")</f>
        <v>148.1</v>
      </c>
      <c r="G199" s="5" t="str" cm="1">
        <f t="array" aca="1" ref="G199" ca="1">_FV(B199,"Currency")</f>
        <v>EUR</v>
      </c>
      <c r="H199" s="5" t="s">
        <v>115</v>
      </c>
      <c r="I199" s="4">
        <v>45812</v>
      </c>
      <c r="J199" s="18"/>
      <c r="K199" s="1">
        <v>45</v>
      </c>
      <c r="L199" s="10">
        <v>269.95</v>
      </c>
      <c r="M199" s="5">
        <f>+K199*L199+O199</f>
        <v>12162.75</v>
      </c>
      <c r="N199" s="5">
        <f ca="1">IF(G199="USD",M199*J199,+K199*L199+O199)</f>
        <v>12162.75</v>
      </c>
      <c r="O199" s="1">
        <v>15</v>
      </c>
      <c r="Q199" s="4">
        <f t="shared" ca="1" si="78"/>
        <v>46140</v>
      </c>
      <c r="S199" s="1">
        <f>+K199</f>
        <v>45</v>
      </c>
      <c r="T199" s="5">
        <f ca="1">+E199</f>
        <v>148.96</v>
      </c>
      <c r="U199" s="5">
        <f ca="1">+S199*T199-W199</f>
        <v>6688.2000000000007</v>
      </c>
      <c r="V199" s="5">
        <f ca="1">IF(G199="USD",U199*R199,+S199*T199-W199)</f>
        <v>6688.2000000000007</v>
      </c>
      <c r="W199" s="1">
        <v>15</v>
      </c>
      <c r="Y199" s="30">
        <f>IF(A199=0,V199-N199,0)</f>
        <v>0</v>
      </c>
      <c r="Z199" s="30">
        <f ca="1">+Y199-(Y199*$AA$1)</f>
        <v>0</v>
      </c>
      <c r="AB199" s="170">
        <f t="shared" ca="1" si="72"/>
        <v>-5474.5499999999993</v>
      </c>
      <c r="AC199" s="168">
        <f t="shared" ca="1" si="73"/>
        <v>-4325.8385776957721</v>
      </c>
      <c r="AD199" s="28">
        <f ca="1">+U199/M199-1</f>
        <v>-0.45010791145094653</v>
      </c>
      <c r="AE199" s="48">
        <f t="shared" ca="1" si="104"/>
        <v>0</v>
      </c>
      <c r="AF199" s="48">
        <f t="shared" ca="1" si="105"/>
        <v>5.6851401001198213E-3</v>
      </c>
      <c r="AG199" s="204">
        <f ca="1">AVERAGE($AF$5:$AF$257)</f>
        <v>3.9682539682539663E-3</v>
      </c>
      <c r="AH199" s="1" t="str">
        <f ca="1">IF(AF199&lt;AG199,"no","si")</f>
        <v>si</v>
      </c>
      <c r="AI199" s="28" t="str">
        <f ca="1">IF(G199="USD",+R199/J199-1,"-")</f>
        <v>-</v>
      </c>
    </row>
    <row r="200" spans="1:35" x14ac:dyDescent="0.2">
      <c r="A200" s="14">
        <v>1</v>
      </c>
      <c r="B200" s="14" t="e" vm="148">
        <v>#VALUE!</v>
      </c>
      <c r="C200" s="14"/>
      <c r="D200" s="1" t="str" cm="1">
        <f t="array" aca="1" ref="D200" ca="1">_FV(B200,"Ticker symbol",TRUE)</f>
        <v>SDGR</v>
      </c>
      <c r="E200" s="25" cm="1">
        <f t="array" aca="1" ref="E200" ca="1">_FV(B200,"Price")</f>
        <v>11.74</v>
      </c>
      <c r="F200" s="25" cm="1">
        <f t="array" aca="1" ref="F200" ca="1">_FV(B200,"open")</f>
        <v>11.77</v>
      </c>
      <c r="G200" s="5" t="str" cm="1">
        <f t="array" aca="1" ref="G200" ca="1">_FV(B200,"Currency")</f>
        <v>USD</v>
      </c>
      <c r="H200" s="5" t="s">
        <v>183</v>
      </c>
      <c r="I200" s="16">
        <v>45684</v>
      </c>
      <c r="J200" s="172">
        <v>0.95609999999999995</v>
      </c>
      <c r="K200" s="14">
        <v>387</v>
      </c>
      <c r="L200" s="19">
        <v>23.35</v>
      </c>
      <c r="M200" s="5">
        <f t="shared" si="76"/>
        <v>9051.4500000000007</v>
      </c>
      <c r="N200" s="5">
        <f t="shared" ca="1" si="77"/>
        <v>8654.0913450000007</v>
      </c>
      <c r="O200" s="14">
        <v>15</v>
      </c>
      <c r="P200" s="14"/>
      <c r="Q200" s="4">
        <f t="shared" ca="1" si="78"/>
        <v>46140</v>
      </c>
      <c r="R200" s="8">
        <f ca="1">+$M$551</f>
        <v>0.85299999999999998</v>
      </c>
      <c r="S200" s="1">
        <f t="shared" si="103"/>
        <v>387</v>
      </c>
      <c r="T200" s="5">
        <f t="shared" ca="1" si="79"/>
        <v>11.74</v>
      </c>
      <c r="U200" s="5">
        <f t="shared" ca="1" si="80"/>
        <v>4528.38</v>
      </c>
      <c r="V200" s="5">
        <f t="shared" ca="1" si="81"/>
        <v>3862.7081400000002</v>
      </c>
      <c r="W200" s="14">
        <f>+O200</f>
        <v>15</v>
      </c>
      <c r="X200" s="17"/>
      <c r="Y200" s="30">
        <f t="shared" si="74"/>
        <v>0</v>
      </c>
      <c r="Z200" s="30">
        <f t="shared" ca="1" si="75"/>
        <v>0</v>
      </c>
      <c r="AB200" s="170">
        <f t="shared" ca="1" si="72"/>
        <v>-4791.3832050000001</v>
      </c>
      <c r="AC200" s="168">
        <f t="shared" ca="1" si="73"/>
        <v>-3786.0189985866627</v>
      </c>
      <c r="AD200" s="28">
        <f t="shared" ca="1" si="82"/>
        <v>-0.49970667683078407</v>
      </c>
      <c r="AE200" s="48">
        <f t="shared" ca="1" si="104"/>
        <v>0</v>
      </c>
      <c r="AF200" s="48">
        <f t="shared" ca="1" si="105"/>
        <v>4.0451149399238972E-3</v>
      </c>
      <c r="AG200" s="204">
        <f ca="1">AVERAGE($AF$5:$AF$257)</f>
        <v>3.9682539682539663E-3</v>
      </c>
      <c r="AH200" s="1" t="str">
        <f t="shared" ca="1" si="83"/>
        <v>si</v>
      </c>
      <c r="AI200" s="28">
        <f t="shared" ca="1" si="89"/>
        <v>-0.10783390858696784</v>
      </c>
    </row>
    <row r="201" spans="1:35" x14ac:dyDescent="0.2">
      <c r="A201" s="14">
        <v>1</v>
      </c>
      <c r="B201" s="14" t="e" vm="149">
        <v>#VALUE!</v>
      </c>
      <c r="C201" s="14"/>
      <c r="D201" s="1" t="str" cm="1">
        <f t="array" aca="1" ref="D201" ca="1">_FV(B201,"Ticker symbol",TRUE)</f>
        <v>ST</v>
      </c>
      <c r="E201" s="25" cm="1">
        <f t="array" aca="1" ref="E201" ca="1">_FV(B201,"Price")</f>
        <v>42.25</v>
      </c>
      <c r="F201" s="25" cm="1">
        <f t="array" aca="1" ref="F201" ca="1">_FV(B201,"open")</f>
        <v>41.91</v>
      </c>
      <c r="G201" s="5" t="str" cm="1">
        <f t="array" aca="1" ref="G201" ca="1">_FV(B201,"Currency")</f>
        <v>USD</v>
      </c>
      <c r="H201" s="5" t="s">
        <v>128</v>
      </c>
      <c r="I201" s="16">
        <v>45701</v>
      </c>
      <c r="J201" s="172">
        <v>0.96279999999999999</v>
      </c>
      <c r="K201" s="14">
        <v>300</v>
      </c>
      <c r="L201" s="19">
        <v>28</v>
      </c>
      <c r="M201" s="5">
        <f t="shared" si="76"/>
        <v>8401.51</v>
      </c>
      <c r="N201" s="5">
        <f t="shared" ca="1" si="77"/>
        <v>8088.9738280000001</v>
      </c>
      <c r="O201" s="14">
        <v>1.51</v>
      </c>
      <c r="P201" s="14"/>
      <c r="Q201" s="4">
        <f t="shared" ca="1" si="78"/>
        <v>46140</v>
      </c>
      <c r="R201" s="8">
        <f ca="1">+$M$551</f>
        <v>0.85299999999999998</v>
      </c>
      <c r="S201" s="1">
        <f t="shared" si="103"/>
        <v>300</v>
      </c>
      <c r="T201" s="5">
        <f t="shared" ca="1" si="79"/>
        <v>42.25</v>
      </c>
      <c r="U201" s="5">
        <f t="shared" ca="1" si="80"/>
        <v>12673.49</v>
      </c>
      <c r="V201" s="5">
        <f t="shared" ca="1" si="81"/>
        <v>10810.48697</v>
      </c>
      <c r="W201" s="14">
        <v>1.51</v>
      </c>
      <c r="X201" s="17"/>
      <c r="Y201" s="30">
        <f t="shared" si="74"/>
        <v>0</v>
      </c>
      <c r="Z201" s="30">
        <f t="shared" ca="1" si="75"/>
        <v>0</v>
      </c>
      <c r="AB201" s="170">
        <f t="shared" ca="1" si="72"/>
        <v>2721.5131419999998</v>
      </c>
      <c r="AC201" s="168">
        <f t="shared" ca="1" si="73"/>
        <v>2150.4647029198077</v>
      </c>
      <c r="AD201" s="28">
        <f t="shared" ca="1" si="82"/>
        <v>0.50847764270946527</v>
      </c>
      <c r="AE201" s="48">
        <f t="shared" ca="1" si="104"/>
        <v>0</v>
      </c>
      <c r="AF201" s="48">
        <f t="shared" ca="1" si="105"/>
        <v>3.7809664326227651E-3</v>
      </c>
      <c r="AG201" s="204">
        <f ca="1">AVERAGE($AF$5:$AF$257)</f>
        <v>3.9682539682539663E-3</v>
      </c>
      <c r="AH201" s="1" t="str">
        <f t="shared" ca="1" si="83"/>
        <v>no</v>
      </c>
      <c r="AI201" s="28">
        <f t="shared" ca="1" si="89"/>
        <v>-0.11404237640216042</v>
      </c>
    </row>
    <row r="202" spans="1:35" x14ac:dyDescent="0.2">
      <c r="A202" s="14">
        <v>1</v>
      </c>
      <c r="B202" s="14" t="e" vm="150">
        <v>#VALUE!</v>
      </c>
      <c r="C202" s="14"/>
      <c r="D202" s="1" t="str" cm="1">
        <f t="array" aca="1" ref="D202" ca="1">_FV(B202,"Ticker symbol",TRUE)</f>
        <v>S</v>
      </c>
      <c r="E202" s="25" cm="1">
        <f t="array" aca="1" ref="E202" ca="1">_FV(B202,"Price")</f>
        <v>14.63</v>
      </c>
      <c r="F202" s="25" cm="1">
        <f t="array" aca="1" ref="F202" ca="1">_FV(B202,"open")</f>
        <v>14.21</v>
      </c>
      <c r="G202" s="5" t="str" cm="1">
        <f t="array" aca="1" ref="G202" ca="1">_FV(B202,"Currency")</f>
        <v>USD</v>
      </c>
      <c r="H202" s="5" t="s">
        <v>183</v>
      </c>
      <c r="I202" s="16">
        <v>45334</v>
      </c>
      <c r="J202" s="172">
        <v>0.93164000000000002</v>
      </c>
      <c r="K202" s="14">
        <v>325</v>
      </c>
      <c r="L202" s="19">
        <v>29.53</v>
      </c>
      <c r="M202" s="5">
        <f t="shared" si="76"/>
        <v>9612.25</v>
      </c>
      <c r="N202" s="5">
        <f t="shared" ca="1" si="77"/>
        <v>8955.1565900000005</v>
      </c>
      <c r="O202" s="14">
        <v>15</v>
      </c>
      <c r="P202" s="14"/>
      <c r="Q202" s="4">
        <f t="shared" ca="1" si="78"/>
        <v>46140</v>
      </c>
      <c r="R202" s="8">
        <f ca="1">+$M$551</f>
        <v>0.85299999999999998</v>
      </c>
      <c r="S202" s="1">
        <f t="shared" si="103"/>
        <v>325</v>
      </c>
      <c r="T202" s="5">
        <f t="shared" ca="1" si="79"/>
        <v>14.63</v>
      </c>
      <c r="U202" s="5">
        <f t="shared" ca="1" si="80"/>
        <v>4739.75</v>
      </c>
      <c r="V202" s="5">
        <f t="shared" ca="1" si="81"/>
        <v>4043.00675</v>
      </c>
      <c r="W202" s="14">
        <f>+O202</f>
        <v>15</v>
      </c>
      <c r="X202" s="17"/>
      <c r="Y202" s="30">
        <f t="shared" si="74"/>
        <v>0</v>
      </c>
      <c r="Z202" s="30">
        <f t="shared" ca="1" si="75"/>
        <v>0</v>
      </c>
      <c r="AB202" s="170">
        <f t="shared" ca="1" si="72"/>
        <v>-4912.14984</v>
      </c>
      <c r="AC202" s="168">
        <f t="shared" ca="1" si="73"/>
        <v>-3881.4454662564262</v>
      </c>
      <c r="AD202" s="28">
        <f t="shared" ca="1" si="82"/>
        <v>-0.50690525111186246</v>
      </c>
      <c r="AE202" s="48">
        <f t="shared" ca="1" si="104"/>
        <v>0</v>
      </c>
      <c r="AF202" s="48">
        <f t="shared" ca="1" si="105"/>
        <v>4.1858395373300678E-3</v>
      </c>
      <c r="AG202" s="204">
        <f ca="1">AVERAGE($AF$5:$AF$257)</f>
        <v>3.9682539682539663E-3</v>
      </c>
      <c r="AH202" s="1" t="str">
        <f t="shared" ca="1" si="83"/>
        <v>si</v>
      </c>
      <c r="AI202" s="28">
        <f t="shared" ca="1" si="89"/>
        <v>-8.4410287235412884E-2</v>
      </c>
    </row>
    <row r="203" spans="1:35" x14ac:dyDescent="0.2">
      <c r="A203" s="14">
        <v>1</v>
      </c>
      <c r="B203" s="14" t="e" vm="151">
        <v>#VALUE!</v>
      </c>
      <c r="C203" s="14"/>
      <c r="D203" s="1" t="str" cm="1">
        <f t="array" aca="1" ref="D203" ca="1">_FV(B203,"Ticker symbol",TRUE)</f>
        <v>SHL</v>
      </c>
      <c r="E203" s="27" cm="1">
        <f t="array" aca="1" ref="E203" ca="1">_FV(B203,"Price")</f>
        <v>35.5</v>
      </c>
      <c r="F203" s="27" cm="1">
        <f t="array" aca="1" ref="F203" ca="1">_FV(B203,"open")</f>
        <v>35.659999999999997</v>
      </c>
      <c r="G203" s="5" t="str" cm="1">
        <f t="array" aca="1" ref="G203" ca="1">_FV(B203,"Currency")</f>
        <v>EUR</v>
      </c>
      <c r="H203" s="5" t="s">
        <v>26</v>
      </c>
      <c r="I203" s="16">
        <v>45127</v>
      </c>
      <c r="J203" s="18"/>
      <c r="K203" s="14">
        <v>180</v>
      </c>
      <c r="L203" s="19">
        <v>50.54</v>
      </c>
      <c r="M203" s="5">
        <f t="shared" si="76"/>
        <v>9112.2000000000007</v>
      </c>
      <c r="N203" s="5">
        <f t="shared" ca="1" si="77"/>
        <v>9112.2000000000007</v>
      </c>
      <c r="O203" s="14">
        <v>15</v>
      </c>
      <c r="P203" s="14"/>
      <c r="Q203" s="4">
        <f t="shared" ca="1" si="78"/>
        <v>46140</v>
      </c>
      <c r="S203" s="1">
        <f t="shared" si="103"/>
        <v>180</v>
      </c>
      <c r="T203" s="5">
        <f t="shared" ca="1" si="79"/>
        <v>35.5</v>
      </c>
      <c r="U203" s="5">
        <f t="shared" ca="1" si="80"/>
        <v>6375</v>
      </c>
      <c r="V203" s="5">
        <f t="shared" ca="1" si="81"/>
        <v>6375</v>
      </c>
      <c r="W203" s="14">
        <v>15</v>
      </c>
      <c r="Y203" s="30">
        <f t="shared" ref="Y203:Y237" si="106">IF(A203=0,V203-N203,0)</f>
        <v>0</v>
      </c>
      <c r="Z203" s="30">
        <f t="shared" ref="Z203:Z237" ca="1" si="107">+Y203-(Y203*$AA$1)</f>
        <v>0</v>
      </c>
      <c r="AB203" s="170">
        <f t="shared" ca="1" si="72"/>
        <v>-2737.2000000000007</v>
      </c>
      <c r="AC203" s="168">
        <f t="shared" ca="1" si="73"/>
        <v>-2162.8600259142527</v>
      </c>
      <c r="AD203" s="28">
        <f t="shared" ca="1" si="82"/>
        <v>-0.30038849015605462</v>
      </c>
      <c r="AE203" s="48">
        <f t="shared" ca="1" si="104"/>
        <v>0</v>
      </c>
      <c r="AF203" s="48">
        <f t="shared" ca="1" si="105"/>
        <v>4.2592451230446925E-3</v>
      </c>
      <c r="AG203" s="204">
        <f ca="1">AVERAGE($AF$5:$AF$257)</f>
        <v>3.9682539682539663E-3</v>
      </c>
      <c r="AH203" s="1" t="str">
        <f t="shared" ca="1" si="83"/>
        <v>si</v>
      </c>
      <c r="AI203" s="28" t="str">
        <f t="shared" ca="1" si="89"/>
        <v>-</v>
      </c>
    </row>
    <row r="204" spans="1:35" x14ac:dyDescent="0.2">
      <c r="A204" s="14">
        <v>1</v>
      </c>
      <c r="B204" s="14" t="e" vm="152">
        <v>#VALUE!</v>
      </c>
      <c r="C204" s="14"/>
      <c r="D204" s="1" t="str" cm="1">
        <f t="array" aca="1" ref="D204" ca="1">_FV(B204,"Ticker symbol",TRUE)</f>
        <v>LIGHT</v>
      </c>
      <c r="E204" s="27" cm="1">
        <f t="array" aca="1" ref="E204" ca="1">_FV(B204,"Price")</f>
        <v>20.079999999999998</v>
      </c>
      <c r="F204" s="27" cm="1">
        <f t="array" aca="1" ref="F204" ca="1">_FV(B204,"open")</f>
        <v>19.72</v>
      </c>
      <c r="G204" s="5" t="str" cm="1">
        <f t="array" aca="1" ref="G204" ca="1">_FV(B204,"Currency")</f>
        <v>EUR</v>
      </c>
      <c r="H204" s="5" t="s">
        <v>183</v>
      </c>
      <c r="I204" s="16">
        <v>45826</v>
      </c>
      <c r="J204" s="18"/>
      <c r="K204" s="14">
        <v>530</v>
      </c>
      <c r="L204" s="19">
        <v>22.58</v>
      </c>
      <c r="M204" s="5">
        <f>+K204*L204+O204</f>
        <v>11982.4</v>
      </c>
      <c r="N204" s="5">
        <f ca="1">IF(G204="USD",M204*J204,+K204*L204+O204)</f>
        <v>11982.4</v>
      </c>
      <c r="O204" s="14">
        <v>15</v>
      </c>
      <c r="P204" s="14"/>
      <c r="Q204" s="4">
        <f t="shared" ca="1" si="78"/>
        <v>46140</v>
      </c>
      <c r="S204" s="1">
        <f>+K204</f>
        <v>530</v>
      </c>
      <c r="T204" s="5">
        <f ca="1">+E204</f>
        <v>20.079999999999998</v>
      </c>
      <c r="U204" s="5">
        <f ca="1">+S204*T204-W204</f>
        <v>10627.4</v>
      </c>
      <c r="V204" s="5">
        <f ca="1">IF(G204="USD",U204*R204,+S204*T204-W204)</f>
        <v>10627.4</v>
      </c>
      <c r="W204" s="14">
        <v>15</v>
      </c>
      <c r="Y204" s="30">
        <f>IF(A204=0,V204-N204,0)</f>
        <v>0</v>
      </c>
      <c r="Z204" s="30">
        <f ca="1">+Y204-(Y204*$AA$1)</f>
        <v>0</v>
      </c>
      <c r="AB204" s="170">
        <f t="shared" ca="1" si="72"/>
        <v>-1355</v>
      </c>
      <c r="AC204" s="168">
        <f t="shared" ca="1" si="73"/>
        <v>-1070.683667658122</v>
      </c>
      <c r="AD204" s="28">
        <f ca="1">+U204/M204-1</f>
        <v>-0.11308252103084526</v>
      </c>
      <c r="AE204" s="48">
        <f t="shared" ca="1" si="104"/>
        <v>0</v>
      </c>
      <c r="AF204" s="48">
        <f t="shared" ca="1" si="105"/>
        <v>5.6008404954205051E-3</v>
      </c>
      <c r="AG204" s="204">
        <f ca="1">AVERAGE($AF$5:$AF$257)</f>
        <v>3.9682539682539663E-3</v>
      </c>
      <c r="AH204" s="1" t="str">
        <f ca="1">IF(AF204&lt;AG204,"no","si")</f>
        <v>si</v>
      </c>
      <c r="AI204" s="28" t="str">
        <f ca="1">IF(G204="USD",+R204/J204-1,"-")</f>
        <v>-</v>
      </c>
    </row>
    <row r="205" spans="1:35" x14ac:dyDescent="0.2">
      <c r="A205" s="14">
        <v>1</v>
      </c>
      <c r="B205" s="14" t="e" vm="153">
        <v>#VALUE!</v>
      </c>
      <c r="C205" s="14"/>
      <c r="D205" s="1" t="str" cm="1">
        <f t="array" aca="1" ref="D205" ca="1">_FV(B205,"Ticker symbol",TRUE)</f>
        <v>SIX2</v>
      </c>
      <c r="E205" s="27" cm="1">
        <f t="array" aca="1" ref="E205" ca="1">_FV(B205,"Price")</f>
        <v>70.3</v>
      </c>
      <c r="F205" s="27" cm="1">
        <f t="array" aca="1" ref="F205" ca="1">_FV(B205,"open")</f>
        <v>71</v>
      </c>
      <c r="G205" s="5" t="str" cm="1">
        <f t="array" aca="1" ref="G205" ca="1">_FV(B205,"Currency")</f>
        <v>EUR</v>
      </c>
      <c r="H205" s="5" t="s">
        <v>183</v>
      </c>
      <c r="I205" s="16">
        <v>46126</v>
      </c>
      <c r="J205" s="18"/>
      <c r="K205" s="14">
        <v>200</v>
      </c>
      <c r="L205" s="19">
        <v>74</v>
      </c>
      <c r="M205" s="5">
        <f>+K205*L205+O205</f>
        <v>14815</v>
      </c>
      <c r="N205" s="5">
        <f ca="1">IF(G205="USD",M205*J205,+K205*L205+O205)</f>
        <v>14815</v>
      </c>
      <c r="O205" s="14">
        <v>15</v>
      </c>
      <c r="P205" s="14"/>
      <c r="Q205" s="4">
        <f t="shared" ca="1" si="78"/>
        <v>46140</v>
      </c>
      <c r="S205" s="1">
        <f>+K205</f>
        <v>200</v>
      </c>
      <c r="T205" s="5">
        <f ca="1">+E205</f>
        <v>70.3</v>
      </c>
      <c r="U205" s="5">
        <f ca="1">+S205*T205-W205</f>
        <v>14045</v>
      </c>
      <c r="V205" s="5">
        <f ca="1">IF(G205="USD",U205*R205,+S205*T205-W205)</f>
        <v>14045</v>
      </c>
      <c r="W205" s="14">
        <v>15</v>
      </c>
      <c r="Y205" s="30">
        <f>IF(A205=0,V205-N205,0)</f>
        <v>0</v>
      </c>
      <c r="Z205" s="30">
        <f ca="1">+Y205-(Y205*$AA$1)</f>
        <v>0</v>
      </c>
      <c r="AB205" s="170">
        <f ca="1">IF(A205=1,+V205-N205,0)</f>
        <v>-770</v>
      </c>
      <c r="AC205" s="168">
        <f ca="1">+AB205-(AB205*$AA$1)</f>
        <v>-608.43278531125759</v>
      </c>
      <c r="AD205" s="28">
        <f ca="1">+U205/M205-1</f>
        <v>-5.1974350320621032E-2</v>
      </c>
      <c r="AE205" s="48">
        <f t="shared" ca="1" si="104"/>
        <v>0</v>
      </c>
      <c r="AF205" s="48">
        <f t="shared" ca="1" si="105"/>
        <v>6.9248607907977352E-3</v>
      </c>
      <c r="AG205" s="204">
        <f ca="1">AVERAGE($AF$5:$AF$257)</f>
        <v>3.9682539682539663E-3</v>
      </c>
      <c r="AH205" s="1" t="str">
        <f ca="1">IF(AF205&lt;AG205,"no","si")</f>
        <v>si</v>
      </c>
      <c r="AI205" s="28" t="str">
        <f ca="1">IF(G205="USD",+R205/J205-1,"-")</f>
        <v>-</v>
      </c>
    </row>
    <row r="206" spans="1:35" x14ac:dyDescent="0.2">
      <c r="A206" s="14">
        <v>1</v>
      </c>
      <c r="B206" s="1" t="e" vm="154">
        <v>#VALUE!</v>
      </c>
      <c r="C206" s="14"/>
      <c r="D206" s="1" t="str" cm="1">
        <f t="array" aca="1" ref="D206" ca="1">_FV(B206,"Ticker symbol",TRUE)</f>
        <v>S92</v>
      </c>
      <c r="E206" s="27" cm="1">
        <f t="array" aca="1" ref="E206" ca="1">_FV(B206,"Price")</f>
        <v>50.25</v>
      </c>
      <c r="F206" s="27" cm="1">
        <f t="array" aca="1" ref="F206" ca="1">_FV(B206,"open")</f>
        <v>52.1</v>
      </c>
      <c r="G206" s="5" t="str" cm="1">
        <f t="array" aca="1" ref="G206" ca="1">_FV(B206,"Currency")</f>
        <v>EUR</v>
      </c>
      <c r="H206" s="5" t="s">
        <v>26</v>
      </c>
      <c r="I206" s="16">
        <v>45195</v>
      </c>
      <c r="J206" s="18"/>
      <c r="K206" s="14">
        <v>155</v>
      </c>
      <c r="L206" s="19">
        <v>61.9</v>
      </c>
      <c r="M206" s="5">
        <f t="shared" si="76"/>
        <v>9609.5</v>
      </c>
      <c r="N206" s="5">
        <f t="shared" ca="1" si="77"/>
        <v>9609.5</v>
      </c>
      <c r="O206" s="14">
        <v>15</v>
      </c>
      <c r="P206" s="14"/>
      <c r="Q206" s="4">
        <f t="shared" ca="1" si="78"/>
        <v>46140</v>
      </c>
      <c r="S206" s="1">
        <f t="shared" si="103"/>
        <v>155</v>
      </c>
      <c r="T206" s="5">
        <f t="shared" ca="1" si="79"/>
        <v>50.25</v>
      </c>
      <c r="U206" s="5">
        <f t="shared" ca="1" si="80"/>
        <v>7773.75</v>
      </c>
      <c r="V206" s="5">
        <f t="shared" ca="1" si="81"/>
        <v>7773.75</v>
      </c>
      <c r="W206" s="14">
        <v>15</v>
      </c>
      <c r="X206" s="17"/>
      <c r="Y206" s="30">
        <f t="shared" si="106"/>
        <v>0</v>
      </c>
      <c r="Z206" s="30">
        <f t="shared" ca="1" si="107"/>
        <v>0</v>
      </c>
      <c r="AB206" s="170">
        <f t="shared" ca="1" si="72"/>
        <v>-1835.75</v>
      </c>
      <c r="AC206" s="168">
        <f t="shared" ca="1" si="73"/>
        <v>-1450.55907225343</v>
      </c>
      <c r="AD206" s="28">
        <f t="shared" ca="1" si="82"/>
        <v>-0.19103491336698064</v>
      </c>
      <c r="AE206" s="48">
        <f t="shared" ca="1" si="104"/>
        <v>0</v>
      </c>
      <c r="AF206" s="48">
        <f t="shared" ca="1" si="105"/>
        <v>4.4916942132413656E-3</v>
      </c>
      <c r="AG206" s="204">
        <f ca="1">AVERAGE($AF$5:$AF$257)</f>
        <v>3.9682539682539663E-3</v>
      </c>
      <c r="AH206" s="1" t="str">
        <f t="shared" ca="1" si="83"/>
        <v>si</v>
      </c>
      <c r="AI206" s="28" t="str">
        <f t="shared" ca="1" si="89"/>
        <v>-</v>
      </c>
    </row>
    <row r="207" spans="1:35" x14ac:dyDescent="0.2">
      <c r="A207" s="14">
        <v>1</v>
      </c>
      <c r="B207" s="14" t="e" vm="155">
        <v>#VALUE!</v>
      </c>
      <c r="C207" s="14"/>
      <c r="D207" s="1" t="str" cm="1">
        <f t="array" aca="1" ref="D207" ca="1">_FV(B207,"Ticker symbol",TRUE)</f>
        <v>SNDL</v>
      </c>
      <c r="E207" s="25" cm="1">
        <f t="array" aca="1" ref="E207" ca="1">_FV(B207,"Price")</f>
        <v>1.51</v>
      </c>
      <c r="F207" s="25" cm="1">
        <f t="array" aca="1" ref="F207" ca="1">_FV(B207,"open")</f>
        <v>1.5</v>
      </c>
      <c r="G207" s="5" t="str" cm="1">
        <f t="array" aca="1" ref="G207" ca="1">_FV(B207,"Currency")</f>
        <v>USD</v>
      </c>
      <c r="H207" s="5" t="s">
        <v>26</v>
      </c>
      <c r="I207" s="16">
        <v>45694</v>
      </c>
      <c r="J207" s="172">
        <v>0.96809999999999996</v>
      </c>
      <c r="K207" s="14">
        <v>4278</v>
      </c>
      <c r="L207" s="19">
        <v>1.87</v>
      </c>
      <c r="M207" s="5">
        <f t="shared" si="76"/>
        <v>8014.8600000000006</v>
      </c>
      <c r="N207" s="5">
        <f t="shared" ca="1" si="77"/>
        <v>7759.185966</v>
      </c>
      <c r="O207" s="14">
        <v>15</v>
      </c>
      <c r="P207" s="14"/>
      <c r="Q207" s="4">
        <f t="shared" ca="1" si="78"/>
        <v>46140</v>
      </c>
      <c r="R207" s="8">
        <f ca="1">+$M$551</f>
        <v>0.85299999999999998</v>
      </c>
      <c r="S207" s="1">
        <f t="shared" si="103"/>
        <v>4278</v>
      </c>
      <c r="T207" s="5">
        <f t="shared" ca="1" si="79"/>
        <v>1.51</v>
      </c>
      <c r="U207" s="5">
        <f t="shared" ca="1" si="80"/>
        <v>6444.78</v>
      </c>
      <c r="V207" s="5">
        <f t="shared" ca="1" si="81"/>
        <v>5497.3973399999995</v>
      </c>
      <c r="W207" s="14">
        <f>+O207</f>
        <v>15</v>
      </c>
      <c r="X207" s="17"/>
      <c r="Y207" s="30">
        <f t="shared" si="106"/>
        <v>0</v>
      </c>
      <c r="Z207" s="30">
        <f t="shared" ca="1" si="107"/>
        <v>0</v>
      </c>
      <c r="AB207" s="170">
        <f t="shared" ca="1" si="72"/>
        <v>-2261.7886260000005</v>
      </c>
      <c r="AC207" s="168">
        <f t="shared" ca="1" si="73"/>
        <v>-1787.2030564967565</v>
      </c>
      <c r="AD207" s="28">
        <f t="shared" ca="1" si="82"/>
        <v>-0.19589612295161751</v>
      </c>
      <c r="AE207" s="48">
        <f t="shared" ca="1" si="104"/>
        <v>0</v>
      </c>
      <c r="AF207" s="48">
        <f t="shared" ca="1" si="105"/>
        <v>3.6268162446480897E-3</v>
      </c>
      <c r="AG207" s="204">
        <f ca="1">AVERAGE($AF$5:$AF$257)</f>
        <v>3.9682539682539663E-3</v>
      </c>
      <c r="AH207" s="1" t="str">
        <f t="shared" ca="1" si="83"/>
        <v>no</v>
      </c>
      <c r="AI207" s="28">
        <f t="shared" ca="1" si="89"/>
        <v>-0.11889267637640744</v>
      </c>
    </row>
    <row r="208" spans="1:35" x14ac:dyDescent="0.2">
      <c r="A208" s="14">
        <v>1</v>
      </c>
      <c r="B208" s="14" t="e" vm="156">
        <v>#VALUE!</v>
      </c>
      <c r="C208" s="14"/>
      <c r="D208" s="1" t="str" cm="1">
        <f t="array" aca="1" ref="D208" ca="1">_FV(B208,"Ticker symbol",TRUE)</f>
        <v>SNOW</v>
      </c>
      <c r="E208" s="25" cm="1">
        <f t="array" aca="1" ref="E208" ca="1">_FV(B208,"Price")</f>
        <v>144.24</v>
      </c>
      <c r="F208" s="25" cm="1">
        <f t="array" aca="1" ref="F208" ca="1">_FV(B208,"open")</f>
        <v>141.24</v>
      </c>
      <c r="G208" s="5" t="str" cm="1">
        <f t="array" aca="1" ref="G208" ca="1">_FV(B208,"Currency")</f>
        <v>USD</v>
      </c>
      <c r="H208" s="5" t="s">
        <v>26</v>
      </c>
      <c r="I208" s="16">
        <v>45170</v>
      </c>
      <c r="J208" s="172">
        <v>0.92781000000000002</v>
      </c>
      <c r="K208" s="14">
        <v>30</v>
      </c>
      <c r="L208" s="19">
        <v>157.30000000000001</v>
      </c>
      <c r="M208" s="5">
        <f t="shared" si="76"/>
        <v>4734</v>
      </c>
      <c r="N208" s="5">
        <f t="shared" ca="1" si="77"/>
        <v>4392.2525400000004</v>
      </c>
      <c r="O208" s="14">
        <v>15</v>
      </c>
      <c r="P208" s="14"/>
      <c r="Q208" s="4">
        <f t="shared" ca="1" si="78"/>
        <v>46140</v>
      </c>
      <c r="R208" s="8">
        <f ca="1">+$M$551</f>
        <v>0.85299999999999998</v>
      </c>
      <c r="S208" s="1">
        <f t="shared" si="103"/>
        <v>30</v>
      </c>
      <c r="T208" s="5">
        <f t="shared" ca="1" si="79"/>
        <v>144.24</v>
      </c>
      <c r="U208" s="5">
        <f t="shared" ca="1" si="80"/>
        <v>4312.2000000000007</v>
      </c>
      <c r="V208" s="5">
        <f t="shared" ca="1" si="81"/>
        <v>3678.3066000000003</v>
      </c>
      <c r="W208" s="14">
        <f>+O208</f>
        <v>15</v>
      </c>
      <c r="X208" s="17"/>
      <c r="Y208" s="30">
        <f t="shared" si="106"/>
        <v>0</v>
      </c>
      <c r="Z208" s="30">
        <f t="shared" ca="1" si="107"/>
        <v>0</v>
      </c>
      <c r="AB208" s="170">
        <f t="shared" ca="1" si="72"/>
        <v>-713.94594000000006</v>
      </c>
      <c r="AC208" s="168">
        <f t="shared" ca="1" si="73"/>
        <v>-564.14041147514808</v>
      </c>
      <c r="AD208" s="28">
        <f t="shared" ca="1" si="82"/>
        <v>-8.9100126742712171E-2</v>
      </c>
      <c r="AE208" s="48">
        <f t="shared" ca="1" si="104"/>
        <v>0</v>
      </c>
      <c r="AF208" s="48">
        <f t="shared" ca="1" si="105"/>
        <v>2.0530366113754818E-3</v>
      </c>
      <c r="AG208" s="204">
        <f ca="1">AVERAGE($AF$5:$AF$257)</f>
        <v>3.9682539682539663E-3</v>
      </c>
      <c r="AH208" s="1" t="str">
        <f t="shared" ca="1" si="83"/>
        <v>no</v>
      </c>
      <c r="AI208" s="28">
        <f t="shared" ca="1" si="89"/>
        <v>-8.0630732585335374E-2</v>
      </c>
    </row>
    <row r="209" spans="1:35" x14ac:dyDescent="0.2">
      <c r="A209" s="14">
        <v>1</v>
      </c>
      <c r="B209" s="14" t="e" vm="156">
        <v>#VALUE!</v>
      </c>
      <c r="C209" s="14"/>
      <c r="D209" s="1" t="str" cm="1">
        <f t="array" aca="1" ref="D209" ca="1">_FV(B209,"Ticker symbol",TRUE)</f>
        <v>SNOW</v>
      </c>
      <c r="E209" s="25" cm="1">
        <f t="array" aca="1" ref="E209" ca="1">_FV(B209,"Price")</f>
        <v>144.24</v>
      </c>
      <c r="F209" s="25" cm="1">
        <f t="array" aca="1" ref="F209" ca="1">_FV(B209,"open")</f>
        <v>141.24</v>
      </c>
      <c r="G209" s="5" t="str" cm="1">
        <f t="array" aca="1" ref="G209" ca="1">_FV(B209,"Currency")</f>
        <v>USD</v>
      </c>
      <c r="H209" s="5" t="s">
        <v>26</v>
      </c>
      <c r="I209" s="16">
        <v>45293</v>
      </c>
      <c r="J209" s="172">
        <v>0.91552</v>
      </c>
      <c r="K209" s="14">
        <v>15</v>
      </c>
      <c r="L209" s="19">
        <v>190.8</v>
      </c>
      <c r="M209" s="5">
        <f t="shared" si="76"/>
        <v>2877</v>
      </c>
      <c r="N209" s="5">
        <f t="shared" ca="1" si="77"/>
        <v>2633.9510399999999</v>
      </c>
      <c r="O209" s="14">
        <v>15</v>
      </c>
      <c r="P209" s="14"/>
      <c r="Q209" s="4">
        <f t="shared" ca="1" si="78"/>
        <v>46140</v>
      </c>
      <c r="R209" s="8">
        <f ca="1">+$M$551</f>
        <v>0.85299999999999998</v>
      </c>
      <c r="S209" s="1">
        <f t="shared" si="103"/>
        <v>15</v>
      </c>
      <c r="T209" s="5">
        <f t="shared" ca="1" si="79"/>
        <v>144.24</v>
      </c>
      <c r="U209" s="5">
        <f t="shared" ca="1" si="80"/>
        <v>2148.6000000000004</v>
      </c>
      <c r="V209" s="5">
        <f t="shared" ca="1" si="81"/>
        <v>1832.7558000000004</v>
      </c>
      <c r="W209" s="14">
        <f>+O209</f>
        <v>15</v>
      </c>
      <c r="X209" s="17"/>
      <c r="Y209" s="30">
        <f t="shared" si="106"/>
        <v>0</v>
      </c>
      <c r="Z209" s="30">
        <f t="shared" ca="1" si="107"/>
        <v>0</v>
      </c>
      <c r="AB209" s="170">
        <f t="shared" ca="1" si="72"/>
        <v>-801.19523999999956</v>
      </c>
      <c r="AC209" s="168">
        <f t="shared" ca="1" si="73"/>
        <v>-633.08240448223535</v>
      </c>
      <c r="AD209" s="28">
        <f t="shared" ca="1" si="82"/>
        <v>-0.25318039624608957</v>
      </c>
      <c r="AE209" s="48">
        <f t="shared" ca="1" si="104"/>
        <v>0</v>
      </c>
      <c r="AF209" s="48">
        <f t="shared" ca="1" si="105"/>
        <v>1.231167349428074E-3</v>
      </c>
      <c r="AG209" s="204">
        <f ca="1">AVERAGE($AF$5:$AF$257)</f>
        <v>3.9682539682539663E-3</v>
      </c>
      <c r="AH209" s="1" t="str">
        <f t="shared" ca="1" si="83"/>
        <v>no</v>
      </c>
      <c r="AI209" s="28">
        <f t="shared" ca="1" si="89"/>
        <v>-6.8289059769311433E-2</v>
      </c>
    </row>
    <row r="210" spans="1:35" x14ac:dyDescent="0.2">
      <c r="A210" s="1">
        <v>1</v>
      </c>
      <c r="B210" s="1" t="e" vm="157">
        <v>#VALUE!</v>
      </c>
      <c r="D210" s="1" t="str" cm="1">
        <f t="array" aca="1" ref="D210" ca="1">_FV(B210,"Ticker symbol",TRUE)</f>
        <v>SW</v>
      </c>
      <c r="E210" s="27" cm="1">
        <f t="array" aca="1" ref="E210" ca="1">_FV(B210,"Price")</f>
        <v>42.32</v>
      </c>
      <c r="F210" s="27" cm="1">
        <f t="array" aca="1" ref="F210" ca="1">_FV(B210,"open")</f>
        <v>43.2</v>
      </c>
      <c r="G210" s="5" t="str" cm="1">
        <f t="array" aca="1" ref="G210" ca="1">_FV(B210,"Currency")</f>
        <v>EUR</v>
      </c>
      <c r="H210" s="5" t="s">
        <v>115</v>
      </c>
      <c r="I210" s="4">
        <v>45929</v>
      </c>
      <c r="J210" s="18"/>
      <c r="K210" s="1">
        <v>220</v>
      </c>
      <c r="L210" s="10">
        <v>55</v>
      </c>
      <c r="M210" s="5">
        <f>+K210*L210+O210</f>
        <v>12109.3</v>
      </c>
      <c r="N210" s="5">
        <f ca="1">IF(G210="USD",M210*J210,+K210*L210+O210)</f>
        <v>12109.3</v>
      </c>
      <c r="O210" s="1">
        <v>9.3000000000000007</v>
      </c>
      <c r="Q210" s="4">
        <f t="shared" ca="1" si="78"/>
        <v>46140</v>
      </c>
      <c r="S210" s="1">
        <f>+K210</f>
        <v>220</v>
      </c>
      <c r="T210" s="5">
        <f ca="1">+E210</f>
        <v>42.32</v>
      </c>
      <c r="U210" s="5">
        <f ca="1">+S210*T210-W210</f>
        <v>9301.4</v>
      </c>
      <c r="V210" s="5">
        <f ca="1">IF(G210="USD",U210*R210,+S210*T210-W210)</f>
        <v>9301.4</v>
      </c>
      <c r="W210" s="1">
        <v>9</v>
      </c>
      <c r="X210" s="17"/>
      <c r="Y210" s="30">
        <f>IF(A210=0,V210-N210,0)</f>
        <v>0</v>
      </c>
      <c r="Z210" s="30">
        <f ca="1">+Y210-(Y210*$AA$1)</f>
        <v>0</v>
      </c>
      <c r="AB210" s="170">
        <f t="shared" ca="1" si="72"/>
        <v>-2807.8999999999996</v>
      </c>
      <c r="AC210" s="168">
        <f t="shared" ca="1" si="73"/>
        <v>-2218.725218020104</v>
      </c>
      <c r="AD210" s="28">
        <f ca="1">+U210/M210-1</f>
        <v>-0.23187962970609366</v>
      </c>
      <c r="AE210" s="48">
        <f t="shared" ca="1" si="104"/>
        <v>0</v>
      </c>
      <c r="AF210" s="48">
        <f t="shared" ca="1" si="105"/>
        <v>5.6601563802907194E-3</v>
      </c>
      <c r="AG210" s="204">
        <f ca="1">AVERAGE($AF$5:$AF$257)</f>
        <v>3.9682539682539663E-3</v>
      </c>
      <c r="AH210" s="1" t="str">
        <f ca="1">IF(AF210&lt;AG210,"no","si")</f>
        <v>si</v>
      </c>
      <c r="AI210" s="28" t="str">
        <f ca="1">IF(G210="USD",+R210/J210-1,"-")</f>
        <v>-</v>
      </c>
    </row>
    <row r="211" spans="1:35" x14ac:dyDescent="0.2">
      <c r="A211" s="1">
        <v>1</v>
      </c>
      <c r="B211" s="1" t="e" vm="158">
        <v>#VALUE!</v>
      </c>
      <c r="D211" s="1" t="str" cm="1">
        <f t="array" aca="1" ref="D211" ca="1">_FV(B211,"Ticker symbol",TRUE)</f>
        <v>SOL</v>
      </c>
      <c r="E211" s="27" cm="1">
        <f t="array" aca="1" ref="E211" ca="1">_FV(B211,"Price")</f>
        <v>0.96</v>
      </c>
      <c r="F211" s="27" cm="1">
        <f t="array" aca="1" ref="F211" ca="1">_FV(B211,"open")</f>
        <v>0.94</v>
      </c>
      <c r="G211" s="5" t="str" cm="1">
        <f t="array" aca="1" ref="G211" ca="1">_FV(B211,"Currency")</f>
        <v>EUR</v>
      </c>
      <c r="H211" s="5" t="s">
        <v>115</v>
      </c>
      <c r="I211" s="4">
        <v>45035</v>
      </c>
      <c r="J211" s="18"/>
      <c r="K211" s="1">
        <v>2141</v>
      </c>
      <c r="L211" s="10">
        <v>5.36</v>
      </c>
      <c r="M211" s="5">
        <f t="shared" si="76"/>
        <v>11496.76</v>
      </c>
      <c r="N211" s="5">
        <f t="shared" ca="1" si="77"/>
        <v>11496.76</v>
      </c>
      <c r="O211" s="1">
        <v>21</v>
      </c>
      <c r="Q211" s="4">
        <f t="shared" ca="1" si="78"/>
        <v>46140</v>
      </c>
      <c r="S211" s="1">
        <f t="shared" si="103"/>
        <v>2141</v>
      </c>
      <c r="T211" s="5">
        <f t="shared" ca="1" si="79"/>
        <v>0.96</v>
      </c>
      <c r="U211" s="5">
        <f t="shared" ca="1" si="80"/>
        <v>2040.3600000000001</v>
      </c>
      <c r="V211" s="5">
        <f t="shared" ca="1" si="81"/>
        <v>2040.3600000000001</v>
      </c>
      <c r="W211" s="1">
        <v>15</v>
      </c>
      <c r="X211" s="17"/>
      <c r="Y211" s="30">
        <f t="shared" si="106"/>
        <v>0</v>
      </c>
      <c r="Z211" s="30">
        <f t="shared" ca="1" si="107"/>
        <v>0</v>
      </c>
      <c r="AB211" s="170">
        <f t="shared" ca="1" si="72"/>
        <v>-9456.4</v>
      </c>
      <c r="AC211" s="168">
        <f t="shared" ca="1" si="73"/>
        <v>-7472.1867415810075</v>
      </c>
      <c r="AD211" s="28">
        <f t="shared" ca="1" si="82"/>
        <v>-0.82252739032562217</v>
      </c>
      <c r="AE211" s="48">
        <f t="shared" ca="1" si="104"/>
        <v>0</v>
      </c>
      <c r="AF211" s="48">
        <f t="shared" ca="1" si="105"/>
        <v>5.3738415487824343E-3</v>
      </c>
      <c r="AG211" s="204">
        <f ca="1">AVERAGE($AF$5:$AF$257)</f>
        <v>3.9682539682539663E-3</v>
      </c>
      <c r="AH211" s="1" t="str">
        <f t="shared" ca="1" si="83"/>
        <v>si</v>
      </c>
      <c r="AI211" s="28" t="str">
        <f t="shared" ca="1" si="89"/>
        <v>-</v>
      </c>
    </row>
    <row r="212" spans="1:35" x14ac:dyDescent="0.2">
      <c r="A212" s="14">
        <v>1</v>
      </c>
      <c r="B212" s="14" t="e" vm="159">
        <v>#VALUE!</v>
      </c>
      <c r="C212" s="14"/>
      <c r="D212" s="1" t="str" cm="1">
        <f t="array" aca="1" ref="D212" ca="1">_FV(B212,"Ticker symbol",TRUE)</f>
        <v>SAH</v>
      </c>
      <c r="E212" s="25" cm="1">
        <f t="array" aca="1" ref="E212" ca="1">_FV(B212,"Price")</f>
        <v>71.58</v>
      </c>
      <c r="F212" s="25" cm="1">
        <f t="array" aca="1" ref="F212" ca="1">_FV(B212,"open")</f>
        <v>71.760000000000005</v>
      </c>
      <c r="G212" s="5" t="str" cm="1">
        <f t="array" aca="1" ref="G212" ca="1">_FV(B212,"Currency")</f>
        <v>USD</v>
      </c>
      <c r="H212" s="5" t="s">
        <v>204</v>
      </c>
      <c r="I212" s="16">
        <v>46076</v>
      </c>
      <c r="J212" s="172">
        <v>0.84509999999999996</v>
      </c>
      <c r="K212" s="14">
        <v>135</v>
      </c>
      <c r="L212" s="19">
        <v>65.819999999999993</v>
      </c>
      <c r="M212" s="5">
        <f t="shared" ref="M212" si="108">+K212*L212+O212</f>
        <v>8900.6999999999989</v>
      </c>
      <c r="N212" s="5">
        <f t="shared" ref="N212" ca="1" si="109">IF(G212="USD",M212*J212,+K212*L212+O212)</f>
        <v>7521.981569999999</v>
      </c>
      <c r="O212" s="14">
        <v>15</v>
      </c>
      <c r="P212" s="14"/>
      <c r="Q212" s="4">
        <f t="shared" ca="1" si="78"/>
        <v>46140</v>
      </c>
      <c r="R212" s="8">
        <f ca="1">+$M$551</f>
        <v>0.85299999999999998</v>
      </c>
      <c r="S212" s="1">
        <f t="shared" ref="S212" si="110">+K212</f>
        <v>135</v>
      </c>
      <c r="T212" s="5">
        <f t="shared" ref="T212" ca="1" si="111">+E212</f>
        <v>71.58</v>
      </c>
      <c r="U212" s="5">
        <f t="shared" ref="U212" ca="1" si="112">+S212*T212-W212</f>
        <v>9648.2999999999993</v>
      </c>
      <c r="V212" s="5">
        <f t="shared" ref="V212" ca="1" si="113">IF(G212="USD",U212*R212,+S212*T212-W212)</f>
        <v>8229.9998999999989</v>
      </c>
      <c r="W212" s="14">
        <f>+O212</f>
        <v>15</v>
      </c>
      <c r="X212" s="17"/>
      <c r="Y212" s="30">
        <f t="shared" ref="Y212" si="114">IF(A212=0,V212-N212,0)</f>
        <v>0</v>
      </c>
      <c r="Z212" s="30">
        <f t="shared" ref="Z212" ca="1" si="115">+Y212-(Y212*$AA$1)</f>
        <v>0</v>
      </c>
      <c r="AB212" s="170">
        <f t="shared" ref="AB212" ca="1" si="116">IF(A212=1,+V212-N212,0)</f>
        <v>708.01832999999988</v>
      </c>
      <c r="AC212" s="168">
        <f t="shared" ref="AC212" ca="1" si="117">+AB212-(AB212*$AA$1)</f>
        <v>559.45657736795465</v>
      </c>
      <c r="AD212" s="28">
        <f t="shared" ref="AD212" ca="1" si="118">+U212/M212-1</f>
        <v>8.3993393778017511E-2</v>
      </c>
      <c r="AE212" s="48">
        <f t="shared" ca="1" si="104"/>
        <v>0</v>
      </c>
      <c r="AF212" s="48">
        <f t="shared" ca="1" si="105"/>
        <v>3.5159416296453717E-3</v>
      </c>
      <c r="AG212" s="204">
        <f ca="1">AVERAGE($AF$5:$AF$257)</f>
        <v>3.9682539682539663E-3</v>
      </c>
      <c r="AH212" s="1" t="str">
        <f t="shared" ref="AH212" ca="1" si="119">IF(AF212&lt;AG212,"no","si")</f>
        <v>no</v>
      </c>
      <c r="AI212" s="28">
        <f t="shared" ca="1" si="89"/>
        <v>9.348006153117927E-3</v>
      </c>
    </row>
    <row r="213" spans="1:35" x14ac:dyDescent="0.2">
      <c r="A213" s="14">
        <v>1</v>
      </c>
      <c r="B213" s="14" t="e" vm="160">
        <v>#VALUE!</v>
      </c>
      <c r="C213" s="14"/>
      <c r="D213" s="1" t="str" cm="1">
        <f t="array" aca="1" ref="D213" ca="1">_FV(B213,"Ticker symbol",TRUE)</f>
        <v>SPT</v>
      </c>
      <c r="E213" s="25" cm="1">
        <f t="array" aca="1" ref="E213" ca="1">_FV(B213,"Price")</f>
        <v>6.01</v>
      </c>
      <c r="F213" s="25" cm="1">
        <f t="array" aca="1" ref="F213" ca="1">_FV(B213,"open")</f>
        <v>5.95</v>
      </c>
      <c r="G213" s="5" t="str" cm="1">
        <f t="array" aca="1" ref="G213" ca="1">_FV(B213,"Currency")</f>
        <v>USD</v>
      </c>
      <c r="H213" s="5" t="s">
        <v>26</v>
      </c>
      <c r="I213" s="16">
        <v>45455</v>
      </c>
      <c r="J213" s="172">
        <v>0.92869999999999997</v>
      </c>
      <c r="K213" s="14">
        <v>229</v>
      </c>
      <c r="L213" s="19">
        <v>35.06</v>
      </c>
      <c r="M213" s="5">
        <f t="shared" si="76"/>
        <v>8043.7400000000007</v>
      </c>
      <c r="N213" s="5">
        <f t="shared" ca="1" si="77"/>
        <v>7470.2213380000003</v>
      </c>
      <c r="O213" s="14">
        <v>15</v>
      </c>
      <c r="P213" s="14"/>
      <c r="Q213" s="4">
        <f t="shared" ca="1" si="78"/>
        <v>46140</v>
      </c>
      <c r="R213" s="8">
        <f ca="1">+$M$551</f>
        <v>0.85299999999999998</v>
      </c>
      <c r="S213" s="1">
        <f t="shared" si="103"/>
        <v>229</v>
      </c>
      <c r="T213" s="5">
        <f t="shared" ca="1" si="79"/>
        <v>6.01</v>
      </c>
      <c r="U213" s="5">
        <f t="shared" ca="1" si="80"/>
        <v>1361.29</v>
      </c>
      <c r="V213" s="5">
        <f t="shared" ca="1" si="81"/>
        <v>1161.18037</v>
      </c>
      <c r="W213" s="14">
        <f>+O213</f>
        <v>15</v>
      </c>
      <c r="X213" s="17"/>
      <c r="Y213" s="30">
        <f t="shared" si="106"/>
        <v>0</v>
      </c>
      <c r="Z213" s="30">
        <f t="shared" ca="1" si="107"/>
        <v>0</v>
      </c>
      <c r="AB213" s="170">
        <f t="shared" ca="1" si="72"/>
        <v>-6309.0409680000002</v>
      </c>
      <c r="AC213" s="168">
        <f t="shared" ca="1" si="73"/>
        <v>-4985.2303490948998</v>
      </c>
      <c r="AD213" s="28">
        <f t="shared" ca="1" si="82"/>
        <v>-0.83076404756991151</v>
      </c>
      <c r="AE213" s="48">
        <f t="shared" ca="1" si="104"/>
        <v>0</v>
      </c>
      <c r="AF213" s="48">
        <f t="shared" ca="1" si="105"/>
        <v>3.4917477449947212E-3</v>
      </c>
      <c r="AG213" s="204">
        <f ca="1">AVERAGE($AF$5:$AF$257)</f>
        <v>3.9682539682539663E-3</v>
      </c>
      <c r="AH213" s="1" t="str">
        <f t="shared" ca="1" si="83"/>
        <v>no</v>
      </c>
      <c r="AI213" s="28">
        <f t="shared" ref="AI213:AI244" ca="1" si="120">IF(G213="USD",+R213/J213-1,"-")</f>
        <v>-8.1511790675137252E-2</v>
      </c>
    </row>
    <row r="214" spans="1:35" x14ac:dyDescent="0.2">
      <c r="A214" s="14">
        <v>1</v>
      </c>
      <c r="B214" s="14" t="e" vm="161">
        <v>#VALUE!</v>
      </c>
      <c r="C214" s="14"/>
      <c r="D214" s="1" t="str" cm="1">
        <f t="array" aca="1" ref="D214" ca="1">_FV(B214,"Ticker symbol",TRUE)</f>
        <v>SFM</v>
      </c>
      <c r="E214" s="25" cm="1">
        <f t="array" aca="1" ref="E214" ca="1">_FV(B214,"Price")</f>
        <v>71.62</v>
      </c>
      <c r="F214" s="25" cm="1">
        <f t="array" aca="1" ref="F214" ca="1">_FV(B214,"open")</f>
        <v>73.45</v>
      </c>
      <c r="G214" s="5" t="str" cm="1">
        <f t="array" aca="1" ref="G214" ca="1">_FV(B214,"Currency")</f>
        <v>USD</v>
      </c>
      <c r="H214" s="5" t="s">
        <v>128</v>
      </c>
      <c r="I214" s="16">
        <v>46080</v>
      </c>
      <c r="J214" s="172">
        <v>0.84709999999999996</v>
      </c>
      <c r="K214" s="14">
        <v>125</v>
      </c>
      <c r="L214" s="19">
        <v>74.75</v>
      </c>
      <c r="M214" s="5">
        <f>+K214*L214+O214</f>
        <v>9344.75</v>
      </c>
      <c r="N214" s="5">
        <f ca="1">IF(G214="USD",M214*J214,+K214*L214+O214)</f>
        <v>7915.9377249999998</v>
      </c>
      <c r="O214" s="14">
        <v>1</v>
      </c>
      <c r="P214" s="14"/>
      <c r="Q214" s="4">
        <f t="shared" ca="1" si="78"/>
        <v>46140</v>
      </c>
      <c r="R214" s="8">
        <f ca="1">+$M$551</f>
        <v>0.85299999999999998</v>
      </c>
      <c r="S214" s="1">
        <f>+K214</f>
        <v>125</v>
      </c>
      <c r="T214" s="5">
        <f ca="1">+E214</f>
        <v>71.62</v>
      </c>
      <c r="U214" s="5">
        <f ca="1">+S214*T214-W214</f>
        <v>8951.5</v>
      </c>
      <c r="V214" s="5">
        <f ca="1">IF(G214="USD",U214*R214,+S214*T214-W214)</f>
        <v>7635.6295</v>
      </c>
      <c r="W214" s="14">
        <f>+O214</f>
        <v>1</v>
      </c>
      <c r="X214" s="17"/>
      <c r="Y214" s="30">
        <f>IF(A214=0,V214-N214,0)</f>
        <v>0</v>
      </c>
      <c r="Z214" s="30">
        <f ca="1">+Y214-(Y214*$AA$1)</f>
        <v>0</v>
      </c>
      <c r="AB214" s="170">
        <f ca="1">IF(A214=1,+V214-N214,0)</f>
        <v>-280.30822499999977</v>
      </c>
      <c r="AC214" s="168">
        <f ca="1">+AB214-(AB214*$AA$1)</f>
        <v>-221.49183647065524</v>
      </c>
      <c r="AD214" s="28">
        <f ca="1">+U214/M214-1</f>
        <v>-4.2082452714090834E-2</v>
      </c>
      <c r="AE214" s="48">
        <f t="shared" ca="1" si="104"/>
        <v>0</v>
      </c>
      <c r="AF214" s="48">
        <f t="shared" ca="1" si="105"/>
        <v>3.7000855061929882E-3</v>
      </c>
      <c r="AG214" s="204">
        <f ca="1">AVERAGE($AF$5:$AF$257)</f>
        <v>3.9682539682539663E-3</v>
      </c>
      <c r="AH214" s="1" t="str">
        <f ca="1">IF(AF214&lt;AG214,"no","si")</f>
        <v>no</v>
      </c>
      <c r="AI214" s="28">
        <f ca="1">IF(G214="USD",+R214/J214-1,"-")</f>
        <v>6.9649392043442671E-3</v>
      </c>
    </row>
    <row r="215" spans="1:35" x14ac:dyDescent="0.2">
      <c r="A215" s="14">
        <v>1</v>
      </c>
      <c r="B215" s="14" t="e" vm="162">
        <v>#VALUE!</v>
      </c>
      <c r="C215" s="14"/>
      <c r="D215" s="1" t="str" cm="1">
        <f t="array" aca="1" ref="D215" ca="1">_FV(B215,"Ticker symbol",TRUE)</f>
        <v>SQRL</v>
      </c>
      <c r="E215" s="27" cm="1">
        <f t="array" aca="1" ref="E215" ca="1">_FV(B215,"Price")</f>
        <v>2.63</v>
      </c>
      <c r="F215" s="27" cm="1">
        <f t="array" aca="1" ref="F215" ca="1">_FV(B215,"open")</f>
        <v>2.4900000000000002</v>
      </c>
      <c r="G215" s="5" t="str" cm="1">
        <f t="array" aca="1" ref="G215" ca="1">_FV(B215,"Currency")</f>
        <v>EUR</v>
      </c>
      <c r="H215" s="5" t="s">
        <v>197</v>
      </c>
      <c r="I215" s="16">
        <v>43644</v>
      </c>
      <c r="J215" s="18"/>
      <c r="K215" s="14">
        <f>1804+2400</f>
        <v>4204</v>
      </c>
      <c r="L215" s="19">
        <v>3.1377999999999999</v>
      </c>
      <c r="M215" s="5">
        <f t="shared" si="76"/>
        <v>13220.3112</v>
      </c>
      <c r="N215" s="5">
        <f t="shared" ca="1" si="77"/>
        <v>13220.3112</v>
      </c>
      <c r="O215" s="14">
        <f>20+9</f>
        <v>29</v>
      </c>
      <c r="P215" s="14"/>
      <c r="Q215" s="4">
        <f t="shared" ca="1" si="78"/>
        <v>46140</v>
      </c>
      <c r="S215" s="1">
        <f t="shared" si="103"/>
        <v>4204</v>
      </c>
      <c r="T215" s="5">
        <f t="shared" ca="1" si="79"/>
        <v>2.63</v>
      </c>
      <c r="U215" s="5">
        <f t="shared" ca="1" si="80"/>
        <v>11036.52</v>
      </c>
      <c r="V215" s="5">
        <f t="shared" ca="1" si="81"/>
        <v>11036.52</v>
      </c>
      <c r="W215" s="14">
        <v>20</v>
      </c>
      <c r="X215" s="17"/>
      <c r="Y215" s="30">
        <f t="shared" si="106"/>
        <v>0</v>
      </c>
      <c r="Z215" s="30">
        <f t="shared" ca="1" si="107"/>
        <v>0</v>
      </c>
      <c r="AB215" s="170">
        <f t="shared" ca="1" si="72"/>
        <v>-2183.7911999999997</v>
      </c>
      <c r="AC215" s="168">
        <f t="shared" ca="1" si="73"/>
        <v>-1725.5716394210563</v>
      </c>
      <c r="AD215" s="28">
        <f t="shared" ca="1" si="82"/>
        <v>-0.16518455329553816</v>
      </c>
      <c r="AE215" s="48">
        <f t="shared" ca="1" si="104"/>
        <v>0</v>
      </c>
      <c r="AF215" s="48">
        <f t="shared" ca="1" si="105"/>
        <v>6.1794677469472932E-3</v>
      </c>
      <c r="AG215" s="204">
        <f ca="1">AVERAGE($AF$5:$AF$257)</f>
        <v>3.9682539682539663E-3</v>
      </c>
      <c r="AH215" s="1" t="str">
        <f t="shared" ca="1" si="83"/>
        <v>si</v>
      </c>
      <c r="AI215" s="28" t="str">
        <f t="shared" ca="1" si="120"/>
        <v>-</v>
      </c>
    </row>
    <row r="216" spans="1:35" x14ac:dyDescent="0.2">
      <c r="A216" s="14">
        <v>1</v>
      </c>
      <c r="B216" s="14" t="e" vm="163">
        <v>#VALUE!</v>
      </c>
      <c r="C216" s="14"/>
      <c r="D216" s="1" t="str" cm="1">
        <f t="array" aca="1" ref="D216" ca="1">_FV(B216,"Ticker symbol",TRUE)</f>
        <v>STLAM</v>
      </c>
      <c r="E216" s="27" cm="1">
        <f t="array" aca="1" ref="E216" ca="1">_FV(B216,"Price")</f>
        <v>6.8360000000000003</v>
      </c>
      <c r="F216" s="27" cm="1">
        <f t="array" aca="1" ref="F216" ca="1">_FV(B216,"open")</f>
        <v>6.85</v>
      </c>
      <c r="G216" s="5" t="str" cm="1">
        <f t="array" aca="1" ref="G216" ca="1">_FV(B216,"Currency")</f>
        <v>EUR</v>
      </c>
      <c r="H216" s="5" t="s">
        <v>26</v>
      </c>
      <c r="I216" s="16">
        <v>45674</v>
      </c>
      <c r="J216" s="18"/>
      <c r="K216" s="14">
        <v>786</v>
      </c>
      <c r="L216" s="19">
        <v>12.72</v>
      </c>
      <c r="M216" s="5">
        <f t="shared" si="76"/>
        <v>10012.92</v>
      </c>
      <c r="N216" s="5">
        <f t="shared" ca="1" si="77"/>
        <v>10012.92</v>
      </c>
      <c r="O216" s="14">
        <v>15</v>
      </c>
      <c r="P216" s="14"/>
      <c r="Q216" s="4">
        <f t="shared" ca="1" si="78"/>
        <v>46140</v>
      </c>
      <c r="S216" s="1">
        <f t="shared" si="103"/>
        <v>786</v>
      </c>
      <c r="T216" s="5">
        <f t="shared" ca="1" si="79"/>
        <v>6.8360000000000003</v>
      </c>
      <c r="U216" s="5">
        <f t="shared" ca="1" si="80"/>
        <v>5358.0960000000005</v>
      </c>
      <c r="V216" s="5">
        <f t="shared" ca="1" si="81"/>
        <v>5358.0960000000005</v>
      </c>
      <c r="W216" s="14">
        <v>15</v>
      </c>
      <c r="X216" s="17"/>
      <c r="Y216" s="30">
        <f t="shared" si="106"/>
        <v>0</v>
      </c>
      <c r="Z216" s="30">
        <f t="shared" ca="1" si="107"/>
        <v>0</v>
      </c>
      <c r="AB216" s="170">
        <f t="shared" ca="1" si="72"/>
        <v>-4654.8239999999996</v>
      </c>
      <c r="AC216" s="168">
        <f t="shared" ca="1" si="73"/>
        <v>-3678.1136772125828</v>
      </c>
      <c r="AD216" s="28">
        <f t="shared" ca="1" si="82"/>
        <v>-0.46488177274960751</v>
      </c>
      <c r="AE216" s="48">
        <f t="shared" ca="1" si="104"/>
        <v>0</v>
      </c>
      <c r="AF216" s="48">
        <f t="shared" ca="1" si="105"/>
        <v>4.6802617016128562E-3</v>
      </c>
      <c r="AG216" s="204">
        <f ca="1">AVERAGE($AF$5:$AF$257)</f>
        <v>3.9682539682539663E-3</v>
      </c>
      <c r="AH216" s="1" t="str">
        <f t="shared" ca="1" si="83"/>
        <v>si</v>
      </c>
      <c r="AI216" s="28" t="str">
        <f t="shared" ca="1" si="120"/>
        <v>-</v>
      </c>
    </row>
    <row r="217" spans="1:35" x14ac:dyDescent="0.2">
      <c r="A217" s="1">
        <v>1</v>
      </c>
      <c r="B217" s="1" t="e" vm="164">
        <v>#VALUE!</v>
      </c>
      <c r="D217" s="1" t="str" cm="1">
        <f t="array" aca="1" ref="D217" ca="1">_FV(B217,"Ticker symbol",TRUE)</f>
        <v>SYENS</v>
      </c>
      <c r="E217" s="27" cm="1">
        <f t="array" aca="1" ref="E217" ca="1">_FV(B217,"Price")</f>
        <v>55.95</v>
      </c>
      <c r="F217" s="27" cm="1">
        <f t="array" aca="1" ref="F217" ca="1">_FV(B217,"open")</f>
        <v>55.6</v>
      </c>
      <c r="G217" s="5" t="str" cm="1">
        <f t="array" aca="1" ref="G217" ca="1">_FV(B217,"Currency")</f>
        <v>EUR</v>
      </c>
      <c r="H217" s="5" t="s">
        <v>115</v>
      </c>
      <c r="I217" s="16">
        <v>45376</v>
      </c>
      <c r="J217" s="18"/>
      <c r="K217" s="14">
        <v>127</v>
      </c>
      <c r="L217" s="19">
        <v>86.6</v>
      </c>
      <c r="M217" s="5">
        <f t="shared" si="76"/>
        <v>11012.199999999999</v>
      </c>
      <c r="N217" s="5">
        <f t="shared" ca="1" si="77"/>
        <v>11012.199999999999</v>
      </c>
      <c r="O217" s="14">
        <v>14</v>
      </c>
      <c r="P217" s="14"/>
      <c r="Q217" s="4">
        <f t="shared" ca="1" si="78"/>
        <v>46140</v>
      </c>
      <c r="S217" s="1">
        <f t="shared" si="103"/>
        <v>127</v>
      </c>
      <c r="T217" s="5">
        <f t="shared" ca="1" si="79"/>
        <v>55.95</v>
      </c>
      <c r="U217" s="5">
        <f t="shared" ca="1" si="80"/>
        <v>7091.6500000000005</v>
      </c>
      <c r="V217" s="5">
        <f t="shared" ca="1" si="81"/>
        <v>7091.6500000000005</v>
      </c>
      <c r="W217" s="14">
        <v>14</v>
      </c>
      <c r="X217" s="17"/>
      <c r="Y217" s="30">
        <f t="shared" si="106"/>
        <v>0</v>
      </c>
      <c r="Z217" s="30">
        <f t="shared" ca="1" si="107"/>
        <v>0</v>
      </c>
      <c r="AA217" s="14"/>
      <c r="AB217" s="170">
        <f t="shared" ca="1" si="72"/>
        <v>-3920.5499999999984</v>
      </c>
      <c r="AC217" s="168">
        <f t="shared" ca="1" si="73"/>
        <v>-3097.9105927948699</v>
      </c>
      <c r="AD217" s="28">
        <f t="shared" ca="1" si="82"/>
        <v>-0.35601877917219071</v>
      </c>
      <c r="AE217" s="48">
        <f t="shared" ca="1" si="104"/>
        <v>0</v>
      </c>
      <c r="AF217" s="48">
        <f t="shared" ca="1" si="105"/>
        <v>5.1473474181858124E-3</v>
      </c>
      <c r="AG217" s="204">
        <f ca="1">AVERAGE($AF$5:$AF$257)</f>
        <v>3.9682539682539663E-3</v>
      </c>
      <c r="AH217" s="1" t="str">
        <f t="shared" ca="1" si="83"/>
        <v>si</v>
      </c>
      <c r="AI217" s="28" t="str">
        <f t="shared" ca="1" si="120"/>
        <v>-</v>
      </c>
    </row>
    <row r="218" spans="1:35" x14ac:dyDescent="0.2">
      <c r="A218" s="1">
        <v>1</v>
      </c>
      <c r="B218" s="1" t="e" vm="165">
        <v>#VALUE!</v>
      </c>
      <c r="D218" s="1" t="str" cm="1">
        <f t="array" aca="1" ref="D218" ca="1">_FV(B218,"Ticker symbol",TRUE)</f>
        <v>SY1</v>
      </c>
      <c r="E218" s="27" cm="1">
        <f t="array" aca="1" ref="E218" ca="1">_FV(B218,"Price")</f>
        <v>73.92</v>
      </c>
      <c r="F218" s="27" cm="1">
        <f t="array" aca="1" ref="F218" ca="1">_FV(B218,"open")</f>
        <v>73.400000000000006</v>
      </c>
      <c r="G218" s="5" t="str" cm="1">
        <f t="array" aca="1" ref="G218" ca="1">_FV(B218,"Currency")</f>
        <v>EUR</v>
      </c>
      <c r="H218" s="5" t="s">
        <v>115</v>
      </c>
      <c r="I218" s="16">
        <v>45779</v>
      </c>
      <c r="J218" s="18"/>
      <c r="K218" s="14">
        <v>100</v>
      </c>
      <c r="L218" s="19">
        <v>101.45</v>
      </c>
      <c r="M218" s="5">
        <f t="shared" si="76"/>
        <v>10158</v>
      </c>
      <c r="N218" s="5">
        <f t="shared" ca="1" si="77"/>
        <v>10158</v>
      </c>
      <c r="O218" s="14">
        <v>13</v>
      </c>
      <c r="P218" s="14"/>
      <c r="Q218" s="4">
        <f t="shared" ca="1" si="78"/>
        <v>46140</v>
      </c>
      <c r="S218" s="1">
        <f t="shared" si="103"/>
        <v>100</v>
      </c>
      <c r="T218" s="5">
        <f t="shared" ca="1" si="79"/>
        <v>73.92</v>
      </c>
      <c r="U218" s="5">
        <f t="shared" ca="1" si="80"/>
        <v>7377</v>
      </c>
      <c r="V218" s="5">
        <f t="shared" ca="1" si="81"/>
        <v>7377</v>
      </c>
      <c r="W218" s="14">
        <v>15</v>
      </c>
      <c r="X218" s="17"/>
      <c r="Y218" s="30">
        <f t="shared" si="106"/>
        <v>0</v>
      </c>
      <c r="Z218" s="30">
        <f t="shared" ca="1" si="107"/>
        <v>0</v>
      </c>
      <c r="AA218" s="14"/>
      <c r="AB218" s="170">
        <f t="shared" ca="1" si="72"/>
        <v>-2781</v>
      </c>
      <c r="AC218" s="168">
        <f t="shared" ca="1" si="73"/>
        <v>-2197.4695791566328</v>
      </c>
      <c r="AD218" s="28">
        <f t="shared" ca="1" si="82"/>
        <v>-0.27377436503248676</v>
      </c>
      <c r="AE218" s="48">
        <f t="shared" ca="1" si="104"/>
        <v>0</v>
      </c>
      <c r="AF218" s="48">
        <f t="shared" ca="1" si="105"/>
        <v>4.7480753231807895E-3</v>
      </c>
      <c r="AG218" s="204">
        <f ca="1">AVERAGE($AF$5:$AF$257)</f>
        <v>3.9682539682539663E-3</v>
      </c>
      <c r="AH218" s="1" t="str">
        <f t="shared" ca="1" si="83"/>
        <v>si</v>
      </c>
      <c r="AI218" s="28" t="str">
        <f t="shared" ca="1" si="120"/>
        <v>-</v>
      </c>
    </row>
    <row r="219" spans="1:35" x14ac:dyDescent="0.2">
      <c r="A219" s="1">
        <v>1</v>
      </c>
      <c r="B219" s="1" t="e" vm="166">
        <v>#VALUE!</v>
      </c>
      <c r="D219" s="1" t="str" cm="1">
        <f t="array" aca="1" ref="D219" ca="1">_FV(B219,"Ticker symbol",TRUE)</f>
        <v>TE</v>
      </c>
      <c r="E219" s="27" cm="1">
        <f t="array" aca="1" ref="E219" ca="1">_FV(B219,"Price")</f>
        <v>40.1</v>
      </c>
      <c r="F219" s="27" cm="1">
        <f t="array" aca="1" ref="F219" ca="1">_FV(B219,"open")</f>
        <v>40.5</v>
      </c>
      <c r="G219" s="5" t="str" cm="1">
        <f t="array" aca="1" ref="G219" ca="1">_FV(B219,"Currency")</f>
        <v>EUR</v>
      </c>
      <c r="H219" s="5" t="s">
        <v>183</v>
      </c>
      <c r="I219" s="16">
        <v>46083</v>
      </c>
      <c r="J219" s="18"/>
      <c r="K219" s="14">
        <v>340</v>
      </c>
      <c r="L219" s="19">
        <v>36.9</v>
      </c>
      <c r="M219" s="5">
        <f>+K219*L219+O219</f>
        <v>12561</v>
      </c>
      <c r="N219" s="5">
        <f ca="1">IF(G219="USD",M219*J219,+K219*L219+O219)</f>
        <v>12561</v>
      </c>
      <c r="O219" s="14">
        <v>15</v>
      </c>
      <c r="P219" s="14"/>
      <c r="Q219" s="4">
        <f t="shared" ca="1" si="78"/>
        <v>46140</v>
      </c>
      <c r="S219" s="1">
        <f>+K219</f>
        <v>340</v>
      </c>
      <c r="T219" s="5">
        <f ca="1">+E219</f>
        <v>40.1</v>
      </c>
      <c r="U219" s="5">
        <f ca="1">+S219*T219-W219</f>
        <v>13619</v>
      </c>
      <c r="V219" s="5">
        <f ca="1">IF(G219="USD",U219*R219,+S219*T219-W219)</f>
        <v>13619</v>
      </c>
      <c r="W219" s="14">
        <v>15</v>
      </c>
      <c r="X219" s="17"/>
      <c r="Y219" s="30">
        <f>IF(A219=0,V219-N219,0)</f>
        <v>0</v>
      </c>
      <c r="Z219" s="30">
        <f ca="1">+Y219-(Y219*$AA$1)</f>
        <v>0</v>
      </c>
      <c r="AA219" s="14"/>
      <c r="AB219" s="170">
        <f ca="1">IF(A219=1,+V219-N219,0)</f>
        <v>1058</v>
      </c>
      <c r="AC219" s="168">
        <f ca="1">+AB219-(AB219*$AA$1)</f>
        <v>836.00245046663701</v>
      </c>
      <c r="AD219" s="28">
        <f ca="1">+U219/M219-1</f>
        <v>8.4228962662208362E-2</v>
      </c>
      <c r="AE219" s="48">
        <f t="shared" ca="1" si="104"/>
        <v>0</v>
      </c>
      <c r="AF219" s="48">
        <f t="shared" ca="1" si="105"/>
        <v>5.871291015404006E-3</v>
      </c>
      <c r="AG219" s="204">
        <f ca="1">AVERAGE($AF$5:$AF$257)</f>
        <v>3.9682539682539663E-3</v>
      </c>
      <c r="AH219" s="1" t="str">
        <f ca="1">IF(AF219&lt;AG219,"no","si")</f>
        <v>si</v>
      </c>
      <c r="AI219" s="28" t="str">
        <f ca="1">IF(G219="USD",+R219/J219-1,"-")</f>
        <v>-</v>
      </c>
    </row>
    <row r="220" spans="1:35" x14ac:dyDescent="0.2">
      <c r="A220" s="1">
        <v>1</v>
      </c>
      <c r="B220" s="1" t="e" vm="167">
        <v>#VALUE!</v>
      </c>
      <c r="D220" s="1" t="str" cm="1">
        <f t="array" aca="1" ref="D220" ca="1">_FV(B220,"Ticker symbol",TRUE)</f>
        <v>TDOC</v>
      </c>
      <c r="E220" s="25" cm="1">
        <f t="array" aca="1" ref="E220" ca="1">_FV(B220,"Price")</f>
        <v>5.86</v>
      </c>
      <c r="F220" s="25" cm="1">
        <f t="array" aca="1" ref="F220" ca="1">_FV(B220,"open")</f>
        <v>5.74</v>
      </c>
      <c r="G220" s="5" t="str" cm="1">
        <f t="array" aca="1" ref="G220" ca="1">_FV(B220,"Currency")</f>
        <v>USD</v>
      </c>
      <c r="H220" s="5" t="s">
        <v>26</v>
      </c>
      <c r="I220" s="4">
        <v>45141</v>
      </c>
      <c r="J220" s="172">
        <v>0.9163</v>
      </c>
      <c r="K220" s="1">
        <v>300</v>
      </c>
      <c r="L220" s="10">
        <v>26.05</v>
      </c>
      <c r="M220" s="5">
        <f t="shared" si="76"/>
        <v>7830</v>
      </c>
      <c r="N220" s="5">
        <f t="shared" ca="1" si="77"/>
        <v>7174.6289999999999</v>
      </c>
      <c r="O220" s="1">
        <v>15</v>
      </c>
      <c r="Q220" s="4">
        <f t="shared" ca="1" si="78"/>
        <v>46140</v>
      </c>
      <c r="R220" s="8">
        <f ca="1">+$M$551</f>
        <v>0.85299999999999998</v>
      </c>
      <c r="S220" s="1">
        <f t="shared" si="103"/>
        <v>300</v>
      </c>
      <c r="T220" s="5">
        <f t="shared" ca="1" si="79"/>
        <v>5.86</v>
      </c>
      <c r="U220" s="5">
        <f t="shared" ca="1" si="80"/>
        <v>1742</v>
      </c>
      <c r="V220" s="5">
        <f t="shared" ca="1" si="81"/>
        <v>1485.9259999999999</v>
      </c>
      <c r="W220" s="1">
        <v>16</v>
      </c>
      <c r="Y220" s="30">
        <f t="shared" si="106"/>
        <v>0</v>
      </c>
      <c r="Z220" s="30">
        <f t="shared" ca="1" si="107"/>
        <v>0</v>
      </c>
      <c r="AB220" s="170">
        <f t="shared" ca="1" si="72"/>
        <v>-5688.7029999999995</v>
      </c>
      <c r="AC220" s="168">
        <f t="shared" ca="1" si="73"/>
        <v>-4495.0563780500088</v>
      </c>
      <c r="AD220" s="28">
        <f t="shared" ca="1" si="82"/>
        <v>-0.777522349936143</v>
      </c>
      <c r="AE220" s="48">
        <f t="shared" ca="1" si="104"/>
        <v>0</v>
      </c>
      <c r="AF220" s="48">
        <f t="shared" ca="1" si="105"/>
        <v>3.3535813061505476E-3</v>
      </c>
      <c r="AG220" s="204">
        <f ca="1">AVERAGE($AF$5:$AF$257)</f>
        <v>3.9682539682539663E-3</v>
      </c>
      <c r="AH220" s="1" t="str">
        <f t="shared" ca="1" si="83"/>
        <v>no</v>
      </c>
      <c r="AI220" s="28">
        <f t="shared" ca="1" si="120"/>
        <v>-6.908217832587582E-2</v>
      </c>
    </row>
    <row r="221" spans="1:35" x14ac:dyDescent="0.2">
      <c r="A221" s="14">
        <v>1</v>
      </c>
      <c r="B221" s="14" t="e" vm="168">
        <v>#VALUE!</v>
      </c>
      <c r="C221" s="14"/>
      <c r="D221" s="1" t="str" cm="1">
        <f t="array" aca="1" ref="D221" ca="1">_FV(B221,"Ticker symbol",TRUE)</f>
        <v>TEF</v>
      </c>
      <c r="E221" s="27" cm="1">
        <f t="array" aca="1" ref="E221" ca="1">_FV(B221,"Price")</f>
        <v>3.798</v>
      </c>
      <c r="F221" s="27" cm="1">
        <f t="array" aca="1" ref="F221" ca="1">_FV(B221,"open")</f>
        <v>3.8570000000000002</v>
      </c>
      <c r="G221" s="5" t="str" cm="1">
        <f t="array" aca="1" ref="G221" ca="1">_FV(B221,"Currency")</f>
        <v>EUR</v>
      </c>
      <c r="H221" s="5" t="s">
        <v>196</v>
      </c>
      <c r="I221" s="16">
        <v>43096</v>
      </c>
      <c r="J221" s="18"/>
      <c r="K221" s="14">
        <v>4628</v>
      </c>
      <c r="L221" s="19">
        <v>4.3166000000000002</v>
      </c>
      <c r="M221" s="5">
        <f t="shared" si="76"/>
        <v>20019.2248</v>
      </c>
      <c r="N221" s="5">
        <f t="shared" ca="1" si="77"/>
        <v>20019.2248</v>
      </c>
      <c r="O221" s="14">
        <v>42</v>
      </c>
      <c r="P221" s="14"/>
      <c r="Q221" s="4">
        <f t="shared" ca="1" si="78"/>
        <v>46140</v>
      </c>
      <c r="S221" s="1">
        <f t="shared" si="103"/>
        <v>4628</v>
      </c>
      <c r="T221" s="5">
        <f t="shared" ca="1" si="79"/>
        <v>3.798</v>
      </c>
      <c r="U221" s="5">
        <f t="shared" ca="1" si="80"/>
        <v>17562.144</v>
      </c>
      <c r="V221" s="5">
        <f t="shared" ca="1" si="81"/>
        <v>17562.144</v>
      </c>
      <c r="W221" s="14">
        <v>15</v>
      </c>
      <c r="X221" s="17"/>
      <c r="Y221" s="30">
        <f t="shared" si="106"/>
        <v>0</v>
      </c>
      <c r="Z221" s="30">
        <f t="shared" ca="1" si="107"/>
        <v>0</v>
      </c>
      <c r="AA221" s="14"/>
      <c r="AB221" s="170">
        <f t="shared" ref="AB221:AB255" ca="1" si="121">IF(A221=1,+V221-N221,0)</f>
        <v>-2457.0807999999997</v>
      </c>
      <c r="AC221" s="168">
        <f t="shared" ref="AC221:AC255" ca="1" si="122">+AB221-(AB221*$AA$1)</f>
        <v>-1941.5175517906659</v>
      </c>
      <c r="AD221" s="28">
        <f t="shared" ca="1" si="82"/>
        <v>-0.12273606118854308</v>
      </c>
      <c r="AE221" s="48">
        <f t="shared" ca="1" si="104"/>
        <v>0</v>
      </c>
      <c r="AF221" s="48">
        <f t="shared" ca="1" si="105"/>
        <v>9.3574313114873856E-3</v>
      </c>
      <c r="AG221" s="204">
        <f ca="1">AVERAGE($AF$5:$AF$257)</f>
        <v>3.9682539682539663E-3</v>
      </c>
      <c r="AH221" s="1" t="str">
        <f t="shared" ca="1" si="83"/>
        <v>si</v>
      </c>
      <c r="AI221" s="28" t="str">
        <f t="shared" ca="1" si="120"/>
        <v>-</v>
      </c>
    </row>
    <row r="222" spans="1:35" x14ac:dyDescent="0.2">
      <c r="A222" s="14">
        <v>1</v>
      </c>
      <c r="B222" s="14" t="e" vm="169">
        <v>#VALUE!</v>
      </c>
      <c r="C222" s="14"/>
      <c r="D222" s="1" t="str" cm="1">
        <f t="array" aca="1" ref="D222" ca="1">_FV(B222,"Ticker symbol",TRUE)</f>
        <v>TEP</v>
      </c>
      <c r="E222" s="27" cm="1">
        <f t="array" aca="1" ref="E222" ca="1">_FV(B222,"Price")</f>
        <v>55.42</v>
      </c>
      <c r="F222" s="27" cm="1">
        <f t="array" aca="1" ref="F222" ca="1">_FV(B222,"open")</f>
        <v>54.18</v>
      </c>
      <c r="G222" s="5" t="str" cm="1">
        <f t="array" aca="1" ref="G222" ca="1">_FV(B222,"Currency")</f>
        <v>EUR</v>
      </c>
      <c r="H222" s="5" t="s">
        <v>26</v>
      </c>
      <c r="I222" s="16">
        <v>45275</v>
      </c>
      <c r="J222" s="18"/>
      <c r="K222" s="14">
        <v>52</v>
      </c>
      <c r="L222" s="19">
        <v>121.8</v>
      </c>
      <c r="M222" s="5">
        <f t="shared" si="76"/>
        <v>6348.5999999999995</v>
      </c>
      <c r="N222" s="5">
        <f t="shared" ca="1" si="77"/>
        <v>6348.5999999999995</v>
      </c>
      <c r="O222" s="14">
        <v>15</v>
      </c>
      <c r="P222" s="14"/>
      <c r="Q222" s="4">
        <f t="shared" ca="1" si="78"/>
        <v>46140</v>
      </c>
      <c r="S222" s="1">
        <f t="shared" si="103"/>
        <v>52</v>
      </c>
      <c r="T222" s="5">
        <f t="shared" ca="1" si="79"/>
        <v>55.42</v>
      </c>
      <c r="U222" s="5">
        <f t="shared" ca="1" si="80"/>
        <v>2866.84</v>
      </c>
      <c r="V222" s="5">
        <f t="shared" ca="1" si="81"/>
        <v>2866.84</v>
      </c>
      <c r="W222" s="14">
        <v>15</v>
      </c>
      <c r="X222" s="17"/>
      <c r="Y222" s="30">
        <f t="shared" si="106"/>
        <v>0</v>
      </c>
      <c r="Z222" s="30">
        <f t="shared" ca="1" si="107"/>
        <v>0</v>
      </c>
      <c r="AB222" s="170">
        <f t="shared" ca="1" si="121"/>
        <v>-3481.7599999999993</v>
      </c>
      <c r="AC222" s="168">
        <f t="shared" ca="1" si="122"/>
        <v>-2751.1908241367842</v>
      </c>
      <c r="AD222" s="28">
        <f t="shared" ca="1" si="82"/>
        <v>-0.54842957502441481</v>
      </c>
      <c r="AE222" s="48">
        <f t="shared" ca="1" si="104"/>
        <v>0</v>
      </c>
      <c r="AF222" s="48">
        <f t="shared" ca="1" si="105"/>
        <v>2.967476963648903E-3</v>
      </c>
      <c r="AG222" s="204">
        <f ca="1">AVERAGE($AF$5:$AF$257)</f>
        <v>3.9682539682539663E-3</v>
      </c>
      <c r="AH222" s="1" t="str">
        <f t="shared" ca="1" si="83"/>
        <v>no</v>
      </c>
      <c r="AI222" s="28" t="str">
        <f t="shared" ca="1" si="120"/>
        <v>-</v>
      </c>
    </row>
    <row r="223" spans="1:35" x14ac:dyDescent="0.2">
      <c r="A223" s="14">
        <v>1</v>
      </c>
      <c r="B223" s="14" t="e" vm="169">
        <v>#VALUE!</v>
      </c>
      <c r="C223" s="14"/>
      <c r="D223" s="1" t="str" cm="1">
        <f t="array" aca="1" ref="D223" ca="1">_FV(B223,"Ticker symbol",TRUE)</f>
        <v>TEP</v>
      </c>
      <c r="E223" s="27" cm="1">
        <f t="array" aca="1" ref="E223" ca="1">_FV(B223,"Price")</f>
        <v>55.42</v>
      </c>
      <c r="F223" s="27" cm="1">
        <f t="array" aca="1" ref="F223" ca="1">_FV(B223,"open")</f>
        <v>54.18</v>
      </c>
      <c r="G223" s="5" t="str" cm="1">
        <f t="array" aca="1" ref="G223" ca="1">_FV(B223,"Currency")</f>
        <v>EUR</v>
      </c>
      <c r="H223" s="5" t="s">
        <v>26</v>
      </c>
      <c r="I223" s="16">
        <v>45306</v>
      </c>
      <c r="J223" s="18"/>
      <c r="K223" s="14">
        <v>37</v>
      </c>
      <c r="L223" s="19">
        <v>139.55000000000001</v>
      </c>
      <c r="M223" s="5">
        <f t="shared" si="76"/>
        <v>5178.3500000000004</v>
      </c>
      <c r="N223" s="5">
        <f t="shared" ca="1" si="77"/>
        <v>5178.3500000000004</v>
      </c>
      <c r="O223" s="14">
        <v>15</v>
      </c>
      <c r="P223" s="14"/>
      <c r="Q223" s="4">
        <f t="shared" ca="1" si="78"/>
        <v>46140</v>
      </c>
      <c r="S223" s="1">
        <f t="shared" si="103"/>
        <v>37</v>
      </c>
      <c r="T223" s="5">
        <f t="shared" ca="1" si="79"/>
        <v>55.42</v>
      </c>
      <c r="U223" s="5">
        <f t="shared" ca="1" si="80"/>
        <v>2034.54</v>
      </c>
      <c r="V223" s="5">
        <f t="shared" ca="1" si="81"/>
        <v>2034.54</v>
      </c>
      <c r="W223" s="14">
        <v>16</v>
      </c>
      <c r="X223" s="17"/>
      <c r="Y223" s="30">
        <f t="shared" si="106"/>
        <v>0</v>
      </c>
      <c r="Z223" s="30">
        <f t="shared" ca="1" si="107"/>
        <v>0</v>
      </c>
      <c r="AB223" s="170">
        <f t="shared" ca="1" si="121"/>
        <v>-3143.8100000000004</v>
      </c>
      <c r="AC223" s="168">
        <f t="shared" ca="1" si="122"/>
        <v>-2484.1520451810193</v>
      </c>
      <c r="AD223" s="28">
        <f t="shared" ca="1" si="82"/>
        <v>-0.60710651076114974</v>
      </c>
      <c r="AE223" s="48">
        <f t="shared" ca="1" si="104"/>
        <v>0</v>
      </c>
      <c r="AF223" s="48">
        <f t="shared" ca="1" si="105"/>
        <v>2.4204760631810632E-3</v>
      </c>
      <c r="AG223" s="204">
        <f ca="1">AVERAGE($AF$5:$AF$257)</f>
        <v>3.9682539682539663E-3</v>
      </c>
      <c r="AH223" s="1" t="str">
        <f t="shared" ca="1" si="83"/>
        <v>no</v>
      </c>
      <c r="AI223" s="28" t="str">
        <f t="shared" ca="1" si="120"/>
        <v>-</v>
      </c>
    </row>
    <row r="224" spans="1:35" x14ac:dyDescent="0.2">
      <c r="A224" s="1">
        <v>1</v>
      </c>
      <c r="B224" s="1" t="e" vm="170">
        <v>#VALUE!</v>
      </c>
      <c r="D224" s="1" t="str" cm="1">
        <f t="array" aca="1" ref="D224" ca="1">_FV(B224,"Ticker symbol",TRUE)</f>
        <v>COO</v>
      </c>
      <c r="E224" s="25" cm="1">
        <f t="array" aca="1" ref="E224" ca="1">_FV(B224,"Price")</f>
        <v>64.34</v>
      </c>
      <c r="F224" s="25" cm="1">
        <f t="array" aca="1" ref="F224" ca="1">_FV(B224,"open")</f>
        <v>64.44</v>
      </c>
      <c r="G224" s="5" t="str" cm="1">
        <f t="array" aca="1" ref="G224" ca="1">_FV(B224,"Currency")</f>
        <v>USD</v>
      </c>
      <c r="H224" s="5" t="s">
        <v>26</v>
      </c>
      <c r="I224" s="4">
        <v>45355</v>
      </c>
      <c r="J224" s="172">
        <v>0.92505999999999999</v>
      </c>
      <c r="K224" s="1">
        <v>96</v>
      </c>
      <c r="L224" s="10">
        <v>102.02</v>
      </c>
      <c r="M224" s="5">
        <f t="shared" si="76"/>
        <v>9795.42</v>
      </c>
      <c r="N224" s="5">
        <f t="shared" ca="1" si="77"/>
        <v>9061.3512252</v>
      </c>
      <c r="O224" s="1">
        <v>1.5</v>
      </c>
      <c r="Q224" s="4">
        <f t="shared" ca="1" si="78"/>
        <v>46140</v>
      </c>
      <c r="R224" s="8">
        <f t="shared" ref="R224:R230" ca="1" si="123">+$M$551</f>
        <v>0.85299999999999998</v>
      </c>
      <c r="S224" s="1">
        <f t="shared" ref="S224:S255" si="124">+K224</f>
        <v>96</v>
      </c>
      <c r="T224" s="5">
        <f t="shared" ca="1" si="79"/>
        <v>64.34</v>
      </c>
      <c r="U224" s="5">
        <f t="shared" ca="1" si="80"/>
        <v>6175.14</v>
      </c>
      <c r="V224" s="5">
        <f t="shared" ca="1" si="81"/>
        <v>5267.3944200000005</v>
      </c>
      <c r="W224" s="1">
        <v>1.5</v>
      </c>
      <c r="Y224" s="30">
        <f t="shared" si="106"/>
        <v>0</v>
      </c>
      <c r="Z224" s="30">
        <f t="shared" ca="1" si="107"/>
        <v>0</v>
      </c>
      <c r="AB224" s="170">
        <f t="shared" ca="1" si="121"/>
        <v>-3793.9568051999995</v>
      </c>
      <c r="AC224" s="168">
        <f t="shared" ca="1" si="122"/>
        <v>-2997.8801381018648</v>
      </c>
      <c r="AD224" s="28">
        <f t="shared" ca="1" si="82"/>
        <v>-0.36958905284306331</v>
      </c>
      <c r="AE224" s="48">
        <f t="shared" ca="1" si="104"/>
        <v>0</v>
      </c>
      <c r="AF224" s="48">
        <f t="shared" ca="1" si="105"/>
        <v>4.2354772737789063E-3</v>
      </c>
      <c r="AG224" s="204">
        <f ca="1">AVERAGE($AF$5:$AF$257)</f>
        <v>3.9682539682539663E-3</v>
      </c>
      <c r="AH224" s="1" t="str">
        <f t="shared" ca="1" si="83"/>
        <v>si</v>
      </c>
      <c r="AI224" s="28">
        <f t="shared" ca="1" si="120"/>
        <v>-7.789764988216985E-2</v>
      </c>
    </row>
    <row r="225" spans="1:35" x14ac:dyDescent="0.2">
      <c r="A225" s="15">
        <v>1</v>
      </c>
      <c r="B225" s="1" t="e" vm="171">
        <v>#VALUE!</v>
      </c>
      <c r="D225" s="1" t="str" cm="1">
        <f t="array" aca="1" ref="D225" ca="1">_FV(B225,"Ticker symbol",TRUE)</f>
        <v>HNST</v>
      </c>
      <c r="E225" s="25" cm="1">
        <f t="array" aca="1" ref="E225" ca="1">_FV(B225,"Price")</f>
        <v>3.48</v>
      </c>
      <c r="F225" s="25" cm="1">
        <f t="array" aca="1" ref="F225" ca="1">_FV(B225,"open")</f>
        <v>3.55</v>
      </c>
      <c r="G225" s="5" t="str" cm="1">
        <f t="array" aca="1" ref="G225" ca="1">_FV(B225,"Currency")</f>
        <v>USD</v>
      </c>
      <c r="H225" s="5" t="s">
        <v>183</v>
      </c>
      <c r="I225" s="4">
        <v>45580</v>
      </c>
      <c r="J225" s="172">
        <v>0.91959999999999997</v>
      </c>
      <c r="K225" s="1">
        <v>1657</v>
      </c>
      <c r="L225" s="10">
        <v>3.74</v>
      </c>
      <c r="M225" s="5">
        <f t="shared" si="76"/>
        <v>6212.18</v>
      </c>
      <c r="N225" s="5">
        <f t="shared" ca="1" si="77"/>
        <v>5712.7207280000002</v>
      </c>
      <c r="O225" s="1">
        <v>15</v>
      </c>
      <c r="Q225" s="4">
        <f t="shared" ca="1" si="78"/>
        <v>46140</v>
      </c>
      <c r="R225" s="8">
        <f t="shared" ca="1" si="123"/>
        <v>0.85299999999999998</v>
      </c>
      <c r="S225" s="1">
        <f t="shared" si="124"/>
        <v>1657</v>
      </c>
      <c r="T225" s="5">
        <f t="shared" ca="1" si="79"/>
        <v>3.48</v>
      </c>
      <c r="U225" s="5">
        <f t="shared" ca="1" si="80"/>
        <v>5751.36</v>
      </c>
      <c r="V225" s="5">
        <f t="shared" ca="1" si="81"/>
        <v>4905.9100799999997</v>
      </c>
      <c r="W225" s="1">
        <v>15</v>
      </c>
      <c r="Y225" s="30">
        <f t="shared" si="106"/>
        <v>0</v>
      </c>
      <c r="Z225" s="30">
        <f t="shared" ca="1" si="107"/>
        <v>0</v>
      </c>
      <c r="AB225" s="170">
        <f t="shared" ca="1" si="121"/>
        <v>-806.81064800000058</v>
      </c>
      <c r="AC225" s="168">
        <f t="shared" ca="1" si="122"/>
        <v>-637.51954517067657</v>
      </c>
      <c r="AD225" s="28">
        <f t="shared" ca="1" si="82"/>
        <v>-7.418007849096464E-2</v>
      </c>
      <c r="AE225" s="48">
        <f t="shared" ca="1" si="104"/>
        <v>0</v>
      </c>
      <c r="AF225" s="48">
        <f t="shared" ca="1" si="105"/>
        <v>2.6702528368616062E-3</v>
      </c>
      <c r="AG225" s="204">
        <f ca="1">AVERAGE($AF$5:$AF$257)</f>
        <v>3.9682539682539663E-3</v>
      </c>
      <c r="AH225" s="1" t="str">
        <f t="shared" ca="1" si="83"/>
        <v>no</v>
      </c>
      <c r="AI225" s="28">
        <f t="shared" ca="1" si="120"/>
        <v>-7.2422792518486268E-2</v>
      </c>
    </row>
    <row r="226" spans="1:35" x14ac:dyDescent="0.2">
      <c r="A226" s="15">
        <v>1</v>
      </c>
      <c r="B226" s="1" t="e" vm="171">
        <v>#VALUE!</v>
      </c>
      <c r="D226" s="1" t="str" cm="1">
        <f t="array" aca="1" ref="D226" ca="1">_FV(B226,"Ticker symbol",TRUE)</f>
        <v>HNST</v>
      </c>
      <c r="E226" s="25" cm="1">
        <f t="array" aca="1" ref="E226" ca="1">_FV(B226,"Price")</f>
        <v>3.48</v>
      </c>
      <c r="F226" s="25" cm="1">
        <f t="array" aca="1" ref="F226" ca="1">_FV(B226,"open")</f>
        <v>3.55</v>
      </c>
      <c r="G226" s="5" t="str" cm="1">
        <f t="array" aca="1" ref="G226" ca="1">_FV(B226,"Currency")</f>
        <v>USD</v>
      </c>
      <c r="H226" s="5" t="s">
        <v>183</v>
      </c>
      <c r="I226" s="4">
        <v>45845</v>
      </c>
      <c r="J226" s="172">
        <v>0.85529999999999995</v>
      </c>
      <c r="K226" s="1">
        <v>862</v>
      </c>
      <c r="L226" s="10">
        <v>5.0999999999999996</v>
      </c>
      <c r="M226" s="5">
        <f>+K226*L226+O226</f>
        <v>4411.2</v>
      </c>
      <c r="N226" s="5">
        <f ca="1">IF(G226="USD",M226*J226,+K226*L226+O226)</f>
        <v>3772.8993599999994</v>
      </c>
      <c r="O226" s="1">
        <v>15</v>
      </c>
      <c r="Q226" s="4">
        <f t="shared" ca="1" si="78"/>
        <v>46140</v>
      </c>
      <c r="R226" s="8">
        <f t="shared" ca="1" si="123"/>
        <v>0.85299999999999998</v>
      </c>
      <c r="S226" s="1">
        <f>+K226</f>
        <v>862</v>
      </c>
      <c r="T226" s="5">
        <f ca="1">+E226</f>
        <v>3.48</v>
      </c>
      <c r="U226" s="5">
        <f ca="1">+S226*T226-W226</f>
        <v>2984.7599999999998</v>
      </c>
      <c r="V226" s="5">
        <f ca="1">IF(G226="USD",U226*R226,+S226*T226-W226)</f>
        <v>2546.0002799999997</v>
      </c>
      <c r="W226" s="1">
        <v>15</v>
      </c>
      <c r="Y226" s="30">
        <f>IF(A226=0,V226-N226,0)</f>
        <v>0</v>
      </c>
      <c r="Z226" s="30">
        <f ca="1">+Y226-(Y226*$AA$1)</f>
        <v>0</v>
      </c>
      <c r="AB226" s="170">
        <f t="shared" ca="1" si="121"/>
        <v>-1226.8990799999997</v>
      </c>
      <c r="AC226" s="168">
        <f t="shared" ca="1" si="122"/>
        <v>-969.46185005223276</v>
      </c>
      <c r="AD226" s="28">
        <f ca="1">+U226/M226-1</f>
        <v>-0.32336779107725788</v>
      </c>
      <c r="AE226" s="48">
        <f t="shared" ca="1" si="104"/>
        <v>0</v>
      </c>
      <c r="AF226" s="48">
        <f t="shared" ca="1" si="105"/>
        <v>1.7635371478697175E-3</v>
      </c>
      <c r="AG226" s="204">
        <f ca="1">AVERAGE($AF$5:$AF$257)</f>
        <v>3.9682539682539663E-3</v>
      </c>
      <c r="AH226" s="1" t="str">
        <f ca="1">IF(AF226&lt;AG226,"no","si")</f>
        <v>no</v>
      </c>
      <c r="AI226" s="28">
        <f ca="1">IF(G226="USD",+R226/J226-1,"-")</f>
        <v>-2.689114930433778E-3</v>
      </c>
    </row>
    <row r="227" spans="1:35" x14ac:dyDescent="0.2">
      <c r="A227" s="1">
        <v>1</v>
      </c>
      <c r="B227" s="1" t="e" vm="172">
        <v>#VALUE!</v>
      </c>
      <c r="D227" s="1" t="str" cm="1">
        <f t="array" aca="1" ref="D227" ca="1">_FV(B227,"Ticker symbol",TRUE)</f>
        <v>GT</v>
      </c>
      <c r="E227" s="25" cm="1">
        <f t="array" aca="1" ref="E227" ca="1">_FV(B227,"Price")</f>
        <v>7.14</v>
      </c>
      <c r="F227" s="25" cm="1">
        <f t="array" aca="1" ref="F227" ca="1">_FV(B227,"open")</f>
        <v>7.07</v>
      </c>
      <c r="G227" s="5" t="str" cm="1">
        <f t="array" aca="1" ref="G227" ca="1">_FV(B227,"Currency")</f>
        <v>USD</v>
      </c>
      <c r="H227" s="5" t="s">
        <v>128</v>
      </c>
      <c r="I227" s="4">
        <v>45653</v>
      </c>
      <c r="J227" s="172">
        <v>0.85909999999999997</v>
      </c>
      <c r="K227" s="1">
        <v>1222</v>
      </c>
      <c r="L227" s="10">
        <v>8.7200000000000006</v>
      </c>
      <c r="M227" s="5">
        <f>+K227*L227+O227</f>
        <v>10661.34</v>
      </c>
      <c r="N227" s="5">
        <f ca="1">IF(G227="USD",M227*J227,+K227*L227+O227)</f>
        <v>9159.1571939999994</v>
      </c>
      <c r="O227" s="1">
        <v>5.5</v>
      </c>
      <c r="Q227" s="4">
        <f ca="1">TODAY()</f>
        <v>46140</v>
      </c>
      <c r="R227" s="8">
        <f t="shared" ca="1" si="123"/>
        <v>0.85299999999999998</v>
      </c>
      <c r="S227" s="1">
        <f>+K227</f>
        <v>1222</v>
      </c>
      <c r="T227" s="5">
        <f ca="1">+E227</f>
        <v>7.14</v>
      </c>
      <c r="U227" s="5">
        <f ca="1">+S227*T227-W227</f>
        <v>8715.08</v>
      </c>
      <c r="V227" s="5">
        <f ca="1">IF(G227="USD",U227*R227,+S227*T227-W227)</f>
        <v>7433.96324</v>
      </c>
      <c r="W227" s="1">
        <v>10</v>
      </c>
      <c r="Y227" s="30">
        <f>IF(A227=0,V227-N227,0)</f>
        <v>0</v>
      </c>
      <c r="Z227" s="30">
        <f ca="1">+Y227-(Y227*$AA$1)</f>
        <v>0</v>
      </c>
      <c r="AB227" s="170">
        <f ca="1">IF(A227=1,+V227-N227,0)</f>
        <v>-1725.1939539999994</v>
      </c>
      <c r="AC227" s="168">
        <f ca="1">+AB227-(AB227*$AA$1)</f>
        <v>-1363.2007306939756</v>
      </c>
      <c r="AD227" s="28">
        <f ca="1">+U227/M227-1</f>
        <v>-0.18255303742306317</v>
      </c>
      <c r="AE227" s="48">
        <f t="shared" ca="1" si="104"/>
        <v>0</v>
      </c>
      <c r="AF227" s="48">
        <f t="shared" ca="1" si="105"/>
        <v>4.2811939608156328E-3</v>
      </c>
      <c r="AG227" s="204">
        <f ca="1">AVERAGE($AF$5:$AF$257)</f>
        <v>3.9682539682539663E-3</v>
      </c>
      <c r="AH227" s="1" t="str">
        <f ca="1">IF(AF227&lt;AG227,"no","si")</f>
        <v>si</v>
      </c>
      <c r="AI227" s="28">
        <f ca="1">IF(G227="USD",+R227/J227-1,"-")</f>
        <v>-7.1004539634501596E-3</v>
      </c>
    </row>
    <row r="228" spans="1:35" x14ac:dyDescent="0.2">
      <c r="A228" s="1">
        <v>1</v>
      </c>
      <c r="B228" s="1" t="e" vm="173">
        <v>#VALUE!</v>
      </c>
      <c r="D228" s="1" t="str" cm="1">
        <f t="array" aca="1" ref="D228" ca="1">_FV(B228,"Ticker symbol",TRUE)</f>
        <v>TGTX</v>
      </c>
      <c r="E228" s="25" cm="1">
        <f t="array" aca="1" ref="E228" ca="1">_FV(B228,"Price")</f>
        <v>35.380000000000003</v>
      </c>
      <c r="F228" s="25" cm="1">
        <f t="array" aca="1" ref="F228" ca="1">_FV(B228,"open")</f>
        <v>36.71</v>
      </c>
      <c r="G228" s="5" t="str" cm="1">
        <f t="array" aca="1" ref="G228" ca="1">_FV(B228,"Currency")</f>
        <v>USD</v>
      </c>
      <c r="H228" s="5" t="s">
        <v>204</v>
      </c>
      <c r="I228" s="4">
        <v>46112</v>
      </c>
      <c r="J228" s="172">
        <v>0.86839999999999995</v>
      </c>
      <c r="K228" s="1">
        <v>277.09350000000001</v>
      </c>
      <c r="L228" s="10">
        <v>32.479999999999997</v>
      </c>
      <c r="M228" s="5">
        <f>+K228*L228+O228</f>
        <v>8999.9968799999988</v>
      </c>
      <c r="N228" s="5">
        <f ca="1">IF(G228="USD",M228*J228,+K228*L228+O228)</f>
        <v>7815.5972905919989</v>
      </c>
      <c r="O228" s="1">
        <v>0</v>
      </c>
      <c r="Q228" s="4">
        <f ca="1">TODAY()</f>
        <v>46140</v>
      </c>
      <c r="R228" s="8">
        <f t="shared" ca="1" si="123"/>
        <v>0.85299999999999998</v>
      </c>
      <c r="S228" s="1">
        <f>+K228</f>
        <v>277.09350000000001</v>
      </c>
      <c r="T228" s="5">
        <f ca="1">+E228</f>
        <v>35.380000000000003</v>
      </c>
      <c r="U228" s="5">
        <f ca="1">+S228*T228-W228</f>
        <v>9803.5680300000004</v>
      </c>
      <c r="V228" s="5">
        <f ca="1">IF(G228="USD",U228*R228,+S228*T228-W228)</f>
        <v>8362.4435295900003</v>
      </c>
      <c r="W228" s="1">
        <v>0</v>
      </c>
      <c r="Y228" s="30">
        <f>IF(A228=0,V228-N228,0)</f>
        <v>0</v>
      </c>
      <c r="Z228" s="30">
        <f ca="1">+Y228-(Y228*$AA$1)</f>
        <v>0</v>
      </c>
      <c r="AB228" s="170">
        <f ca="1">IF(A228=1,+V228-N228,0)</f>
        <v>546.84623899800135</v>
      </c>
      <c r="AC228" s="168">
        <f ca="1">+AB228-(AB228*$AA$1)</f>
        <v>432.10283159810336</v>
      </c>
      <c r="AD228" s="28">
        <f ca="1">+U228/M228-1</f>
        <v>8.9285714285714413E-2</v>
      </c>
      <c r="AE228" s="48">
        <f t="shared" ca="1" si="104"/>
        <v>0</v>
      </c>
      <c r="AF228" s="48">
        <f t="shared" ca="1" si="105"/>
        <v>3.6531841535123555E-3</v>
      </c>
      <c r="AG228" s="204">
        <f ca="1">AVERAGE($AF$5:$AF$257)</f>
        <v>3.9682539682539663E-3</v>
      </c>
      <c r="AH228" s="1" t="str">
        <f ca="1">IF(AF228&lt;AG228,"no","si")</f>
        <v>no</v>
      </c>
      <c r="AI228" s="28">
        <f ca="1">IF(G228="USD",+R228/J228-1,"-")</f>
        <v>-1.7733763242745226E-2</v>
      </c>
    </row>
    <row r="229" spans="1:35" x14ac:dyDescent="0.2">
      <c r="A229" s="1">
        <v>1</v>
      </c>
      <c r="B229" s="1" t="e" vm="174">
        <v>#VALUE!</v>
      </c>
      <c r="D229" s="1" t="str" cm="1">
        <f t="array" aca="1" ref="D229" ca="1">_FV(B229,"Ticker symbol",TRUE)</f>
        <v>DJT</v>
      </c>
      <c r="E229" s="25" cm="1">
        <f t="array" aca="1" ref="E229" ca="1">_FV(B229,"Price")</f>
        <v>9.9499999999999993</v>
      </c>
      <c r="F229" s="25" cm="1">
        <f t="array" aca="1" ref="F229" ca="1">_FV(B229,"open")</f>
        <v>9.32</v>
      </c>
      <c r="G229" s="5" t="str" cm="1">
        <f t="array" aca="1" ref="G229" ca="1">_FV(B229,"Currency")</f>
        <v>USD</v>
      </c>
      <c r="H229" s="5" t="s">
        <v>128</v>
      </c>
      <c r="I229" s="4">
        <v>45630</v>
      </c>
      <c r="J229" s="172">
        <v>0.95489999999999997</v>
      </c>
      <c r="K229" s="1">
        <f>93+25</f>
        <v>118</v>
      </c>
      <c r="L229" s="10">
        <v>33.4</v>
      </c>
      <c r="M229" s="5">
        <f t="shared" si="76"/>
        <v>3942.2</v>
      </c>
      <c r="N229" s="5">
        <f t="shared" ca="1" si="77"/>
        <v>3764.4067799999998</v>
      </c>
      <c r="O229" s="1">
        <v>1</v>
      </c>
      <c r="Q229" s="4">
        <f t="shared" ca="1" si="78"/>
        <v>46140</v>
      </c>
      <c r="R229" s="8">
        <f t="shared" ca="1" si="123"/>
        <v>0.85299999999999998</v>
      </c>
      <c r="S229" s="1">
        <f t="shared" si="124"/>
        <v>118</v>
      </c>
      <c r="T229" s="5">
        <f t="shared" ca="1" si="79"/>
        <v>9.9499999999999993</v>
      </c>
      <c r="U229" s="5">
        <f t="shared" ca="1" si="80"/>
        <v>1173.0999999999999</v>
      </c>
      <c r="V229" s="5">
        <f t="shared" ca="1" si="81"/>
        <v>1000.6542999999999</v>
      </c>
      <c r="W229" s="1">
        <v>1</v>
      </c>
      <c r="Y229" s="30">
        <f t="shared" si="106"/>
        <v>0</v>
      </c>
      <c r="Z229" s="30">
        <f t="shared" ca="1" si="107"/>
        <v>0</v>
      </c>
      <c r="AB229" s="170">
        <f t="shared" ca="1" si="121"/>
        <v>-2763.7524800000001</v>
      </c>
      <c r="AC229" s="168">
        <f t="shared" ca="1" si="122"/>
        <v>-2183.8410640484362</v>
      </c>
      <c r="AD229" s="28">
        <f t="shared" ca="1" si="82"/>
        <v>-0.70242504185480192</v>
      </c>
      <c r="AE229" s="48">
        <f t="shared" ca="1" si="104"/>
        <v>0</v>
      </c>
      <c r="AF229" s="48">
        <f t="shared" ca="1" si="105"/>
        <v>1.7595675269277862E-3</v>
      </c>
      <c r="AG229" s="204">
        <f ca="1">AVERAGE($AF$5:$AF$257)</f>
        <v>3.9682539682539663E-3</v>
      </c>
      <c r="AH229" s="1" t="str">
        <f t="shared" ca="1" si="83"/>
        <v>no</v>
      </c>
      <c r="AI229" s="28">
        <f t="shared" ca="1" si="120"/>
        <v>-0.10671274479003034</v>
      </c>
    </row>
    <row r="230" spans="1:35" x14ac:dyDescent="0.2">
      <c r="A230" s="1">
        <v>1</v>
      </c>
      <c r="B230" s="1" t="e" vm="175">
        <v>#VALUE!</v>
      </c>
      <c r="D230" s="1" t="str" cm="1">
        <f t="array" aca="1" ref="D230" ca="1">_FV(B230,"Ticker symbol",TRUE)</f>
        <v>TMUS</v>
      </c>
      <c r="E230" s="25" cm="1">
        <f t="array" aca="1" ref="E230" ca="1">_FV(B230,"Price")</f>
        <v>182.75</v>
      </c>
      <c r="F230" s="25" cm="1">
        <f t="array" aca="1" ref="F230" ca="1">_FV(B230,"open")</f>
        <v>188.76</v>
      </c>
      <c r="G230" s="5" t="str" cm="1">
        <f t="array" aca="1" ref="G230" ca="1">_FV(B230,"Currency")</f>
        <v>USD</v>
      </c>
      <c r="H230" s="5" t="s">
        <v>26</v>
      </c>
      <c r="I230" s="4">
        <v>46059</v>
      </c>
      <c r="J230" s="172">
        <v>0.85060000000000002</v>
      </c>
      <c r="K230" s="1">
        <v>50</v>
      </c>
      <c r="L230" s="10">
        <v>199.5</v>
      </c>
      <c r="M230" s="5">
        <f>+K230*L230+O230</f>
        <v>9990</v>
      </c>
      <c r="N230" s="5">
        <f ca="1">IF(G230="USD",M230*J230,+K230*L230+O230)</f>
        <v>8497.4940000000006</v>
      </c>
      <c r="O230" s="1">
        <v>15</v>
      </c>
      <c r="Q230" s="4">
        <f t="shared" ca="1" si="78"/>
        <v>46140</v>
      </c>
      <c r="R230" s="8">
        <f t="shared" ca="1" si="123"/>
        <v>0.85299999999999998</v>
      </c>
      <c r="S230" s="1">
        <f>+K230</f>
        <v>50</v>
      </c>
      <c r="T230" s="5">
        <f ca="1">+E230</f>
        <v>182.75</v>
      </c>
      <c r="U230" s="5">
        <f ca="1">+S230*T230-W230</f>
        <v>9122.5</v>
      </c>
      <c r="V230" s="5">
        <f ca="1">IF(G230="USD",U230*R230,+S230*T230-W230)</f>
        <v>7781.4924999999994</v>
      </c>
      <c r="W230" s="1">
        <v>15</v>
      </c>
      <c r="Y230" s="30">
        <f>IF(A230=0,V230-N230,0)</f>
        <v>0</v>
      </c>
      <c r="Z230" s="30">
        <f ca="1">+Y230-(Y230*$AA$1)</f>
        <v>0</v>
      </c>
      <c r="AB230" s="170">
        <f ca="1">IF(A230=1,+V230-N230,0)</f>
        <v>-716.00150000000122</v>
      </c>
      <c r="AC230" s="168">
        <f ca="1">+AB230-(AB230*$AA$1)</f>
        <v>-565.76465835329759</v>
      </c>
      <c r="AD230" s="28">
        <f ca="1">+U230/M230-1</f>
        <v>-8.683683683683685E-2</v>
      </c>
      <c r="AE230" s="48">
        <f t="shared" ca="1" si="104"/>
        <v>0</v>
      </c>
      <c r="AF230" s="48">
        <f t="shared" ca="1" si="105"/>
        <v>3.9719178549199466E-3</v>
      </c>
      <c r="AG230" s="204">
        <f ca="1">AVERAGE($AF$5:$AF$257)</f>
        <v>3.9682539682539663E-3</v>
      </c>
      <c r="AH230" s="1" t="str">
        <f ca="1">IF(AF230&lt;AG230,"no","si")</f>
        <v>si</v>
      </c>
      <c r="AI230" s="28">
        <f ca="1">IF(G230="USD",+R230/J230-1,"-")</f>
        <v>2.821537738067148E-3</v>
      </c>
    </row>
    <row r="231" spans="1:35" x14ac:dyDescent="0.2">
      <c r="A231" s="14">
        <v>1</v>
      </c>
      <c r="B231" s="14" t="e" vm="176">
        <v>#VALUE!</v>
      </c>
      <c r="C231" s="14"/>
      <c r="D231" s="1" t="str" cm="1">
        <f t="array" aca="1" ref="D231" ca="1">_FV(B231,"Ticker symbol",TRUE)</f>
        <v>TUB</v>
      </c>
      <c r="E231" s="27" cm="1">
        <f t="array" aca="1" ref="E231" ca="1">_FV(B231,"Price")</f>
        <v>2.93</v>
      </c>
      <c r="F231" s="27" cm="1">
        <f t="array" aca="1" ref="F231" ca="1">_FV(B231,"open")</f>
        <v>2.9750000000000001</v>
      </c>
      <c r="G231" s="5" t="str" cm="1">
        <f t="array" aca="1" ref="G231" ca="1">_FV(B231,"Currency")</f>
        <v>EUR</v>
      </c>
      <c r="H231" s="5" t="s">
        <v>115</v>
      </c>
      <c r="I231" s="16">
        <v>39693</v>
      </c>
      <c r="J231" s="18"/>
      <c r="K231" s="14">
        <v>1200</v>
      </c>
      <c r="L231" s="19">
        <v>5.72</v>
      </c>
      <c r="M231" s="5">
        <f t="shared" si="76"/>
        <v>6892</v>
      </c>
      <c r="N231" s="5">
        <f t="shared" ca="1" si="77"/>
        <v>6892</v>
      </c>
      <c r="O231" s="14">
        <v>28</v>
      </c>
      <c r="P231" s="14"/>
      <c r="Q231" s="4">
        <f t="shared" ca="1" si="78"/>
        <v>46140</v>
      </c>
      <c r="S231" s="1">
        <f t="shared" si="124"/>
        <v>1200</v>
      </c>
      <c r="T231" s="5">
        <f t="shared" ca="1" si="79"/>
        <v>2.93</v>
      </c>
      <c r="U231" s="5">
        <f t="shared" ca="1" si="80"/>
        <v>3491</v>
      </c>
      <c r="V231" s="5">
        <f t="shared" ca="1" si="81"/>
        <v>3491</v>
      </c>
      <c r="W231" s="14">
        <v>25</v>
      </c>
      <c r="Y231" s="30">
        <f t="shared" si="106"/>
        <v>0</v>
      </c>
      <c r="Z231" s="30">
        <f t="shared" ca="1" si="107"/>
        <v>0</v>
      </c>
      <c r="AB231" s="170">
        <f t="shared" ca="1" si="121"/>
        <v>-3401</v>
      </c>
      <c r="AC231" s="168">
        <f t="shared" ca="1" si="122"/>
        <v>-2687.3764971994638</v>
      </c>
      <c r="AD231" s="28">
        <f t="shared" ca="1" si="82"/>
        <v>-0.49347069065583282</v>
      </c>
      <c r="AE231" s="48">
        <f t="shared" ca="1" si="104"/>
        <v>0</v>
      </c>
      <c r="AF231" s="48">
        <f t="shared" ca="1" si="105"/>
        <v>3.2214742200592636E-3</v>
      </c>
      <c r="AG231" s="204">
        <f ca="1">AVERAGE($AF$5:$AF$257)</f>
        <v>3.9682539682539663E-3</v>
      </c>
      <c r="AH231" s="1" t="str">
        <f t="shared" ca="1" si="83"/>
        <v>no</v>
      </c>
      <c r="AI231" s="28" t="str">
        <f t="shared" ca="1" si="120"/>
        <v>-</v>
      </c>
    </row>
    <row r="232" spans="1:35" x14ac:dyDescent="0.2">
      <c r="A232" s="14">
        <v>1</v>
      </c>
      <c r="B232" s="14" t="e" vm="176">
        <v>#VALUE!</v>
      </c>
      <c r="C232" s="14"/>
      <c r="D232" s="1" t="str" cm="1">
        <f t="array" aca="1" ref="D232" ca="1">_FV(B232,"Ticker symbol",TRUE)</f>
        <v>TUB</v>
      </c>
      <c r="E232" s="27" cm="1">
        <f t="array" aca="1" ref="E232" ca="1">_FV(B232,"Price")</f>
        <v>2.93</v>
      </c>
      <c r="F232" s="27" cm="1">
        <f t="array" aca="1" ref="F232" ca="1">_FV(B232,"open")</f>
        <v>2.9750000000000001</v>
      </c>
      <c r="G232" s="5" t="str" cm="1">
        <f t="array" aca="1" ref="G232" ca="1">_FV(B232,"Currency")</f>
        <v>EUR</v>
      </c>
      <c r="H232" s="5" t="s">
        <v>115</v>
      </c>
      <c r="I232" s="16">
        <v>40226</v>
      </c>
      <c r="J232" s="18"/>
      <c r="K232" s="14">
        <v>3200</v>
      </c>
      <c r="L232" s="19">
        <v>2.83</v>
      </c>
      <c r="M232" s="5">
        <f t="shared" si="76"/>
        <v>9089.65</v>
      </c>
      <c r="N232" s="5">
        <f t="shared" ca="1" si="77"/>
        <v>9089.65</v>
      </c>
      <c r="O232" s="14">
        <v>33.65</v>
      </c>
      <c r="P232" s="14"/>
      <c r="Q232" s="4">
        <f t="shared" ca="1" si="78"/>
        <v>46140</v>
      </c>
      <c r="S232" s="1">
        <f t="shared" si="124"/>
        <v>3200</v>
      </c>
      <c r="T232" s="5">
        <f t="shared" ca="1" si="79"/>
        <v>2.93</v>
      </c>
      <c r="U232" s="5">
        <f t="shared" ca="1" si="80"/>
        <v>9376</v>
      </c>
      <c r="V232" s="5">
        <f t="shared" ca="1" si="81"/>
        <v>9376</v>
      </c>
      <c r="W232" s="14"/>
      <c r="Y232" s="30">
        <f t="shared" si="106"/>
        <v>0</v>
      </c>
      <c r="Z232" s="30">
        <f t="shared" ca="1" si="107"/>
        <v>0</v>
      </c>
      <c r="AB232" s="170">
        <f t="shared" ca="1" si="121"/>
        <v>286.35000000000036</v>
      </c>
      <c r="AC232" s="168">
        <f t="shared" ca="1" si="122"/>
        <v>226.26588061542705</v>
      </c>
      <c r="AD232" s="28">
        <f t="shared" ca="1" si="82"/>
        <v>3.1502863146545934E-2</v>
      </c>
      <c r="AE232" s="48">
        <f t="shared" ca="1" si="104"/>
        <v>0</v>
      </c>
      <c r="AF232" s="48">
        <f t="shared" ca="1" si="105"/>
        <v>4.2487047510681494E-3</v>
      </c>
      <c r="AG232" s="204">
        <f ca="1">AVERAGE($AF$5:$AF$257)</f>
        <v>3.9682539682539663E-3</v>
      </c>
      <c r="AH232" s="1" t="str">
        <f t="shared" ca="1" si="83"/>
        <v>si</v>
      </c>
      <c r="AI232" s="28" t="str">
        <f t="shared" ca="1" si="120"/>
        <v>-</v>
      </c>
    </row>
    <row r="233" spans="1:35" x14ac:dyDescent="0.2">
      <c r="A233" s="14">
        <v>1</v>
      </c>
      <c r="B233" s="14" t="e" vm="176">
        <v>#VALUE!</v>
      </c>
      <c r="C233" s="14"/>
      <c r="D233" s="1" t="str" cm="1">
        <f t="array" aca="1" ref="D233" ca="1">_FV(B233,"Ticker symbol",TRUE)</f>
        <v>TUB</v>
      </c>
      <c r="E233" s="27" cm="1">
        <f t="array" aca="1" ref="E233" ca="1">_FV(B233,"Price")</f>
        <v>2.93</v>
      </c>
      <c r="F233" s="27" cm="1">
        <f t="array" aca="1" ref="F233" ca="1">_FV(B233,"open")</f>
        <v>2.9750000000000001</v>
      </c>
      <c r="G233" s="5" t="str" cm="1">
        <f t="array" aca="1" ref="G233" ca="1">_FV(B233,"Currency")</f>
        <v>EUR</v>
      </c>
      <c r="H233" s="5" t="s">
        <v>115</v>
      </c>
      <c r="I233" s="16">
        <v>40394</v>
      </c>
      <c r="J233" s="18"/>
      <c r="K233" s="14">
        <v>1838</v>
      </c>
      <c r="L233" s="19">
        <v>2.72</v>
      </c>
      <c r="M233" s="5">
        <f t="shared" si="76"/>
        <v>5022.2400000000007</v>
      </c>
      <c r="N233" s="5">
        <f t="shared" ca="1" si="77"/>
        <v>5022.2400000000007</v>
      </c>
      <c r="O233" s="14">
        <v>22.88</v>
      </c>
      <c r="P233" s="14"/>
      <c r="Q233" s="4">
        <f t="shared" ca="1" si="78"/>
        <v>46140</v>
      </c>
      <c r="S233" s="1">
        <f t="shared" si="124"/>
        <v>1838</v>
      </c>
      <c r="T233" s="5">
        <f t="shared" ca="1" si="79"/>
        <v>2.93</v>
      </c>
      <c r="U233" s="5">
        <f t="shared" ca="1" si="80"/>
        <v>5385.34</v>
      </c>
      <c r="V233" s="5">
        <f t="shared" ca="1" si="81"/>
        <v>5385.34</v>
      </c>
      <c r="W233" s="14"/>
      <c r="X233" s="17"/>
      <c r="Y233" s="30">
        <f t="shared" si="106"/>
        <v>0</v>
      </c>
      <c r="Z233" s="30">
        <f t="shared" ca="1" si="107"/>
        <v>0</v>
      </c>
      <c r="AA233" s="14"/>
      <c r="AB233" s="170">
        <f t="shared" ca="1" si="121"/>
        <v>363.09999999999945</v>
      </c>
      <c r="AC233" s="168">
        <f t="shared" ca="1" si="122"/>
        <v>286.91161603443805</v>
      </c>
      <c r="AD233" s="28">
        <f t="shared" ca="1" si="82"/>
        <v>7.2298416642772922E-2</v>
      </c>
      <c r="AE233" s="48">
        <f t="shared" ca="1" si="104"/>
        <v>0</v>
      </c>
      <c r="AF233" s="48">
        <f t="shared" ca="1" si="105"/>
        <v>2.3475067740787053E-3</v>
      </c>
      <c r="AG233" s="204">
        <f ca="1">AVERAGE($AF$5:$AF$257)</f>
        <v>3.9682539682539663E-3</v>
      </c>
      <c r="AH233" s="1" t="str">
        <f t="shared" ca="1" si="83"/>
        <v>no</v>
      </c>
      <c r="AI233" s="28" t="str">
        <f t="shared" ca="1" si="120"/>
        <v>-</v>
      </c>
    </row>
    <row r="234" spans="1:35" x14ac:dyDescent="0.2">
      <c r="A234" s="14">
        <v>1</v>
      </c>
      <c r="B234" s="14" t="e" vm="176">
        <v>#VALUE!</v>
      </c>
      <c r="C234" s="14"/>
      <c r="D234" s="1" t="str" cm="1">
        <f t="array" aca="1" ref="D234" ca="1">_FV(B234,"Ticker symbol",TRUE)</f>
        <v>TUB</v>
      </c>
      <c r="E234" s="27" cm="1">
        <f t="array" aca="1" ref="E234" ca="1">_FV(B234,"Price")</f>
        <v>2.93</v>
      </c>
      <c r="F234" s="27" cm="1">
        <f t="array" aca="1" ref="F234" ca="1">_FV(B234,"open")</f>
        <v>2.9750000000000001</v>
      </c>
      <c r="G234" s="5" t="str" cm="1">
        <f t="array" aca="1" ref="G234" ca="1">_FV(B234,"Currency")</f>
        <v>EUR</v>
      </c>
      <c r="H234" s="5" t="s">
        <v>115</v>
      </c>
      <c r="I234" s="16">
        <v>42859</v>
      </c>
      <c r="J234" s="18"/>
      <c r="K234" s="14">
        <v>1749</v>
      </c>
      <c r="L234" s="19">
        <v>2.85</v>
      </c>
      <c r="M234" s="5">
        <f t="shared" si="76"/>
        <v>4998.01</v>
      </c>
      <c r="N234" s="5">
        <f t="shared" ca="1" si="77"/>
        <v>4998.01</v>
      </c>
      <c r="O234" s="14">
        <v>13.36</v>
      </c>
      <c r="P234" s="14"/>
      <c r="Q234" s="4">
        <f t="shared" ca="1" si="78"/>
        <v>46140</v>
      </c>
      <c r="S234" s="1">
        <f t="shared" si="124"/>
        <v>1749</v>
      </c>
      <c r="T234" s="5">
        <f t="shared" ca="1" si="79"/>
        <v>2.93</v>
      </c>
      <c r="U234" s="5">
        <f t="shared" ca="1" si="80"/>
        <v>5124.5700000000006</v>
      </c>
      <c r="V234" s="5">
        <f t="shared" ca="1" si="81"/>
        <v>5124.5700000000006</v>
      </c>
      <c r="W234" s="14"/>
      <c r="X234" s="17"/>
      <c r="Y234" s="30">
        <f t="shared" si="106"/>
        <v>0</v>
      </c>
      <c r="Z234" s="30">
        <f t="shared" ca="1" si="107"/>
        <v>0</v>
      </c>
      <c r="AA234" s="14"/>
      <c r="AB234" s="170">
        <f t="shared" ca="1" si="121"/>
        <v>126.5600000000004</v>
      </c>
      <c r="AC234" s="168">
        <f t="shared" ca="1" si="122"/>
        <v>100.00422507661429</v>
      </c>
      <c r="AD234" s="28">
        <f t="shared" ca="1" si="82"/>
        <v>2.5322078187118624E-2</v>
      </c>
      <c r="AE234" s="48">
        <f t="shared" ca="1" si="104"/>
        <v>0</v>
      </c>
      <c r="AF234" s="48">
        <f t="shared" ca="1" si="105"/>
        <v>2.3361811327043528E-3</v>
      </c>
      <c r="AG234" s="204">
        <f ca="1">AVERAGE($AF$5:$AF$257)</f>
        <v>3.9682539682539663E-3</v>
      </c>
      <c r="AH234" s="1" t="str">
        <f t="shared" ca="1" si="83"/>
        <v>no</v>
      </c>
      <c r="AI234" s="28" t="str">
        <f t="shared" ca="1" si="120"/>
        <v>-</v>
      </c>
    </row>
    <row r="235" spans="1:35" x14ac:dyDescent="0.2">
      <c r="A235" s="14">
        <v>1</v>
      </c>
      <c r="B235" s="14" t="e" vm="177">
        <v>#VALUE!</v>
      </c>
      <c r="C235" s="14"/>
      <c r="D235" s="1" t="str" cm="1">
        <f t="array" aca="1" ref="D235" ca="1">_FV(B235,"Ticker symbol",TRUE)</f>
        <v>TRG</v>
      </c>
      <c r="E235" s="260" cm="1">
        <f t="array" aca="1" ref="E235" ca="1">_FV(B235,"Price")</f>
        <v>0.14000000000000001</v>
      </c>
      <c r="F235" s="27" cm="1">
        <f t="array" aca="1" ref="F235" ca="1">_FV(B235,"open")</f>
        <v>0.2205</v>
      </c>
      <c r="G235" s="5" t="str" cm="1">
        <f t="array" aca="1" ref="G235" ca="1">_FV(B235,"Currency")</f>
        <v>EUR</v>
      </c>
      <c r="H235" s="5" t="s">
        <v>115</v>
      </c>
      <c r="I235" s="16">
        <v>45805</v>
      </c>
      <c r="J235" s="18"/>
      <c r="K235" s="14">
        <v>20000</v>
      </c>
      <c r="L235" s="19">
        <v>0.60499999999999998</v>
      </c>
      <c r="M235" s="5">
        <f>+K235*L235+O235</f>
        <v>12121.38</v>
      </c>
      <c r="N235" s="5">
        <f ca="1">IF(G235="USD",M235*J235,+K235*L235+O235)</f>
        <v>12121.38</v>
      </c>
      <c r="O235" s="14">
        <v>21.38</v>
      </c>
      <c r="P235" s="14"/>
      <c r="Q235" s="4">
        <f t="shared" ca="1" si="78"/>
        <v>46140</v>
      </c>
      <c r="S235" s="1">
        <f>+K235</f>
        <v>20000</v>
      </c>
      <c r="T235" s="246">
        <f ca="1">+E235</f>
        <v>0.14000000000000001</v>
      </c>
      <c r="U235" s="5">
        <f ca="1">+S235*T235-W235</f>
        <v>2779.0000000000005</v>
      </c>
      <c r="V235" s="5">
        <f ca="1">IF(G235="USD",U235*R235,+S235*T235-W235)</f>
        <v>2779.0000000000005</v>
      </c>
      <c r="W235" s="14">
        <v>21</v>
      </c>
      <c r="X235" s="17"/>
      <c r="Y235" s="30">
        <f>IF(A235=0,V235-N235,0)</f>
        <v>0</v>
      </c>
      <c r="Z235" s="30">
        <f ca="1">+Y235-(Y235*$AA$1)</f>
        <v>0</v>
      </c>
      <c r="AA235" s="14"/>
      <c r="AB235" s="170">
        <f t="shared" ca="1" si="121"/>
        <v>-9342.3799999999992</v>
      </c>
      <c r="AC235" s="168">
        <f t="shared" ca="1" si="122"/>
        <v>-7382.0912790080338</v>
      </c>
      <c r="AD235" s="28">
        <f ca="1">+U235/M235-1</f>
        <v>-0.77073567531089693</v>
      </c>
      <c r="AE235" s="48">
        <f t="shared" ca="1" si="104"/>
        <v>0</v>
      </c>
      <c r="AF235" s="48">
        <f t="shared" ca="1" si="105"/>
        <v>5.6658028411987749E-3</v>
      </c>
      <c r="AG235" s="204">
        <f ca="1">AVERAGE($AF$5:$AF$257)</f>
        <v>3.9682539682539663E-3</v>
      </c>
      <c r="AH235" s="1" t="str">
        <f ca="1">IF(AF235&lt;AG235,"no","si")</f>
        <v>si</v>
      </c>
      <c r="AI235" s="28" t="str">
        <f ca="1">IF(G235="USD",+R235/J235-1,"-")</f>
        <v>-</v>
      </c>
    </row>
    <row r="236" spans="1:35" x14ac:dyDescent="0.2">
      <c r="A236" s="14">
        <v>1</v>
      </c>
      <c r="B236" s="14" t="e" vm="178">
        <v>#VALUE!</v>
      </c>
      <c r="C236" s="14"/>
      <c r="D236" s="1" t="str" cm="1">
        <f t="array" aca="1" ref="D236" ca="1">_FV(B236,"Ticker symbol",TRUE)</f>
        <v>TUI1</v>
      </c>
      <c r="E236" s="27" cm="1">
        <f t="array" aca="1" ref="E236" ca="1">_FV(B236,"Price")</f>
        <v>6.4619999999999997</v>
      </c>
      <c r="F236" s="27" cm="1">
        <f t="array" aca="1" ref="F236" ca="1">_FV(B236,"open")</f>
        <v>6.4420000000000002</v>
      </c>
      <c r="G236" s="5" t="str" cm="1">
        <f t="array" aca="1" ref="G236" ca="1">_FV(B236,"Currency")</f>
        <v>EUR</v>
      </c>
      <c r="H236" s="5" t="s">
        <v>115</v>
      </c>
      <c r="I236" s="16">
        <v>45384</v>
      </c>
      <c r="J236" s="18"/>
      <c r="K236" s="14">
        <v>1500</v>
      </c>
      <c r="L236" s="19">
        <v>7.7119999999999997</v>
      </c>
      <c r="M236" s="5">
        <f t="shared" si="76"/>
        <v>11583</v>
      </c>
      <c r="N236" s="5">
        <f t="shared" ca="1" si="77"/>
        <v>11583</v>
      </c>
      <c r="O236" s="14">
        <v>15</v>
      </c>
      <c r="P236" s="14"/>
      <c r="Q236" s="4">
        <f t="shared" ca="1" si="78"/>
        <v>46140</v>
      </c>
      <c r="S236" s="1">
        <f t="shared" si="124"/>
        <v>1500</v>
      </c>
      <c r="T236" s="5">
        <f t="shared" ca="1" si="79"/>
        <v>6.4619999999999997</v>
      </c>
      <c r="U236" s="5">
        <f t="shared" ca="1" si="80"/>
        <v>9678</v>
      </c>
      <c r="V236" s="5">
        <f t="shared" ca="1" si="81"/>
        <v>9678</v>
      </c>
      <c r="W236" s="14">
        <v>15</v>
      </c>
      <c r="X236" s="17"/>
      <c r="Y236" s="30">
        <f t="shared" si="106"/>
        <v>0</v>
      </c>
      <c r="Z236" s="30">
        <f t="shared" ca="1" si="107"/>
        <v>0</v>
      </c>
      <c r="AA236" s="14"/>
      <c r="AB236" s="170">
        <f t="shared" ca="1" si="121"/>
        <v>-1905</v>
      </c>
      <c r="AC236" s="168">
        <f t="shared" ca="1" si="122"/>
        <v>-1505.2785143090205</v>
      </c>
      <c r="AD236" s="28">
        <f t="shared" ca="1" si="82"/>
        <v>-0.16446516446516446</v>
      </c>
      <c r="AE236" s="48">
        <f t="shared" ca="1" si="104"/>
        <v>0</v>
      </c>
      <c r="AF236" s="48">
        <f t="shared" ca="1" si="105"/>
        <v>5.4141520445366298E-3</v>
      </c>
      <c r="AG236" s="204">
        <f ca="1">AVERAGE($AF$5:$AF$257)</f>
        <v>3.9682539682539663E-3</v>
      </c>
      <c r="AH236" s="1" t="str">
        <f t="shared" ca="1" si="83"/>
        <v>si</v>
      </c>
      <c r="AI236" s="28" t="str">
        <f t="shared" ca="1" si="120"/>
        <v>-</v>
      </c>
    </row>
    <row r="237" spans="1:35" x14ac:dyDescent="0.2">
      <c r="A237" s="1">
        <v>1</v>
      </c>
      <c r="B237" s="14" t="e" vm="179">
        <v>#VALUE!</v>
      </c>
      <c r="D237" s="1" t="str" cm="1">
        <f t="array" aca="1" ref="D237" ca="1">_FV(B237,"Ticker symbol",TRUE)</f>
        <v>UBER</v>
      </c>
      <c r="E237" s="25" cm="1">
        <f t="array" aca="1" ref="E237" ca="1">_FV(B237,"Price")</f>
        <v>76.275000000000006</v>
      </c>
      <c r="F237" s="25" cm="1">
        <f t="array" aca="1" ref="F237" ca="1">_FV(B237,"open")</f>
        <v>74.674999999999997</v>
      </c>
      <c r="G237" s="5" t="str" cm="1">
        <f t="array" aca="1" ref="G237" ca="1">_FV(B237,"Currency")</f>
        <v>USD</v>
      </c>
      <c r="H237" s="5" t="s">
        <v>26</v>
      </c>
      <c r="I237" s="4">
        <v>46128</v>
      </c>
      <c r="J237" s="172">
        <v>0.85150000000000003</v>
      </c>
      <c r="K237" s="1">
        <v>115</v>
      </c>
      <c r="L237" s="10">
        <v>77.510000000000005</v>
      </c>
      <c r="M237" s="5">
        <f t="shared" si="76"/>
        <v>8928.6500000000015</v>
      </c>
      <c r="N237" s="5">
        <f t="shared" ca="1" si="77"/>
        <v>7602.7454750000015</v>
      </c>
      <c r="O237" s="1">
        <v>15</v>
      </c>
      <c r="Q237" s="4">
        <f t="shared" ca="1" si="78"/>
        <v>46140</v>
      </c>
      <c r="R237" s="8">
        <f ca="1">+$M$551</f>
        <v>0.85299999999999998</v>
      </c>
      <c r="S237" s="1">
        <f>+K237</f>
        <v>115</v>
      </c>
      <c r="T237" s="5">
        <f t="shared" ca="1" si="79"/>
        <v>76.275000000000006</v>
      </c>
      <c r="U237" s="5">
        <f t="shared" ca="1" si="80"/>
        <v>8756.625</v>
      </c>
      <c r="V237" s="5">
        <f t="shared" ca="1" si="81"/>
        <v>7469.4011249999994</v>
      </c>
      <c r="W237" s="1">
        <v>15</v>
      </c>
      <c r="Y237" s="30">
        <f t="shared" si="106"/>
        <v>0</v>
      </c>
      <c r="Z237" s="30">
        <f t="shared" ca="1" si="107"/>
        <v>0</v>
      </c>
      <c r="AB237" s="170">
        <f ca="1">IF(A237=1,+V237-N237,0)</f>
        <v>-133.34435000000212</v>
      </c>
      <c r="AC237" s="168">
        <f ca="1">+AB237-(AB237*$AA$1)</f>
        <v>-105.36503152729932</v>
      </c>
      <c r="AD237" s="28">
        <f t="shared" ca="1" si="82"/>
        <v>-1.9266630453652178E-2</v>
      </c>
      <c r="AE237" s="48">
        <f t="shared" ca="1" si="104"/>
        <v>0</v>
      </c>
      <c r="AF237" s="48">
        <f t="shared" ca="1" si="105"/>
        <v>3.5536924766954043E-3</v>
      </c>
      <c r="AG237" s="204">
        <f ca="1">AVERAGE($AF$5:$AF$257)</f>
        <v>3.9682539682539663E-3</v>
      </c>
      <c r="AH237" s="1" t="str">
        <f t="shared" ca="1" si="83"/>
        <v>no</v>
      </c>
      <c r="AI237" s="28">
        <f t="shared" ca="1" si="120"/>
        <v>1.7615971814444187E-3</v>
      </c>
    </row>
    <row r="238" spans="1:35" x14ac:dyDescent="0.2">
      <c r="A238" s="1">
        <v>1</v>
      </c>
      <c r="B238" s="1" t="e" vm="180">
        <v>#VALUE!</v>
      </c>
      <c r="D238" s="1" t="str" cm="1">
        <f t="array" aca="1" ref="D238" ca="1">_FV(B238,"Ticker symbol",TRUE)</f>
        <v>RARE</v>
      </c>
      <c r="E238" s="25" cm="1">
        <f t="array" aca="1" ref="E238" ca="1">_FV(B238,"Price")</f>
        <v>23.99</v>
      </c>
      <c r="F238" s="25" cm="1">
        <f t="array" aca="1" ref="F238" ca="1">_FV(B238,"open")</f>
        <v>24.15</v>
      </c>
      <c r="G238" s="5" t="str" cm="1">
        <f t="array" aca="1" ref="G238" ca="1">_FV(B238,"Currency")</f>
        <v>USD</v>
      </c>
      <c r="H238" s="5" t="s">
        <v>128</v>
      </c>
      <c r="I238" s="4">
        <v>45530</v>
      </c>
      <c r="J238" s="172">
        <v>0.89336000000000004</v>
      </c>
      <c r="K238" s="1">
        <v>125</v>
      </c>
      <c r="L238" s="10">
        <v>57.16</v>
      </c>
      <c r="M238" s="5">
        <f t="shared" si="76"/>
        <v>7146</v>
      </c>
      <c r="N238" s="5">
        <f t="shared" ca="1" si="77"/>
        <v>6383.9505600000002</v>
      </c>
      <c r="O238" s="1">
        <v>1</v>
      </c>
      <c r="Q238" s="4">
        <f t="shared" ca="1" si="78"/>
        <v>46140</v>
      </c>
      <c r="R238" s="8">
        <f ca="1">+$M$551</f>
        <v>0.85299999999999998</v>
      </c>
      <c r="S238" s="1">
        <f t="shared" si="124"/>
        <v>125</v>
      </c>
      <c r="T238" s="5">
        <f t="shared" ca="1" si="79"/>
        <v>23.99</v>
      </c>
      <c r="U238" s="5">
        <f t="shared" ca="1" si="80"/>
        <v>2997.75</v>
      </c>
      <c r="V238" s="5">
        <f t="shared" ca="1" si="81"/>
        <v>2557.0807500000001</v>
      </c>
      <c r="W238" s="1">
        <v>1</v>
      </c>
      <c r="Y238" s="30">
        <f t="shared" ref="Y238:Y255" si="125">IF(A238=0,V238-N238,0)</f>
        <v>0</v>
      </c>
      <c r="Z238" s="30">
        <f t="shared" ref="Z238:Z255" ca="1" si="126">+Y238-(Y238*$AA$1)</f>
        <v>0</v>
      </c>
      <c r="AB238" s="170">
        <f t="shared" ca="1" si="121"/>
        <v>-3826.8698100000001</v>
      </c>
      <c r="AC238" s="168">
        <f t="shared" ca="1" si="122"/>
        <v>-3023.8870876907313</v>
      </c>
      <c r="AD238" s="28">
        <f t="shared" ca="1" si="82"/>
        <v>-0.5804995801847187</v>
      </c>
      <c r="AE238" s="48">
        <f t="shared" ca="1" si="104"/>
        <v>0</v>
      </c>
      <c r="AF238" s="48">
        <f t="shared" ca="1" si="105"/>
        <v>2.9840006023176E-3</v>
      </c>
      <c r="AG238" s="204">
        <f ca="1">AVERAGE($AF$5:$AF$257)</f>
        <v>3.9682539682539663E-3</v>
      </c>
      <c r="AH238" s="1" t="str">
        <f t="shared" ca="1" si="83"/>
        <v>no</v>
      </c>
      <c r="AI238" s="28">
        <f t="shared" ca="1" si="120"/>
        <v>-4.5177755887883975E-2</v>
      </c>
    </row>
    <row r="239" spans="1:35" x14ac:dyDescent="0.2">
      <c r="A239" s="15">
        <v>1</v>
      </c>
      <c r="B239" s="1" t="e" vm="181">
        <v>#VALUE!</v>
      </c>
      <c r="D239" s="1" t="str" cm="1">
        <f t="array" aca="1" ref="D239" ca="1">_FV(B239,"Ticker symbol",TRUE)</f>
        <v>UPM</v>
      </c>
      <c r="E239" s="27" cm="1">
        <f t="array" aca="1" ref="E239" ca="1">_FV(B239,"Price")</f>
        <v>24.86</v>
      </c>
      <c r="F239" s="27" cm="1">
        <f t="array" aca="1" ref="F239" ca="1">_FV(B239,"open")</f>
        <v>25</v>
      </c>
      <c r="G239" s="5" t="str" cm="1">
        <f t="array" aca="1" ref="G239" ca="1">_FV(B239,"Currency")</f>
        <v>EUR</v>
      </c>
      <c r="H239" s="5" t="s">
        <v>183</v>
      </c>
      <c r="I239" s="4">
        <v>45349</v>
      </c>
      <c r="J239" s="18"/>
      <c r="K239" s="1">
        <v>311</v>
      </c>
      <c r="L239" s="10">
        <v>35.159999999999997</v>
      </c>
      <c r="M239" s="5">
        <f t="shared" ref="M239:M255" si="127">+K239*L239+O239</f>
        <v>10949.759999999998</v>
      </c>
      <c r="N239" s="5">
        <f t="shared" ref="N239:N255" ca="1" si="128">IF(G239="USD",M239*J239,+K239*L239+O239)</f>
        <v>10949.759999999998</v>
      </c>
      <c r="O239" s="1">
        <v>15</v>
      </c>
      <c r="Q239" s="4">
        <f t="shared" ref="Q239:Q274" ca="1" si="129">TODAY()</f>
        <v>46140</v>
      </c>
      <c r="S239" s="1">
        <f t="shared" si="124"/>
        <v>311</v>
      </c>
      <c r="T239" s="5">
        <f t="shared" ref="T239:T255" ca="1" si="130">+E239</f>
        <v>24.86</v>
      </c>
      <c r="U239" s="5">
        <f t="shared" ref="U239:U255" ca="1" si="131">+S239*T239-W239</f>
        <v>7716.46</v>
      </c>
      <c r="V239" s="5">
        <f t="shared" ref="V239:V255" ca="1" si="132">IF(G239="USD",U239*R239,+S239*T239-W239)</f>
        <v>7716.46</v>
      </c>
      <c r="W239" s="1">
        <v>15</v>
      </c>
      <c r="Y239" s="30">
        <f t="shared" si="125"/>
        <v>0</v>
      </c>
      <c r="Z239" s="30">
        <f t="shared" ca="1" si="126"/>
        <v>0</v>
      </c>
      <c r="AB239" s="170">
        <f t="shared" ca="1" si="121"/>
        <v>-3233.2999999999984</v>
      </c>
      <c r="AC239" s="168">
        <f t="shared" ca="1" si="122"/>
        <v>-2554.864577593361</v>
      </c>
      <c r="AD239" s="28">
        <f t="shared" ref="AD239:AD255" ca="1" si="133">+U239/M239-1</f>
        <v>-0.29528501081302228</v>
      </c>
      <c r="AE239" s="48">
        <f t="shared" ca="1" si="104"/>
        <v>0</v>
      </c>
      <c r="AF239" s="48">
        <f t="shared" ca="1" si="105"/>
        <v>5.1181615722339117E-3</v>
      </c>
      <c r="AG239" s="204">
        <f ca="1">AVERAGE($AF$5:$AF$257)</f>
        <v>3.9682539682539663E-3</v>
      </c>
      <c r="AH239" s="1" t="str">
        <f t="shared" ref="AH239:AH255" ca="1" si="134">IF(AF239&lt;AG239,"no","si")</f>
        <v>si</v>
      </c>
      <c r="AI239" s="28" t="str">
        <f t="shared" ca="1" si="120"/>
        <v>-</v>
      </c>
    </row>
    <row r="240" spans="1:35" x14ac:dyDescent="0.2">
      <c r="A240" s="14">
        <v>1</v>
      </c>
      <c r="B240" s="14" t="e" vm="182">
        <v>#VALUE!</v>
      </c>
      <c r="C240" s="14"/>
      <c r="D240" s="1" t="str" cm="1">
        <f t="array" aca="1" ref="D240" ca="1">_FV(B240,"Ticker symbol",TRUE)</f>
        <v>VREX</v>
      </c>
      <c r="E240" s="25" cm="1">
        <f t="array" aca="1" ref="E240" ca="1">_FV(B240,"Price")</f>
        <v>12.71</v>
      </c>
      <c r="F240" s="25" cm="1">
        <f t="array" aca="1" ref="F240" ca="1">_FV(B240,"open")</f>
        <v>12.4</v>
      </c>
      <c r="G240" s="5" t="str" cm="1">
        <f t="array" aca="1" ref="G240" ca="1">_FV(B240,"Currency")</f>
        <v>USD</v>
      </c>
      <c r="H240" s="5" t="s">
        <v>183</v>
      </c>
      <c r="I240" s="16">
        <v>45681</v>
      </c>
      <c r="J240" s="172">
        <v>0.95630000000000004</v>
      </c>
      <c r="K240" s="14">
        <v>702</v>
      </c>
      <c r="L240" s="19">
        <v>14.18</v>
      </c>
      <c r="M240" s="5">
        <f t="shared" si="127"/>
        <v>9969.36</v>
      </c>
      <c r="N240" s="5">
        <f t="shared" ca="1" si="128"/>
        <v>9533.6989680000006</v>
      </c>
      <c r="O240" s="14">
        <v>15</v>
      </c>
      <c r="P240" s="14"/>
      <c r="Q240" s="4">
        <f t="shared" ca="1" si="129"/>
        <v>46140</v>
      </c>
      <c r="R240" s="8">
        <f ca="1">+$M$551</f>
        <v>0.85299999999999998</v>
      </c>
      <c r="S240" s="1">
        <f t="shared" si="124"/>
        <v>702</v>
      </c>
      <c r="T240" s="5">
        <f t="shared" ca="1" si="130"/>
        <v>12.71</v>
      </c>
      <c r="U240" s="5">
        <f t="shared" ca="1" si="131"/>
        <v>8907.42</v>
      </c>
      <c r="V240" s="5">
        <f t="shared" ca="1" si="132"/>
        <v>7598.0292600000002</v>
      </c>
      <c r="W240" s="14">
        <v>15</v>
      </c>
      <c r="X240" s="17"/>
      <c r="Y240" s="30">
        <f t="shared" si="125"/>
        <v>0</v>
      </c>
      <c r="Z240" s="30">
        <f t="shared" ca="1" si="126"/>
        <v>0</v>
      </c>
      <c r="AA240" s="14"/>
      <c r="AB240" s="170">
        <f t="shared" ca="1" si="121"/>
        <v>-1935.6697080000004</v>
      </c>
      <c r="AC240" s="168">
        <f t="shared" ca="1" si="122"/>
        <v>-1529.5128725728166</v>
      </c>
      <c r="AD240" s="28">
        <f t="shared" ca="1" si="133"/>
        <v>-0.10652037843953877</v>
      </c>
      <c r="AE240" s="48">
        <f t="shared" ref="AE240:AE246" ca="1" si="135">+Z240/$Z$393</f>
        <v>0</v>
      </c>
      <c r="AF240" s="48">
        <f t="shared" ref="AF240:AF246" ca="1" si="136">+N240/$N$259</f>
        <v>4.4562631235080686E-3</v>
      </c>
      <c r="AG240" s="204">
        <f ca="1">AVERAGE($AF$5:$AF$257)</f>
        <v>3.9682539682539663E-3</v>
      </c>
      <c r="AH240" s="1" t="str">
        <f t="shared" ca="1" si="134"/>
        <v>si</v>
      </c>
      <c r="AI240" s="28">
        <f t="shared" ca="1" si="120"/>
        <v>-0.10802049566035765</v>
      </c>
    </row>
    <row r="241" spans="1:35" x14ac:dyDescent="0.2">
      <c r="A241" s="1">
        <v>1</v>
      </c>
      <c r="B241" s="1" t="e" vm="183">
        <v>#VALUE!</v>
      </c>
      <c r="D241" s="1" t="str" cm="1">
        <f t="array" aca="1" ref="D241" ca="1">_FV(B241,"Ticker symbol",TRUE)</f>
        <v>VRLA</v>
      </c>
      <c r="E241" s="27" cm="1">
        <f t="array" aca="1" ref="E241" ca="1">_FV(B241,"Price")</f>
        <v>20.28</v>
      </c>
      <c r="F241" s="27" cm="1">
        <f t="array" aca="1" ref="F241" ca="1">_FV(B241,"open")</f>
        <v>20</v>
      </c>
      <c r="G241" s="5" t="str" cm="1">
        <f t="array" aca="1" ref="G241" ca="1">_FV(B241,"Currency")</f>
        <v>EUR</v>
      </c>
      <c r="H241" s="5" t="s">
        <v>183</v>
      </c>
      <c r="I241" s="4">
        <v>44963</v>
      </c>
      <c r="J241" s="18"/>
      <c r="K241" s="1">
        <v>295</v>
      </c>
      <c r="L241" s="10">
        <v>32.46</v>
      </c>
      <c r="M241" s="5">
        <f t="shared" si="127"/>
        <v>9625.7000000000007</v>
      </c>
      <c r="N241" s="5">
        <f t="shared" ca="1" si="128"/>
        <v>9625.7000000000007</v>
      </c>
      <c r="O241" s="1">
        <v>50</v>
      </c>
      <c r="Q241" s="4">
        <f t="shared" ca="1" si="129"/>
        <v>46140</v>
      </c>
      <c r="S241" s="1">
        <f t="shared" si="124"/>
        <v>295</v>
      </c>
      <c r="T241" s="5">
        <f t="shared" ca="1" si="130"/>
        <v>20.28</v>
      </c>
      <c r="U241" s="5">
        <f t="shared" ca="1" si="131"/>
        <v>5932.6</v>
      </c>
      <c r="V241" s="5">
        <f t="shared" ca="1" si="132"/>
        <v>5932.6</v>
      </c>
      <c r="W241" s="1">
        <v>50</v>
      </c>
      <c r="X241" s="17"/>
      <c r="Y241" s="30">
        <f t="shared" si="125"/>
        <v>0</v>
      </c>
      <c r="Z241" s="30">
        <f t="shared" ca="1" si="126"/>
        <v>0</v>
      </c>
      <c r="AA241" s="14"/>
      <c r="AB241" s="170">
        <f t="shared" ca="1" si="121"/>
        <v>-3693.1000000000004</v>
      </c>
      <c r="AC241" s="168">
        <f t="shared" ca="1" si="122"/>
        <v>-2918.1858693935137</v>
      </c>
      <c r="AD241" s="28">
        <f t="shared" ca="1" si="133"/>
        <v>-0.38367079796794001</v>
      </c>
      <c r="AE241" s="48">
        <f t="shared" ca="1" si="135"/>
        <v>0</v>
      </c>
      <c r="AF241" s="48">
        <f t="shared" ca="1" si="136"/>
        <v>4.4992664538630956E-3</v>
      </c>
      <c r="AG241" s="204">
        <f ca="1">AVERAGE($AF$5:$AF$257)</f>
        <v>3.9682539682539663E-3</v>
      </c>
      <c r="AH241" s="1" t="str">
        <f t="shared" ca="1" si="134"/>
        <v>si</v>
      </c>
      <c r="AI241" s="28" t="str">
        <f t="shared" ca="1" si="120"/>
        <v>-</v>
      </c>
    </row>
    <row r="242" spans="1:35" x14ac:dyDescent="0.2">
      <c r="A242" s="14">
        <v>1</v>
      </c>
      <c r="B242" s="14" t="e" vm="184">
        <v>#VALUE!</v>
      </c>
      <c r="C242" s="14"/>
      <c r="D242" s="1" t="str" cm="1">
        <f t="array" aca="1" ref="D242" ca="1">_FV(B242,"Ticker symbol",TRUE)</f>
        <v>VRT</v>
      </c>
      <c r="E242" s="25" cm="1">
        <f t="array" aca="1" ref="E242" ca="1">_FV(B242,"Price")</f>
        <v>322.43</v>
      </c>
      <c r="F242" s="25" cm="1">
        <f t="array" aca="1" ref="F242" ca="1">_FV(B242,"open")</f>
        <v>325.99</v>
      </c>
      <c r="G242" s="5" t="str" cm="1">
        <f t="array" aca="1" ref="G242" ca="1">_FV(B242,"Currency")</f>
        <v>USD</v>
      </c>
      <c r="H242" s="5" t="s">
        <v>183</v>
      </c>
      <c r="I242" s="16">
        <v>45667</v>
      </c>
      <c r="J242" s="172">
        <v>0.9738</v>
      </c>
      <c r="K242" s="14">
        <v>32</v>
      </c>
      <c r="L242" s="19">
        <v>124.76</v>
      </c>
      <c r="M242" s="5">
        <f t="shared" si="127"/>
        <v>3999.82</v>
      </c>
      <c r="N242" s="5">
        <f t="shared" ca="1" si="128"/>
        <v>3895.0247160000004</v>
      </c>
      <c r="O242" s="14">
        <v>7.5</v>
      </c>
      <c r="P242" s="14"/>
      <c r="Q242" s="4">
        <f t="shared" ca="1" si="129"/>
        <v>46140</v>
      </c>
      <c r="R242" s="8">
        <v>0.84519999999999995</v>
      </c>
      <c r="S242" s="1">
        <f t="shared" si="124"/>
        <v>32</v>
      </c>
      <c r="T242" s="5">
        <v>310.8</v>
      </c>
      <c r="U242" s="5">
        <f t="shared" si="131"/>
        <v>9930.6</v>
      </c>
      <c r="V242" s="5">
        <f t="shared" ca="1" si="132"/>
        <v>8393.3431199999995</v>
      </c>
      <c r="W242" s="14">
        <v>15</v>
      </c>
      <c r="X242" s="17"/>
      <c r="Y242" s="30">
        <f t="shared" si="125"/>
        <v>0</v>
      </c>
      <c r="Z242" s="30">
        <f t="shared" ca="1" si="126"/>
        <v>0</v>
      </c>
      <c r="AA242" s="14"/>
      <c r="AB242" s="170">
        <f t="shared" ca="1" si="121"/>
        <v>4498.3184039999996</v>
      </c>
      <c r="AC242" s="168">
        <f t="shared" ca="1" si="122"/>
        <v>3554.4472672241695</v>
      </c>
      <c r="AD242" s="28">
        <f t="shared" si="133"/>
        <v>1.4827617242775926</v>
      </c>
      <c r="AE242" s="48">
        <f t="shared" ca="1" si="135"/>
        <v>0</v>
      </c>
      <c r="AF242" s="48">
        <f t="shared" ca="1" si="136"/>
        <v>1.8206212578478897E-3</v>
      </c>
      <c r="AG242" s="204">
        <f ca="1">AVERAGE($AF$5:$AF$257)</f>
        <v>3.9682539682539663E-3</v>
      </c>
      <c r="AH242" s="1" t="str">
        <f t="shared" ca="1" si="134"/>
        <v>no</v>
      </c>
      <c r="AI242" s="28">
        <f t="shared" ca="1" si="120"/>
        <v>-0.13205997124666258</v>
      </c>
    </row>
    <row r="243" spans="1:35" x14ac:dyDescent="0.2">
      <c r="A243" s="14">
        <v>1</v>
      </c>
      <c r="B243" s="14" t="e" vm="185">
        <v>#VALUE!</v>
      </c>
      <c r="C243" s="14"/>
      <c r="D243" s="1" t="str" cm="1">
        <f t="array" aca="1" ref="D243" ca="1">_FV(B243,"Ticker symbol",TRUE)</f>
        <v>VERI</v>
      </c>
      <c r="E243" s="25" cm="1">
        <f t="array" aca="1" ref="E243" ca="1">_FV(B243,"Price")</f>
        <v>2.1800000000000002</v>
      </c>
      <c r="F243" s="25" cm="1">
        <f t="array" aca="1" ref="F243" ca="1">_FV(B243,"open")</f>
        <v>2.23</v>
      </c>
      <c r="G243" s="5" t="str" cm="1">
        <f t="array" aca="1" ref="G243" ca="1">_FV(B243,"Currency")</f>
        <v>USD</v>
      </c>
      <c r="H243" s="5" t="s">
        <v>128</v>
      </c>
      <c r="I243" s="16">
        <v>45421</v>
      </c>
      <c r="J243" s="172">
        <v>0.93200000000000005</v>
      </c>
      <c r="K243" s="14">
        <v>200</v>
      </c>
      <c r="L243" s="19">
        <v>3.72</v>
      </c>
      <c r="M243" s="5">
        <f t="shared" si="127"/>
        <v>745</v>
      </c>
      <c r="N243" s="5">
        <f t="shared" ca="1" si="128"/>
        <v>694.34</v>
      </c>
      <c r="O243" s="14">
        <v>1</v>
      </c>
      <c r="P243" s="14"/>
      <c r="Q243" s="4">
        <f t="shared" ca="1" si="129"/>
        <v>46140</v>
      </c>
      <c r="R243" s="8">
        <f ca="1">+$M$551</f>
        <v>0.85299999999999998</v>
      </c>
      <c r="S243" s="1">
        <f t="shared" si="124"/>
        <v>200</v>
      </c>
      <c r="T243" s="5">
        <v>9.25</v>
      </c>
      <c r="U243" s="5">
        <f t="shared" si="131"/>
        <v>1849</v>
      </c>
      <c r="V243" s="5">
        <f t="shared" ca="1" si="132"/>
        <v>1577.1969999999999</v>
      </c>
      <c r="W243" s="14">
        <v>1</v>
      </c>
      <c r="X243" s="17"/>
      <c r="Y243" s="30">
        <f t="shared" si="125"/>
        <v>0</v>
      </c>
      <c r="Z243" s="30">
        <f t="shared" ca="1" si="126"/>
        <v>0</v>
      </c>
      <c r="AA243" s="14"/>
      <c r="AB243" s="170">
        <f t="shared" ca="1" si="121"/>
        <v>882.85699999999986</v>
      </c>
      <c r="AC243" s="168">
        <f t="shared" ca="1" si="122"/>
        <v>697.60927732667642</v>
      </c>
      <c r="AD243" s="28">
        <f t="shared" si="133"/>
        <v>1.4818791946308725</v>
      </c>
      <c r="AE243" s="48">
        <f t="shared" ca="1" si="135"/>
        <v>0</v>
      </c>
      <c r="AF243" s="48">
        <f t="shared" ca="1" si="136"/>
        <v>3.245499724254134E-4</v>
      </c>
      <c r="AG243" s="204">
        <f ca="1">AVERAGE($AF$5:$AF$257)</f>
        <v>3.9682539682539663E-3</v>
      </c>
      <c r="AH243" s="1" t="str">
        <f t="shared" ca="1" si="134"/>
        <v>no</v>
      </c>
      <c r="AI243" s="28">
        <f t="shared" ca="1" si="120"/>
        <v>-8.476394849785418E-2</v>
      </c>
    </row>
    <row r="244" spans="1:35" x14ac:dyDescent="0.2">
      <c r="A244" s="14">
        <v>1</v>
      </c>
      <c r="B244" s="14" t="e" vm="186">
        <v>#VALUE!</v>
      </c>
      <c r="C244" s="14"/>
      <c r="D244" s="1" t="str" cm="1">
        <f t="array" aca="1" ref="D244" ca="1">_FV(B244,"Ticker symbol",TRUE)</f>
        <v>DG</v>
      </c>
      <c r="E244" s="27" cm="1">
        <f t="array" aca="1" ref="E244" ca="1">_FV(B244,"Price")</f>
        <v>127.75</v>
      </c>
      <c r="F244" s="27" cm="1">
        <f t="array" aca="1" ref="F244" ca="1">_FV(B244,"open")</f>
        <v>127.65</v>
      </c>
      <c r="G244" s="5" t="str" cm="1">
        <f t="array" aca="1" ref="G244" ca="1">_FV(B244,"Currency")</f>
        <v>EUR</v>
      </c>
      <c r="H244" s="5" t="s">
        <v>115</v>
      </c>
      <c r="I244" s="16">
        <v>44939</v>
      </c>
      <c r="J244" s="18"/>
      <c r="K244" s="14">
        <v>98</v>
      </c>
      <c r="L244" s="19">
        <v>101.5</v>
      </c>
      <c r="M244" s="5">
        <f t="shared" si="127"/>
        <v>9990</v>
      </c>
      <c r="N244" s="5">
        <f t="shared" ca="1" si="128"/>
        <v>9990</v>
      </c>
      <c r="O244" s="14">
        <v>43</v>
      </c>
      <c r="P244" s="14"/>
      <c r="Q244" s="4">
        <f t="shared" ca="1" si="129"/>
        <v>46140</v>
      </c>
      <c r="S244" s="1">
        <f t="shared" si="124"/>
        <v>98</v>
      </c>
      <c r="T244" s="5">
        <f t="shared" ca="1" si="130"/>
        <v>127.75</v>
      </c>
      <c r="U244" s="5">
        <f t="shared" ca="1" si="131"/>
        <v>12474.5</v>
      </c>
      <c r="V244" s="5">
        <f t="shared" ca="1" si="132"/>
        <v>12474.5</v>
      </c>
      <c r="W244" s="14">
        <v>45</v>
      </c>
      <c r="X244" s="17"/>
      <c r="Y244" s="30">
        <f t="shared" si="125"/>
        <v>0</v>
      </c>
      <c r="Z244" s="30">
        <f t="shared" ca="1" si="126"/>
        <v>0</v>
      </c>
      <c r="AA244" s="14"/>
      <c r="AB244" s="170">
        <f t="shared" ca="1" si="121"/>
        <v>2484.5</v>
      </c>
      <c r="AC244" s="168">
        <f t="shared" ca="1" si="122"/>
        <v>1963.1834481893759</v>
      </c>
      <c r="AD244" s="28">
        <f t="shared" ca="1" si="133"/>
        <v>0.24869869869869876</v>
      </c>
      <c r="AE244" s="48">
        <f t="shared" ca="1" si="135"/>
        <v>0</v>
      </c>
      <c r="AF244" s="48">
        <f t="shared" ca="1" si="136"/>
        <v>4.6695483833998899E-3</v>
      </c>
      <c r="AG244" s="204">
        <f ca="1">AVERAGE($AF$5:$AF$257)</f>
        <v>3.9682539682539663E-3</v>
      </c>
      <c r="AH244" s="1" t="str">
        <f t="shared" ca="1" si="134"/>
        <v>si</v>
      </c>
      <c r="AI244" s="28" t="str">
        <f t="shared" ca="1" si="120"/>
        <v>-</v>
      </c>
    </row>
    <row r="245" spans="1:35" x14ac:dyDescent="0.2">
      <c r="A245" s="14">
        <v>1</v>
      </c>
      <c r="B245" s="14" t="e" vm="187">
        <v>#VALUE!</v>
      </c>
      <c r="C245" s="14"/>
      <c r="D245" s="1" t="str" cm="1">
        <f t="array" aca="1" ref="D245" ca="1">_FV(B245,"Ticker symbol",TRUE)</f>
        <v>VIS</v>
      </c>
      <c r="E245" s="27" cm="1">
        <f t="array" aca="1" ref="E245" ca="1">_FV(B245,"Price")</f>
        <v>59.1</v>
      </c>
      <c r="F245" s="27" cm="1">
        <f t="array" aca="1" ref="F245" ca="1">_FV(B245,"open")</f>
        <v>58.9</v>
      </c>
      <c r="G245" s="5" t="str" cm="1">
        <f t="array" aca="1" ref="G245" ca="1">_FV(B245,"Currency")</f>
        <v>EUR</v>
      </c>
      <c r="H245" s="5" t="s">
        <v>115</v>
      </c>
      <c r="I245" s="16">
        <v>43069</v>
      </c>
      <c r="J245" s="18"/>
      <c r="K245" s="14">
        <v>278</v>
      </c>
      <c r="L245" s="19">
        <v>53.76</v>
      </c>
      <c r="M245" s="5">
        <f t="shared" si="127"/>
        <v>14960.159999999998</v>
      </c>
      <c r="N245" s="5">
        <f t="shared" ca="1" si="128"/>
        <v>14960.159999999998</v>
      </c>
      <c r="O245" s="14">
        <v>14.88</v>
      </c>
      <c r="P245" s="14"/>
      <c r="Q245" s="4">
        <f t="shared" ca="1" si="129"/>
        <v>46140</v>
      </c>
      <c r="S245" s="1">
        <f t="shared" si="124"/>
        <v>278</v>
      </c>
      <c r="T245" s="5">
        <f t="shared" ca="1" si="130"/>
        <v>59.1</v>
      </c>
      <c r="U245" s="5">
        <f t="shared" ca="1" si="131"/>
        <v>16414.8</v>
      </c>
      <c r="V245" s="5">
        <f t="shared" ca="1" si="132"/>
        <v>16414.8</v>
      </c>
      <c r="W245" s="14">
        <v>15</v>
      </c>
      <c r="Y245" s="30">
        <f t="shared" si="125"/>
        <v>0</v>
      </c>
      <c r="Z245" s="30">
        <f t="shared" ca="1" si="126"/>
        <v>0</v>
      </c>
      <c r="AB245" s="170">
        <f t="shared" ca="1" si="121"/>
        <v>1454.6400000000012</v>
      </c>
      <c r="AC245" s="168">
        <f t="shared" ca="1" si="122"/>
        <v>1149.4164504222967</v>
      </c>
      <c r="AD245" s="28">
        <f t="shared" ca="1" si="133"/>
        <v>9.7234254179099811E-2</v>
      </c>
      <c r="AE245" s="48">
        <f t="shared" ca="1" si="135"/>
        <v>0</v>
      </c>
      <c r="AF245" s="48">
        <f t="shared" ca="1" si="136"/>
        <v>6.9927118061465154E-3</v>
      </c>
      <c r="AG245" s="204">
        <f ca="1">AVERAGE($AF$5:$AF$257)</f>
        <v>3.9682539682539663E-3</v>
      </c>
      <c r="AH245" s="1" t="str">
        <f t="shared" ca="1" si="134"/>
        <v>si</v>
      </c>
      <c r="AI245" s="28" t="str">
        <f t="shared" ref="AI245:AI255" ca="1" si="137">IF(G245="USD",+R245/J245-1,"-")</f>
        <v>-</v>
      </c>
    </row>
    <row r="246" spans="1:35" x14ac:dyDescent="0.2">
      <c r="A246" s="14">
        <v>1</v>
      </c>
      <c r="B246" s="14" t="e" vm="187">
        <v>#VALUE!</v>
      </c>
      <c r="C246" s="14"/>
      <c r="D246" s="1" t="str" cm="1">
        <f t="array" aca="1" ref="D246" ca="1">_FV(B246,"Ticker symbol",TRUE)</f>
        <v>VIS</v>
      </c>
      <c r="E246" s="27" cm="1">
        <f t="array" aca="1" ref="E246" ca="1">_FV(B246,"Price")</f>
        <v>59.1</v>
      </c>
      <c r="F246" s="27" cm="1">
        <f t="array" aca="1" ref="F246" ca="1">_FV(B246,"open")</f>
        <v>58.9</v>
      </c>
      <c r="G246" s="5" t="str" cm="1">
        <f t="array" aca="1" ref="G246" ca="1">_FV(B246,"Currency")</f>
        <v>EUR</v>
      </c>
      <c r="H246" s="5" t="s">
        <v>115</v>
      </c>
      <c r="I246" s="16">
        <v>43285</v>
      </c>
      <c r="J246" s="18"/>
      <c r="K246" s="14">
        <v>84</v>
      </c>
      <c r="L246" s="19">
        <v>59.2</v>
      </c>
      <c r="M246" s="5">
        <f t="shared" si="127"/>
        <v>4986.93</v>
      </c>
      <c r="N246" s="5">
        <f t="shared" ca="1" si="128"/>
        <v>4986.93</v>
      </c>
      <c r="O246" s="14">
        <v>14.13</v>
      </c>
      <c r="P246" s="14"/>
      <c r="Q246" s="4">
        <f t="shared" ca="1" si="129"/>
        <v>46140</v>
      </c>
      <c r="S246" s="1">
        <f t="shared" si="124"/>
        <v>84</v>
      </c>
      <c r="T246" s="5">
        <f t="shared" ca="1" si="130"/>
        <v>59.1</v>
      </c>
      <c r="U246" s="5">
        <f t="shared" ca="1" si="131"/>
        <v>4949.4000000000005</v>
      </c>
      <c r="V246" s="5">
        <f t="shared" ca="1" si="132"/>
        <v>4949.4000000000005</v>
      </c>
      <c r="W246" s="14">
        <v>15</v>
      </c>
      <c r="Y246" s="30">
        <f t="shared" si="125"/>
        <v>0</v>
      </c>
      <c r="Z246" s="30">
        <f t="shared" ca="1" si="126"/>
        <v>0</v>
      </c>
      <c r="AB246" s="170">
        <f t="shared" ca="1" si="121"/>
        <v>-37.529999999999745</v>
      </c>
      <c r="AC246" s="168">
        <f t="shared" ca="1" si="122"/>
        <v>-29.655171990560184</v>
      </c>
      <c r="AD246" s="28">
        <f t="shared" ca="1" si="133"/>
        <v>-7.5256721068873711E-3</v>
      </c>
      <c r="AE246" s="48">
        <f t="shared" ca="1" si="135"/>
        <v>0</v>
      </c>
      <c r="AF246" s="48">
        <f t="shared" ca="1" si="136"/>
        <v>2.3310020940568985E-3</v>
      </c>
      <c r="AG246" s="204">
        <f ca="1">AVERAGE($AF$5:$AF$257)</f>
        <v>3.9682539682539663E-3</v>
      </c>
      <c r="AH246" s="1" t="str">
        <f t="shared" ca="1" si="134"/>
        <v>no</v>
      </c>
      <c r="AI246" s="28" t="str">
        <f t="shared" ca="1" si="137"/>
        <v>-</v>
      </c>
    </row>
    <row r="247" spans="1:35" x14ac:dyDescent="0.2">
      <c r="A247" s="14">
        <v>1</v>
      </c>
      <c r="B247" s="14" t="e" vm="188">
        <v>#VALUE!</v>
      </c>
      <c r="C247" s="14"/>
      <c r="D247" s="1" t="str" cm="1">
        <f t="array" aca="1" ref="D247" ca="1">_FV(B247,"Ticker symbol",TRUE)</f>
        <v>VNA</v>
      </c>
      <c r="E247" s="27" cm="1">
        <f t="array" aca="1" ref="E247" ca="1">_FV(B247,"Price")</f>
        <v>23.1</v>
      </c>
      <c r="F247" s="27" cm="1">
        <f t="array" aca="1" ref="F247" ca="1">_FV(B247,"open")</f>
        <v>22.99</v>
      </c>
      <c r="G247" s="5" t="str" cm="1">
        <f t="array" aca="1" ref="G247" ca="1">_FV(B247,"Currency")</f>
        <v>EUR</v>
      </c>
      <c r="H247" s="5" t="s">
        <v>183</v>
      </c>
      <c r="I247" s="16">
        <v>45876</v>
      </c>
      <c r="J247" s="18"/>
      <c r="K247" s="14">
        <v>353</v>
      </c>
      <c r="L247" s="19">
        <v>28.4</v>
      </c>
      <c r="M247" s="5">
        <f>+K247*L247+O247</f>
        <v>10040.199999999999</v>
      </c>
      <c r="N247" s="5">
        <f ca="1">IF(G247="USD",M247*J247,+K247*L247+O247)</f>
        <v>10040.199999999999</v>
      </c>
      <c r="O247" s="14">
        <v>15</v>
      </c>
      <c r="P247" s="14"/>
      <c r="Q247" s="4">
        <f t="shared" ca="1" si="129"/>
        <v>46140</v>
      </c>
      <c r="S247" s="1">
        <f>+K247</f>
        <v>353</v>
      </c>
      <c r="T247" s="5">
        <f ca="1">+E247</f>
        <v>23.1</v>
      </c>
      <c r="U247" s="5">
        <f ca="1">+S247*T247-W247</f>
        <v>8139.3</v>
      </c>
      <c r="V247" s="5">
        <f ca="1">IF(G247="USD",U247*R247,+S247*T247-W247)</f>
        <v>8139.3</v>
      </c>
      <c r="W247" s="14">
        <v>15</v>
      </c>
      <c r="Y247" s="30">
        <f>IF(A247=0,V247-N247,0)</f>
        <v>0</v>
      </c>
      <c r="Z247" s="30">
        <f ca="1">+Y247-(Y247*$AA$1)</f>
        <v>0</v>
      </c>
      <c r="AB247" s="170">
        <f t="shared" ca="1" si="121"/>
        <v>-1900.8999999999987</v>
      </c>
      <c r="AC247" s="168">
        <f t="shared" ca="1" si="122"/>
        <v>-1502.038807270349</v>
      </c>
      <c r="AD247" s="28">
        <f ca="1">+U247/M247-1</f>
        <v>-0.18932889783072038</v>
      </c>
      <c r="AE247" s="48">
        <f t="shared" ref="AE247:AE255" ca="1" si="138">+Z247/$Z$393</f>
        <v>0</v>
      </c>
      <c r="AF247" s="48">
        <f t="shared" ref="AF247:AF255" ca="1" si="139">+N247/$N$259</f>
        <v>4.6930129808820395E-3</v>
      </c>
      <c r="AG247" s="204">
        <f ca="1">AVERAGE($AF$5:$AF$257)</f>
        <v>3.9682539682539663E-3</v>
      </c>
      <c r="AH247" s="1" t="str">
        <f ca="1">IF(AF247&lt;AG247,"no","si")</f>
        <v>si</v>
      </c>
      <c r="AI247" s="28" t="str">
        <f ca="1">IF(G247="USD",+R247/J247-1,"-")</f>
        <v>-</v>
      </c>
    </row>
    <row r="248" spans="1:35" x14ac:dyDescent="0.2">
      <c r="A248" s="14">
        <v>1</v>
      </c>
      <c r="B248" s="14" t="e" vm="189">
        <v>#VALUE!</v>
      </c>
      <c r="C248" s="14"/>
      <c r="D248" s="1" t="str" cm="1">
        <f t="array" aca="1" ref="D248" ca="1">_FV(B248,"Ticker symbol",TRUE)</f>
        <v>VOYG</v>
      </c>
      <c r="E248" s="25" cm="1">
        <f t="array" aca="1" ref="E248" ca="1">_FV(B248,"Price")</f>
        <v>27.21</v>
      </c>
      <c r="F248" s="25" cm="1">
        <f t="array" aca="1" ref="F248" ca="1">_FV(B248,"open")</f>
        <v>28.16</v>
      </c>
      <c r="G248" s="5" t="str" cm="1">
        <f t="array" aca="1" ref="G248" ca="1">_FV(B248,"Currency")</f>
        <v>USD</v>
      </c>
      <c r="H248" s="5" t="s">
        <v>128</v>
      </c>
      <c r="I248" s="16">
        <v>45923</v>
      </c>
      <c r="J248" s="172">
        <v>0.84740000000000004</v>
      </c>
      <c r="K248" s="14">
        <v>100</v>
      </c>
      <c r="L248" s="19">
        <v>32.89</v>
      </c>
      <c r="M248" s="5">
        <f>+K248*L248+O248</f>
        <v>3290</v>
      </c>
      <c r="N248" s="5">
        <f ca="1">IF(G248="USD",M248*J248,+K248*L248+O248)</f>
        <v>2787.9459999999999</v>
      </c>
      <c r="O248" s="14">
        <v>1</v>
      </c>
      <c r="P248" s="14"/>
      <c r="Q248" s="4">
        <f t="shared" ca="1" si="129"/>
        <v>46140</v>
      </c>
      <c r="R248" s="8">
        <f ca="1">+$M$551</f>
        <v>0.85299999999999998</v>
      </c>
      <c r="S248" s="1">
        <f>+K248</f>
        <v>100</v>
      </c>
      <c r="T248" s="5">
        <f ca="1">+E248</f>
        <v>27.21</v>
      </c>
      <c r="U248" s="5">
        <f ca="1">+S248*T248-W248</f>
        <v>2720</v>
      </c>
      <c r="V248" s="5">
        <f ca="1">IF(G248="USD",U248*R248,+S248*T248-W248)</f>
        <v>2320.16</v>
      </c>
      <c r="W248" s="14">
        <v>1</v>
      </c>
      <c r="Y248" s="30">
        <f>IF(A248=0,V248-N248,0)</f>
        <v>0</v>
      </c>
      <c r="Z248" s="30">
        <f ca="1">+Y248-(Y248*$AA$1)</f>
        <v>0</v>
      </c>
      <c r="AB248" s="170">
        <f ca="1">IF(A248=1,+V248-N248,0)</f>
        <v>-467.78600000000006</v>
      </c>
      <c r="AC248" s="168">
        <f ca="1">+AB248-(AB248*$AA$1)</f>
        <v>-369.63160897352202</v>
      </c>
      <c r="AD248" s="28">
        <f ca="1">+U248/M248-1</f>
        <v>-0.17325227963525835</v>
      </c>
      <c r="AE248" s="48">
        <f t="shared" ca="1" si="138"/>
        <v>0</v>
      </c>
      <c r="AF248" s="48">
        <f t="shared" ca="1" si="139"/>
        <v>1.3031480217523715E-3</v>
      </c>
      <c r="AG248" s="204">
        <f ca="1">AVERAGE($AF$5:$AF$257)</f>
        <v>3.9682539682539663E-3</v>
      </c>
      <c r="AH248" s="1" t="str">
        <f ca="1">IF(AF248&lt;AG248,"no","si")</f>
        <v>no</v>
      </c>
      <c r="AI248" s="28">
        <f ca="1">IF(G248="USD",+R248/J248-1,"-")</f>
        <v>6.6084493745572903E-3</v>
      </c>
    </row>
    <row r="249" spans="1:35" x14ac:dyDescent="0.2">
      <c r="A249" s="14">
        <v>1</v>
      </c>
      <c r="B249" s="14" t="e" vm="190">
        <v>#VALUE!</v>
      </c>
      <c r="C249" s="14"/>
      <c r="D249" s="1" t="str" cm="1">
        <f t="array" aca="1" ref="D249" ca="1">_FV(B249,"Ticker symbol",TRUE)</f>
        <v>WCH</v>
      </c>
      <c r="E249" s="27" cm="1">
        <f t="array" aca="1" ref="E249" ca="1">_FV(B249,"Price")</f>
        <v>97.75</v>
      </c>
      <c r="F249" s="27" cm="1">
        <f t="array" aca="1" ref="F249" ca="1">_FV(B249,"open")</f>
        <v>98.55</v>
      </c>
      <c r="G249" s="5" t="str" cm="1">
        <f t="array" aca="1" ref="G249" ca="1">_FV(B249,"Currency")</f>
        <v>EUR</v>
      </c>
      <c r="H249" s="5" t="s">
        <v>26</v>
      </c>
      <c r="I249" s="16">
        <v>45729</v>
      </c>
      <c r="J249" s="18"/>
      <c r="K249" s="14">
        <v>118</v>
      </c>
      <c r="L249" s="19">
        <v>78.64</v>
      </c>
      <c r="M249" s="5">
        <f t="shared" si="127"/>
        <v>9294.52</v>
      </c>
      <c r="N249" s="5">
        <f t="shared" ca="1" si="128"/>
        <v>9294.52</v>
      </c>
      <c r="O249" s="14">
        <v>15</v>
      </c>
      <c r="P249" s="14"/>
      <c r="Q249" s="4">
        <f t="shared" ca="1" si="129"/>
        <v>46140</v>
      </c>
      <c r="S249" s="1">
        <f t="shared" si="124"/>
        <v>118</v>
      </c>
      <c r="T249" s="5">
        <f t="shared" ca="1" si="130"/>
        <v>97.75</v>
      </c>
      <c r="U249" s="5">
        <f t="shared" ca="1" si="131"/>
        <v>11519.5</v>
      </c>
      <c r="V249" s="5">
        <f t="shared" ca="1" si="132"/>
        <v>11519.5</v>
      </c>
      <c r="W249" s="14">
        <v>15</v>
      </c>
      <c r="Y249" s="30">
        <f t="shared" si="125"/>
        <v>0</v>
      </c>
      <c r="Z249" s="30">
        <f t="shared" ca="1" si="126"/>
        <v>0</v>
      </c>
      <c r="AB249" s="170">
        <f t="shared" ca="1" si="121"/>
        <v>2224.9799999999996</v>
      </c>
      <c r="AC249" s="168">
        <f t="shared" ca="1" si="122"/>
        <v>1758.1178943660279</v>
      </c>
      <c r="AD249" s="28">
        <f t="shared" ca="1" si="133"/>
        <v>0.23938621897634293</v>
      </c>
      <c r="AE249" s="48">
        <f t="shared" ca="1" si="138"/>
        <v>0</v>
      </c>
      <c r="AF249" s="48">
        <f t="shared" ca="1" si="139"/>
        <v>4.3444655495973924E-3</v>
      </c>
      <c r="AG249" s="204">
        <f ca="1">AVERAGE($AF$5:$AF$257)</f>
        <v>3.9682539682539663E-3</v>
      </c>
      <c r="AH249" s="1" t="str">
        <f t="shared" ca="1" si="134"/>
        <v>si</v>
      </c>
      <c r="AI249" s="28" t="str">
        <f t="shared" ca="1" si="137"/>
        <v>-</v>
      </c>
    </row>
    <row r="250" spans="1:35" x14ac:dyDescent="0.2">
      <c r="A250" s="14">
        <v>1</v>
      </c>
      <c r="B250" s="14" t="e" vm="191">
        <v>#VALUE!</v>
      </c>
      <c r="C250" s="14"/>
      <c r="D250" s="1" t="str" cm="1">
        <f t="array" aca="1" ref="D250" ca="1">_FV(B250,"Ticker symbol",TRUE)</f>
        <v>XERS</v>
      </c>
      <c r="E250" s="25" cm="1">
        <f t="array" aca="1" ref="E250" ca="1">_FV(B250,"Price")</f>
        <v>6.12</v>
      </c>
      <c r="F250" s="25" cm="1">
        <f t="array" aca="1" ref="F250" ca="1">_FV(B250,"open")</f>
        <v>6.0389999999999997</v>
      </c>
      <c r="G250" s="5" t="str" cm="1">
        <f t="array" aca="1" ref="G250" ca="1">_FV(B250,"Currency")</f>
        <v>USD</v>
      </c>
      <c r="H250" s="5" t="s">
        <v>183</v>
      </c>
      <c r="I250" s="16">
        <v>46024</v>
      </c>
      <c r="J250" s="172">
        <v>0.85109999999999997</v>
      </c>
      <c r="K250" s="14">
        <v>1910</v>
      </c>
      <c r="L250" s="19">
        <v>7.88</v>
      </c>
      <c r="M250" s="5">
        <f>+K250*L250+O250</f>
        <v>15065.8</v>
      </c>
      <c r="N250" s="5">
        <f ca="1">IF(G250="USD",M250*J250,+K250*L250+O250)</f>
        <v>12822.502379999998</v>
      </c>
      <c r="O250" s="14">
        <v>15</v>
      </c>
      <c r="P250" s="14"/>
      <c r="Q250" s="4">
        <f t="shared" ca="1" si="129"/>
        <v>46140</v>
      </c>
      <c r="R250" s="8">
        <f ca="1">+$M$551</f>
        <v>0.85299999999999998</v>
      </c>
      <c r="S250" s="1">
        <f>+K250</f>
        <v>1910</v>
      </c>
      <c r="T250" s="5">
        <f ca="1">+E250</f>
        <v>6.12</v>
      </c>
      <c r="U250" s="5">
        <f ca="1">+S250*T250-W250</f>
        <v>11674.2</v>
      </c>
      <c r="V250" s="5">
        <f ca="1">IF(G250="USD",U250*R250,+S250*T250-W250)</f>
        <v>9958.0925999999999</v>
      </c>
      <c r="W250" s="14">
        <v>15</v>
      </c>
      <c r="Y250" s="30">
        <f>IF(A250=0,V250-N250,0)</f>
        <v>0</v>
      </c>
      <c r="Z250" s="30">
        <f ca="1">+Y250-(Y250*$AA$1)</f>
        <v>0</v>
      </c>
      <c r="AB250" s="170">
        <f ca="1">IF(A250=1,+V250-N250,0)</f>
        <v>-2864.4097799999981</v>
      </c>
      <c r="AC250" s="168">
        <f ca="1">+AB250-(AB250*$AA$1)</f>
        <v>-2263.3776892444225</v>
      </c>
      <c r="AD250" s="28">
        <f ca="1">+U250/M250-1</f>
        <v>-0.22511914402155864</v>
      </c>
      <c r="AE250" s="48">
        <f t="shared" ca="1" si="138"/>
        <v>0</v>
      </c>
      <c r="AF250" s="48">
        <f t="shared" ca="1" si="139"/>
        <v>5.9935230490160392E-3</v>
      </c>
      <c r="AG250" s="204">
        <f ca="1">AVERAGE($AF$5:$AF$257)</f>
        <v>3.9682539682539663E-3</v>
      </c>
      <c r="AH250" s="1" t="str">
        <f ca="1">IF(AF250&lt;AG250,"no","si")</f>
        <v>si</v>
      </c>
      <c r="AI250" s="28">
        <f ca="1">IF(G250="USD",+R250/J250-1,"-")</f>
        <v>2.2324051227822217E-3</v>
      </c>
    </row>
    <row r="251" spans="1:35" x14ac:dyDescent="0.2">
      <c r="A251" s="14">
        <v>1</v>
      </c>
      <c r="B251" s="14" t="e" vm="192">
        <v>#VALUE!</v>
      </c>
      <c r="C251" s="14"/>
      <c r="D251" s="1" t="str" cm="1">
        <f t="array" aca="1" ref="D251" ca="1">_FV(B251,"Ticker symbol",TRUE)</f>
        <v>WEAV</v>
      </c>
      <c r="E251" s="25" cm="1">
        <f t="array" aca="1" ref="E251" ca="1">_FV(B251,"Price")</f>
        <v>4.87</v>
      </c>
      <c r="F251" s="25" cm="1">
        <f t="array" aca="1" ref="F251" ca="1">_FV(B251,"open")</f>
        <v>4.82</v>
      </c>
      <c r="G251" s="5" t="str" cm="1">
        <f t="array" aca="1" ref="G251" ca="1">_FV(B251,"Currency")</f>
        <v>USD</v>
      </c>
      <c r="H251" s="5" t="s">
        <v>128</v>
      </c>
      <c r="I251" s="16">
        <v>46025</v>
      </c>
      <c r="J251" s="172">
        <v>0.85589999999999999</v>
      </c>
      <c r="K251" s="14">
        <v>2000</v>
      </c>
      <c r="L251" s="19">
        <v>7.63</v>
      </c>
      <c r="M251" s="5">
        <f>+K251*L251+O251</f>
        <v>15275</v>
      </c>
      <c r="N251" s="5">
        <f ca="1">IF(G251="USD",M251*J251,+K251*L251+O251)</f>
        <v>13073.872499999999</v>
      </c>
      <c r="O251" s="14">
        <v>15</v>
      </c>
      <c r="P251" s="14"/>
      <c r="Q251" s="4">
        <f t="shared" ca="1" si="129"/>
        <v>46140</v>
      </c>
      <c r="R251" s="8">
        <f ca="1">+$M$551</f>
        <v>0.85299999999999998</v>
      </c>
      <c r="S251" s="1">
        <f>+K251</f>
        <v>2000</v>
      </c>
      <c r="T251" s="5">
        <f ca="1">+E251</f>
        <v>4.87</v>
      </c>
      <c r="U251" s="5">
        <f ca="1">+S251*T251-W251</f>
        <v>9724</v>
      </c>
      <c r="V251" s="5">
        <f ca="1">IF(G251="USD",U251*R251,+S251*T251-W251)</f>
        <v>8294.5720000000001</v>
      </c>
      <c r="W251" s="14">
        <v>16</v>
      </c>
      <c r="Y251" s="30">
        <f>IF(A251=0,V251-N251,0)</f>
        <v>0</v>
      </c>
      <c r="Z251" s="30">
        <f ca="1">+Y251-(Y251*$AA$1)</f>
        <v>0</v>
      </c>
      <c r="AB251" s="170">
        <f ca="1">IF(A251=1,+V251-N251,0)</f>
        <v>-4779.3004999999994</v>
      </c>
      <c r="AC251" s="168">
        <f ca="1">+AB251-(AB251*$AA$1)</f>
        <v>-3776.4715779928383</v>
      </c>
      <c r="AD251" s="28">
        <f ca="1">+U251/M251-1</f>
        <v>-0.36340425531914888</v>
      </c>
      <c r="AE251" s="48">
        <f t="shared" ca="1" si="138"/>
        <v>0</v>
      </c>
      <c r="AF251" s="48">
        <f t="shared" ca="1" si="139"/>
        <v>6.1110190387538817E-3</v>
      </c>
      <c r="AG251" s="204">
        <f ca="1">AVERAGE($AF$5:$AF$257)</f>
        <v>3.9682539682539663E-3</v>
      </c>
      <c r="AH251" s="1" t="str">
        <f ca="1">IF(AF251&lt;AG251,"no","si")</f>
        <v>si</v>
      </c>
      <c r="AI251" s="28">
        <f ca="1">IF(G251="USD",+R251/J251-1,"-")</f>
        <v>-3.388246290454533E-3</v>
      </c>
    </row>
    <row r="252" spans="1:35" x14ac:dyDescent="0.2">
      <c r="A252" s="1">
        <v>1</v>
      </c>
      <c r="B252" s="14" t="e" vm="193">
        <v>#VALUE!</v>
      </c>
      <c r="D252" s="1" t="str" cm="1">
        <f t="array" aca="1" ref="D252" ca="1">_FV(B252,"Ticker symbol",TRUE)</f>
        <v>WDAY</v>
      </c>
      <c r="E252" s="25" cm="1">
        <f t="array" aca="1" ref="E252" ca="1">_FV(B252,"Price")</f>
        <v>117.83</v>
      </c>
      <c r="F252" s="25" cm="1">
        <f t="array" aca="1" ref="F252" ca="1">_FV(B252,"open")</f>
        <v>117.66</v>
      </c>
      <c r="G252" s="5" t="str" cm="1">
        <f t="array" aca="1" ref="G252" ca="1">_FV(B252,"Currency")</f>
        <v>USD</v>
      </c>
      <c r="H252" s="5" t="s">
        <v>26</v>
      </c>
      <c r="I252" s="4">
        <v>45603</v>
      </c>
      <c r="J252" s="172">
        <v>0.88</v>
      </c>
      <c r="K252" s="1">
        <v>32</v>
      </c>
      <c r="L252" s="10">
        <v>252.13</v>
      </c>
      <c r="M252" s="5">
        <f t="shared" si="127"/>
        <v>8127.0199999999995</v>
      </c>
      <c r="N252" s="5">
        <f t="shared" ca="1" si="128"/>
        <v>7151.7775999999994</v>
      </c>
      <c r="O252" s="1">
        <f>12.06+46.8</f>
        <v>58.86</v>
      </c>
      <c r="Q252" s="4">
        <f t="shared" ca="1" si="129"/>
        <v>46140</v>
      </c>
      <c r="R252" s="8">
        <f ca="1">+$M$551</f>
        <v>0.85299999999999998</v>
      </c>
      <c r="S252" s="1">
        <f t="shared" si="124"/>
        <v>32</v>
      </c>
      <c r="T252" s="5">
        <f t="shared" ca="1" si="130"/>
        <v>117.83</v>
      </c>
      <c r="U252" s="5">
        <f t="shared" ca="1" si="131"/>
        <v>3755.56</v>
      </c>
      <c r="V252" s="5">
        <f t="shared" ca="1" si="132"/>
        <v>3203.4926799999998</v>
      </c>
      <c r="W252" s="1">
        <v>15</v>
      </c>
      <c r="Y252" s="30">
        <f t="shared" si="125"/>
        <v>0</v>
      </c>
      <c r="Z252" s="30">
        <f t="shared" ca="1" si="126"/>
        <v>0</v>
      </c>
      <c r="AB252" s="170">
        <f t="shared" ca="1" si="121"/>
        <v>-3948.2849199999996</v>
      </c>
      <c r="AC252" s="168">
        <f t="shared" ca="1" si="122"/>
        <v>-3119.8259624390071</v>
      </c>
      <c r="AD252" s="28">
        <f t="shared" ca="1" si="133"/>
        <v>-0.53789211789807334</v>
      </c>
      <c r="AE252" s="48">
        <f t="shared" ca="1" si="138"/>
        <v>0</v>
      </c>
      <c r="AF252" s="48">
        <f t="shared" ca="1" si="139"/>
        <v>3.3429000531046589E-3</v>
      </c>
      <c r="AG252" s="204">
        <f ca="1">AVERAGE($AF$5:$AF$257)</f>
        <v>3.9682539682539663E-3</v>
      </c>
      <c r="AH252" s="1" t="str">
        <f t="shared" ca="1" si="134"/>
        <v>no</v>
      </c>
      <c r="AI252" s="28">
        <f t="shared" ca="1" si="137"/>
        <v>-3.0681818181818254E-2</v>
      </c>
    </row>
    <row r="253" spans="1:35" x14ac:dyDescent="0.2">
      <c r="A253" s="14">
        <v>1</v>
      </c>
      <c r="B253" s="14" t="e" vm="194">
        <v>#VALUE!</v>
      </c>
      <c r="C253" s="14"/>
      <c r="D253" s="1" t="str" cm="1">
        <f t="array" aca="1" ref="D253" ca="1">_FV(B253,"Ticker symbol",TRUE)</f>
        <v>WLN</v>
      </c>
      <c r="E253" s="27" cm="1">
        <f t="array" aca="1" ref="E253" ca="1">_FV(B253,"Price")</f>
        <v>0.27</v>
      </c>
      <c r="F253" s="27" cm="1">
        <f t="array" aca="1" ref="F253" ca="1">_FV(B253,"open")</f>
        <v>0.27050000000000002</v>
      </c>
      <c r="G253" s="5" t="str" cm="1">
        <f t="array" aca="1" ref="G253" ca="1">_FV(B253,"Currency")</f>
        <v>EUR</v>
      </c>
      <c r="H253" s="5" t="s">
        <v>115</v>
      </c>
      <c r="I253" s="16">
        <v>45440</v>
      </c>
      <c r="J253" s="18"/>
      <c r="K253" s="14">
        <v>1000</v>
      </c>
      <c r="L253" s="19">
        <v>12.13</v>
      </c>
      <c r="M253" s="5">
        <f t="shared" si="127"/>
        <v>12181</v>
      </c>
      <c r="N253" s="5">
        <f t="shared" ca="1" si="128"/>
        <v>12181</v>
      </c>
      <c r="O253" s="14">
        <v>51</v>
      </c>
      <c r="P253" s="14"/>
      <c r="Q253" s="4">
        <f t="shared" ca="1" si="129"/>
        <v>46140</v>
      </c>
      <c r="S253" s="1">
        <f t="shared" si="124"/>
        <v>1000</v>
      </c>
      <c r="T253" s="5">
        <f t="shared" ca="1" si="130"/>
        <v>0.27</v>
      </c>
      <c r="U253" s="5">
        <f t="shared" ca="1" si="131"/>
        <v>219</v>
      </c>
      <c r="V253" s="5">
        <f t="shared" ca="1" si="132"/>
        <v>219</v>
      </c>
      <c r="W253" s="14">
        <v>51</v>
      </c>
      <c r="Y253" s="30">
        <f t="shared" si="125"/>
        <v>0</v>
      </c>
      <c r="Z253" s="30">
        <f t="shared" ca="1" si="126"/>
        <v>0</v>
      </c>
      <c r="AB253" s="170">
        <f t="shared" ca="1" si="121"/>
        <v>-11962</v>
      </c>
      <c r="AC253" s="168">
        <f t="shared" ca="1" si="122"/>
        <v>-9452.0428284328082</v>
      </c>
      <c r="AD253" s="28">
        <f t="shared" ca="1" si="133"/>
        <v>-0.98202118052705034</v>
      </c>
      <c r="AE253" s="48">
        <f t="shared" ca="1" si="138"/>
        <v>0</v>
      </c>
      <c r="AF253" s="48">
        <f t="shared" ca="1" si="139"/>
        <v>5.6936705563757819E-3</v>
      </c>
      <c r="AG253" s="204">
        <f ca="1">AVERAGE($AF$5:$AF$257)</f>
        <v>3.9682539682539663E-3</v>
      </c>
      <c r="AH253" s="1" t="str">
        <f t="shared" ca="1" si="134"/>
        <v>si</v>
      </c>
      <c r="AI253" s="28" t="str">
        <f t="shared" ca="1" si="137"/>
        <v>-</v>
      </c>
    </row>
    <row r="254" spans="1:35" x14ac:dyDescent="0.2">
      <c r="A254" s="14">
        <v>1</v>
      </c>
      <c r="B254" s="14" t="e" vm="194">
        <v>#VALUE!</v>
      </c>
      <c r="C254" s="14"/>
      <c r="D254" s="1" t="str" cm="1">
        <f t="array" aca="1" ref="D254" ca="1">_FV(B254,"Ticker symbol",TRUE)</f>
        <v>WLN</v>
      </c>
      <c r="E254" s="27" cm="1">
        <f t="array" aca="1" ref="E254" ca="1">_FV(B254,"Price")</f>
        <v>0.27</v>
      </c>
      <c r="F254" s="27" cm="1">
        <f t="array" aca="1" ref="F254" ca="1">_FV(B254,"open")</f>
        <v>0.27050000000000002</v>
      </c>
      <c r="G254" s="5" t="str" cm="1">
        <f t="array" aca="1" ref="G254" ca="1">_FV(B254,"Currency")</f>
        <v>EUR</v>
      </c>
      <c r="H254" s="5" t="s">
        <v>115</v>
      </c>
      <c r="I254" s="16">
        <v>46114</v>
      </c>
      <c r="J254" s="18"/>
      <c r="K254" s="14">
        <v>6000</v>
      </c>
      <c r="L254" s="19">
        <v>0.20200000000000001</v>
      </c>
      <c r="M254" s="5">
        <f>+K254*L254+O254</f>
        <v>1212</v>
      </c>
      <c r="N254" s="5">
        <f ca="1">IF(G254="USD",M254*J254,+K254*L254+O254)</f>
        <v>1212</v>
      </c>
      <c r="O254" s="14">
        <v>0</v>
      </c>
      <c r="P254" s="14"/>
      <c r="Q254" s="4">
        <f t="shared" ca="1" si="129"/>
        <v>46140</v>
      </c>
      <c r="S254" s="1">
        <f>+K254</f>
        <v>6000</v>
      </c>
      <c r="T254" s="5">
        <f ca="1">+E254</f>
        <v>0.27</v>
      </c>
      <c r="U254" s="5">
        <f ca="1">+S254*T254-W254</f>
        <v>1620</v>
      </c>
      <c r="V254" s="5">
        <f ca="1">IF(G254="USD",U254*R254,+S254*T254-W254)</f>
        <v>1620</v>
      </c>
      <c r="W254" s="14">
        <v>0</v>
      </c>
      <c r="Y254" s="30">
        <f>IF(A254=0,V254-N254,0)</f>
        <v>0</v>
      </c>
      <c r="Z254" s="30">
        <f ca="1">+Y254-(Y254*$AA$1)</f>
        <v>0</v>
      </c>
      <c r="AB254" s="170">
        <f ca="1">IF(A254=1,+V254-N254,0)</f>
        <v>408</v>
      </c>
      <c r="AC254" s="168">
        <f ca="1">+AB254-(AB254*$AA$1)</f>
        <v>322.39035897012087</v>
      </c>
      <c r="AD254" s="28">
        <f ca="1">+U254/M254-1</f>
        <v>0.33663366336633671</v>
      </c>
      <c r="AE254" s="48">
        <f ca="1">+Z254/$Z$393</f>
        <v>0</v>
      </c>
      <c r="AF254" s="48">
        <f ca="1">+N254/$N$259</f>
        <v>5.6651577984791462E-4</v>
      </c>
      <c r="AG254" s="204">
        <f ca="1">AVERAGE($AF$5:$AF$257)</f>
        <v>3.9682539682539663E-3</v>
      </c>
      <c r="AH254" s="1" t="str">
        <f ca="1">IF(AF254&lt;AG254,"no","si")</f>
        <v>no</v>
      </c>
      <c r="AI254" s="28" t="str">
        <f ca="1">IF(G254="USD",+R254/J254-1,"-")</f>
        <v>-</v>
      </c>
    </row>
    <row r="255" spans="1:35" x14ac:dyDescent="0.2">
      <c r="A255" s="1">
        <v>1</v>
      </c>
      <c r="B255" s="1" t="e" vm="195">
        <v>#VALUE!</v>
      </c>
      <c r="D255" s="1" t="str" cm="1">
        <f t="array" aca="1" ref="D255" ca="1">_FV(B255,"Ticker symbol",TRUE)</f>
        <v>ZAL</v>
      </c>
      <c r="E255" s="27" cm="1">
        <f t="array" aca="1" ref="E255" ca="1">_FV(B255,"Price")</f>
        <v>21.78</v>
      </c>
      <c r="F255" s="27" cm="1">
        <f t="array" aca="1" ref="F255" ca="1">_FV(B255,"open")</f>
        <v>22.06</v>
      </c>
      <c r="G255" s="5" t="str" cm="1">
        <f t="array" aca="1" ref="G255" ca="1">_FV(B255,"Currency")</f>
        <v>EUR</v>
      </c>
      <c r="H255" s="5" t="s">
        <v>26</v>
      </c>
      <c r="I255" s="4">
        <v>45028</v>
      </c>
      <c r="J255" s="18"/>
      <c r="K255" s="1">
        <v>507</v>
      </c>
      <c r="L255" s="10">
        <v>33.94</v>
      </c>
      <c r="M255" s="5">
        <f t="shared" si="127"/>
        <v>17217.759999999998</v>
      </c>
      <c r="N255" s="5">
        <f t="shared" ca="1" si="128"/>
        <v>17217.759999999998</v>
      </c>
      <c r="O255" s="1">
        <v>10.18</v>
      </c>
      <c r="Q255" s="4">
        <f t="shared" ca="1" si="129"/>
        <v>46140</v>
      </c>
      <c r="S255" s="1">
        <f t="shared" si="124"/>
        <v>507</v>
      </c>
      <c r="T255" s="5">
        <f t="shared" ca="1" si="130"/>
        <v>21.78</v>
      </c>
      <c r="U255" s="5">
        <f t="shared" ca="1" si="131"/>
        <v>11022.460000000001</v>
      </c>
      <c r="V255" s="5">
        <f t="shared" ca="1" si="132"/>
        <v>11022.460000000001</v>
      </c>
      <c r="W255" s="1">
        <v>20</v>
      </c>
      <c r="X255" s="17"/>
      <c r="Y255" s="30">
        <f t="shared" si="125"/>
        <v>0</v>
      </c>
      <c r="Z255" s="30">
        <f t="shared" ca="1" si="126"/>
        <v>0</v>
      </c>
      <c r="AA255" s="14"/>
      <c r="AB255" s="170">
        <f t="shared" ca="1" si="121"/>
        <v>-6195.2999999999975</v>
      </c>
      <c r="AC255" s="168">
        <f t="shared" ca="1" si="122"/>
        <v>-4895.3553699205613</v>
      </c>
      <c r="AD255" s="28">
        <f t="shared" ca="1" si="133"/>
        <v>-0.35982032505970563</v>
      </c>
      <c r="AE255" s="48">
        <f t="shared" ca="1" si="138"/>
        <v>0</v>
      </c>
      <c r="AF255" s="48">
        <f t="shared" ca="1" si="139"/>
        <v>8.0479643016784074E-3</v>
      </c>
      <c r="AG255" s="204">
        <f ca="1">AVERAGE($AF$5:$AF$257)</f>
        <v>3.9682539682539663E-3</v>
      </c>
      <c r="AH255" s="1" t="str">
        <f t="shared" ca="1" si="134"/>
        <v>si</v>
      </c>
      <c r="AI255" s="28" t="str">
        <f t="shared" ca="1" si="137"/>
        <v>-</v>
      </c>
    </row>
    <row r="256" spans="1:35" x14ac:dyDescent="0.2">
      <c r="A256" s="14">
        <v>1</v>
      </c>
      <c r="B256" s="14" t="e" vm="196">
        <v>#VALUE!</v>
      </c>
      <c r="C256" s="14"/>
      <c r="D256" s="1" t="str" cm="1">
        <f t="array" aca="1" ref="D256" ca="1">_FV(B256,"Ticker symbol",TRUE)</f>
        <v>Z</v>
      </c>
      <c r="E256" s="25" cm="1">
        <f t="array" aca="1" ref="E256" ca="1">_FV(B256,"Price")</f>
        <v>45.59</v>
      </c>
      <c r="F256" s="25" cm="1">
        <f t="array" aca="1" ref="F256" ca="1">_FV(B256,"open")</f>
        <v>45.16</v>
      </c>
      <c r="G256" s="5" t="str" cm="1">
        <f t="array" aca="1" ref="G256" ca="1">_FV(B256,"Currency")</f>
        <v>USD</v>
      </c>
      <c r="H256" s="5" t="s">
        <v>128</v>
      </c>
      <c r="I256" s="16">
        <v>46132</v>
      </c>
      <c r="J256" s="172">
        <v>0.84940000000000004</v>
      </c>
      <c r="K256" s="14">
        <v>100</v>
      </c>
      <c r="L256" s="19">
        <v>46.35</v>
      </c>
      <c r="M256" s="5">
        <f>+K256*L256+O256</f>
        <v>4636</v>
      </c>
      <c r="N256" s="5">
        <f ca="1">IF(G256="USD",M256*J256,+K256*L256+O256)</f>
        <v>3937.8184000000001</v>
      </c>
      <c r="O256" s="14">
        <v>1</v>
      </c>
      <c r="P256" s="14"/>
      <c r="Q256" s="4">
        <f t="shared" ca="1" si="129"/>
        <v>46140</v>
      </c>
      <c r="R256" s="8">
        <f ca="1">+$M$551</f>
        <v>0.85299999999999998</v>
      </c>
      <c r="S256" s="1">
        <f>+K256</f>
        <v>100</v>
      </c>
      <c r="T256" s="5">
        <f ca="1">+E256</f>
        <v>45.59</v>
      </c>
      <c r="U256" s="5">
        <f ca="1">+S256*T256-W256</f>
        <v>4558</v>
      </c>
      <c r="V256" s="5">
        <f ca="1">IF(G256="USD",U256*R256,+S256*T256-W256)</f>
        <v>3887.9739999999997</v>
      </c>
      <c r="W256" s="14">
        <v>1</v>
      </c>
      <c r="Y256" s="30">
        <f>IF(A256=0,V256-N256,0)</f>
        <v>0</v>
      </c>
      <c r="Z256" s="30">
        <f ca="1">+Y256-(Y256*$AA$1)</f>
        <v>0</v>
      </c>
      <c r="AB256" s="170">
        <f ca="1">IF(A256=1,+V256-N256,0)</f>
        <v>-49.844400000000405</v>
      </c>
      <c r="AC256" s="168">
        <f ca="1">+AB256-(AB256*$AA$1)</f>
        <v>-39.385671589829471</v>
      </c>
      <c r="AD256" s="28">
        <f ca="1">+U256/M256-1</f>
        <v>-1.6824849007765263E-2</v>
      </c>
      <c r="AE256" s="48">
        <f t="shared" ref="AE256" ca="1" si="140">+Z256/$Z$393</f>
        <v>0</v>
      </c>
      <c r="AF256" s="48">
        <f t="shared" ref="AF256" ca="1" si="141">+N256/$N$259</f>
        <v>1.8406239783625969E-3</v>
      </c>
      <c r="AG256" s="204">
        <f ca="1">AVERAGE($AF$5:$AF$257)</f>
        <v>3.9682539682539663E-3</v>
      </c>
      <c r="AH256" s="1" t="str">
        <f ca="1">IF(AF256&lt;AG256,"no","si")</f>
        <v>no</v>
      </c>
      <c r="AI256" s="28">
        <f ca="1">IF(G256="USD",+R256/J256-1,"-")</f>
        <v>4.2382858488343444E-3</v>
      </c>
    </row>
    <row r="257" spans="1:40" x14ac:dyDescent="0.2">
      <c r="B257" s="14"/>
      <c r="E257" s="25"/>
      <c r="F257" s="25"/>
      <c r="G257" s="5"/>
      <c r="H257" s="5"/>
      <c r="J257" s="172"/>
      <c r="Y257" s="30"/>
      <c r="Z257" s="30"/>
      <c r="AB257" s="170"/>
      <c r="AF257" s="48"/>
      <c r="AG257" s="204"/>
      <c r="AI257" s="28"/>
    </row>
    <row r="258" spans="1:40" x14ac:dyDescent="0.2">
      <c r="AB258" s="170"/>
      <c r="AF258" s="204"/>
    </row>
    <row r="259" spans="1:40" x14ac:dyDescent="0.2">
      <c r="E259" s="27"/>
      <c r="F259" s="27"/>
      <c r="M259" s="20">
        <f>SUM(M5:M258)</f>
        <v>2224862.7623799993</v>
      </c>
      <c r="N259" s="20">
        <f ca="1">SUM(N5:N258)</f>
        <v>2139393.1874684417</v>
      </c>
      <c r="X259" s="17"/>
      <c r="Y259" s="30"/>
      <c r="Z259" s="30"/>
      <c r="AA259" s="14"/>
      <c r="AB259" s="170"/>
    </row>
    <row r="260" spans="1:40" x14ac:dyDescent="0.2">
      <c r="B260" s="33" t="s">
        <v>97</v>
      </c>
      <c r="E260" s="27"/>
      <c r="F260" s="27"/>
      <c r="X260" s="17"/>
      <c r="Y260" s="30"/>
      <c r="Z260" s="30"/>
      <c r="AA260" s="14"/>
    </row>
    <row r="261" spans="1:40" x14ac:dyDescent="0.2">
      <c r="B261" s="67" t="s">
        <v>95</v>
      </c>
      <c r="C261" s="55"/>
      <c r="D261" s="55"/>
      <c r="E261" s="56"/>
      <c r="F261" s="56"/>
      <c r="G261" s="55"/>
      <c r="H261" s="55"/>
      <c r="I261" s="57"/>
      <c r="J261" s="68"/>
      <c r="K261" s="55"/>
      <c r="L261" s="69"/>
      <c r="M261" s="58"/>
      <c r="N261" s="58"/>
      <c r="O261" s="55"/>
      <c r="P261" s="55"/>
      <c r="Q261" s="57"/>
      <c r="R261" s="70"/>
      <c r="S261" s="55"/>
      <c r="T261" s="58"/>
      <c r="U261" s="58"/>
      <c r="V261" s="58"/>
      <c r="W261" s="55"/>
      <c r="X261" s="71"/>
      <c r="Y261" s="72">
        <f ca="1">SUM(Y262:Y270)</f>
        <v>19793.335473900002</v>
      </c>
      <c r="Z261" s="72">
        <f ca="1">SUM(Z262:Z270)</f>
        <v>15640.148354526104</v>
      </c>
      <c r="AA261" s="14"/>
      <c r="AB261" s="170"/>
      <c r="AN261" s="24">
        <f ca="1">SUM(AN265:AN391)</f>
        <v>1206.7463997183131</v>
      </c>
    </row>
    <row r="262" spans="1:40" ht="15" customHeight="1" x14ac:dyDescent="0.2">
      <c r="A262" s="14">
        <v>0</v>
      </c>
      <c r="B262" s="14" t="e" vm="197">
        <v>#VALUE!</v>
      </c>
      <c r="C262" s="14"/>
      <c r="D262" s="1" t="str" cm="1">
        <f t="array" aca="1" ref="D262" ca="1">_FV(B262,"Ticker symbol",TRUE)</f>
        <v>BESI</v>
      </c>
      <c r="E262" s="27" cm="1">
        <f t="array" aca="1" ref="E262" ca="1">_FV(B262,"Price")</f>
        <v>248</v>
      </c>
      <c r="F262" s="27" cm="1">
        <f t="array" aca="1" ref="F262" ca="1">_FV(B262,"open")</f>
        <v>252.4</v>
      </c>
      <c r="G262" s="5" t="str" cm="1">
        <f t="array" aca="1" ref="G262" ca="1">_FV(B262,"Currency")</f>
        <v>EUR</v>
      </c>
      <c r="H262" s="5" t="s">
        <v>115</v>
      </c>
      <c r="I262" s="16">
        <v>45712</v>
      </c>
      <c r="J262" s="18"/>
      <c r="K262" s="14">
        <v>100</v>
      </c>
      <c r="L262" s="19">
        <v>116.45</v>
      </c>
      <c r="M262" s="5">
        <f t="shared" ref="M262:M267" si="142">+K262*L262+O262</f>
        <v>11659</v>
      </c>
      <c r="N262" s="5">
        <f t="shared" ref="N262:N267" ca="1" si="143">IF(G262="USD",M262*J262,+K262*L262+O262)</f>
        <v>11659</v>
      </c>
      <c r="O262" s="14">
        <v>14</v>
      </c>
      <c r="P262" s="14"/>
      <c r="Q262" s="4">
        <v>46027</v>
      </c>
      <c r="S262" s="1">
        <f t="shared" ref="S262:S267" si="144">+K262</f>
        <v>100</v>
      </c>
      <c r="T262" s="5">
        <v>153.80000000000001</v>
      </c>
      <c r="U262" s="5">
        <f t="shared" ref="U262:U267" si="145">+S262*T262-W262</f>
        <v>15361.510000000002</v>
      </c>
      <c r="V262" s="5">
        <f t="shared" ref="V262:V267" ca="1" si="146">IF(G262="USD",U262*R262,+S262*T262-W262)</f>
        <v>15361.510000000002</v>
      </c>
      <c r="W262" s="14">
        <v>18.489999999999998</v>
      </c>
      <c r="Y262" s="30">
        <f t="shared" ref="Y262:Y267" ca="1" si="147">IF(A262=0,V262-N262,0)</f>
        <v>3702.510000000002</v>
      </c>
      <c r="Z262" s="297">
        <f t="shared" ref="Z262:Z267" ca="1" si="148">+Y262-(Y262*$AA$1)</f>
        <v>2925.6213921334875</v>
      </c>
      <c r="AB262" s="170">
        <f t="shared" ref="AB262:AB267" si="149">IF(A262=1,+V262-N262,0)</f>
        <v>0</v>
      </c>
      <c r="AC262" s="168">
        <f t="shared" ref="AC262:AC267" ca="1" si="150">+AB262-(AB262*$AA$1)</f>
        <v>0</v>
      </c>
      <c r="AD262" s="28">
        <f t="shared" ref="AD262:AD267" si="151">+U262/M262-1</f>
        <v>0.31756668667981836</v>
      </c>
      <c r="AE262" s="48">
        <f t="shared" ref="AE262:AE267" ca="1" si="152">+Z262/$Z$393</f>
        <v>4.2271942781032967E-2</v>
      </c>
      <c r="AF262" s="48">
        <f t="shared" ref="AF262:AF267" ca="1" si="153">+N262/$N$259</f>
        <v>5.4496761363422739E-3</v>
      </c>
      <c r="AG262" s="204">
        <f ca="1">AVERAGE($AF$5:$AF$257)</f>
        <v>3.9682539682539663E-3</v>
      </c>
      <c r="AH262" s="1" t="str">
        <f t="shared" ref="AH262:AH267" ca="1" si="154">IF(AF262&lt;AG262,"no","si")</f>
        <v>si</v>
      </c>
      <c r="AI262" s="28" t="str">
        <f t="shared" ref="AI262:AI267" ca="1" si="155">IF(G262="USD",+R262/J262-1,"-")</f>
        <v>-</v>
      </c>
    </row>
    <row r="263" spans="1:40" x14ac:dyDescent="0.2">
      <c r="A263" s="15">
        <v>0</v>
      </c>
      <c r="B263" s="1" t="e" vm="198">
        <v>#VALUE!</v>
      </c>
      <c r="D263" s="1" t="str" cm="1">
        <f t="array" aca="1" ref="D263" ca="1">_FV(B263,"Ticker symbol",TRUE)</f>
        <v>AIXA</v>
      </c>
      <c r="E263" s="27" cm="1">
        <f t="array" aca="1" ref="E263" ca="1">_FV(B263,"Price")</f>
        <v>44.17</v>
      </c>
      <c r="F263" s="27" cm="1">
        <f t="array" aca="1" ref="F263" ca="1">_FV(B263,"open")</f>
        <v>46.7</v>
      </c>
      <c r="G263" s="5" t="str" cm="1">
        <f t="array" aca="1" ref="G263" ca="1">_FV(B263,"Currency")</f>
        <v>EUR</v>
      </c>
      <c r="H263" s="5" t="s">
        <v>184</v>
      </c>
      <c r="I263" s="4">
        <v>45700</v>
      </c>
      <c r="J263" s="18"/>
      <c r="K263" s="14">
        <v>950</v>
      </c>
      <c r="L263" s="19">
        <v>13.685</v>
      </c>
      <c r="M263" s="5">
        <f t="shared" si="142"/>
        <v>13016.75</v>
      </c>
      <c r="N263" s="5">
        <f t="shared" ca="1" si="143"/>
        <v>13016.75</v>
      </c>
      <c r="O263" s="14">
        <v>16</v>
      </c>
      <c r="P263" s="14"/>
      <c r="Q263" s="4">
        <v>46027</v>
      </c>
      <c r="S263" s="1">
        <f t="shared" si="144"/>
        <v>950</v>
      </c>
      <c r="T263" s="5">
        <v>20.3</v>
      </c>
      <c r="U263" s="5">
        <f t="shared" si="145"/>
        <v>19264.89</v>
      </c>
      <c r="V263" s="5">
        <f t="shared" ca="1" si="146"/>
        <v>19264.89</v>
      </c>
      <c r="W263" s="1">
        <v>20.11</v>
      </c>
      <c r="X263" s="26"/>
      <c r="Y263" s="30">
        <f t="shared" ca="1" si="147"/>
        <v>6248.1399999999994</v>
      </c>
      <c r="Z263" s="30">
        <f t="shared" ca="1" si="148"/>
        <v>4937.1080820969873</v>
      </c>
      <c r="AA263" s="25"/>
      <c r="AB263" s="170">
        <f t="shared" si="149"/>
        <v>0</v>
      </c>
      <c r="AC263" s="168">
        <f t="shared" ca="1" si="150"/>
        <v>0</v>
      </c>
      <c r="AD263" s="28">
        <f t="shared" si="151"/>
        <v>0.48000768240920344</v>
      </c>
      <c r="AE263" s="48">
        <f t="shared" ca="1" si="152"/>
        <v>7.1335665958466854E-2</v>
      </c>
      <c r="AF263" s="48">
        <f t="shared" ca="1" si="153"/>
        <v>6.0843187106727247E-3</v>
      </c>
      <c r="AG263" s="204">
        <f ca="1">AVERAGE($AF$5:$AF$257)</f>
        <v>3.9682539682539663E-3</v>
      </c>
      <c r="AH263" s="1" t="str">
        <f t="shared" ca="1" si="154"/>
        <v>si</v>
      </c>
      <c r="AI263" s="28" t="str">
        <f t="shared" ca="1" si="155"/>
        <v>-</v>
      </c>
    </row>
    <row r="264" spans="1:40" x14ac:dyDescent="0.2">
      <c r="A264" s="1">
        <v>0</v>
      </c>
      <c r="B264" s="1" t="e" vm="199">
        <v>#VALUE!</v>
      </c>
      <c r="D264" s="1" t="str" cm="1">
        <f t="array" aca="1" ref="D264" ca="1">_FV(B264,"Ticker symbol",TRUE)</f>
        <v>SMHN</v>
      </c>
      <c r="E264" s="27" cm="1">
        <f t="array" aca="1" ref="E264" ca="1">_FV(B264,"Price")</f>
        <v>69.5</v>
      </c>
      <c r="F264" s="27" cm="1">
        <f t="array" aca="1" ref="F264" ca="1">_FV(B264,"open")</f>
        <v>70.5</v>
      </c>
      <c r="G264" s="5" t="str" cm="1">
        <f t="array" aca="1" ref="G264" ca="1">_FV(B264,"Currency")</f>
        <v>EUR</v>
      </c>
      <c r="H264" s="5" t="s">
        <v>183</v>
      </c>
      <c r="I264" s="16">
        <v>45916</v>
      </c>
      <c r="J264" s="18"/>
      <c r="K264" s="14">
        <v>500</v>
      </c>
      <c r="L264" s="19">
        <v>28.14</v>
      </c>
      <c r="M264" s="5">
        <f t="shared" si="142"/>
        <v>14085</v>
      </c>
      <c r="N264" s="5">
        <f t="shared" ca="1" si="143"/>
        <v>14085</v>
      </c>
      <c r="O264" s="14">
        <v>15</v>
      </c>
      <c r="P264" s="14"/>
      <c r="Q264" s="4">
        <v>46029</v>
      </c>
      <c r="S264" s="1">
        <f t="shared" si="144"/>
        <v>500</v>
      </c>
      <c r="T264" s="5">
        <v>46.44</v>
      </c>
      <c r="U264" s="5">
        <f t="shared" si="145"/>
        <v>23205</v>
      </c>
      <c r="V264" s="5">
        <f t="shared" ca="1" si="146"/>
        <v>23205</v>
      </c>
      <c r="W264" s="14">
        <v>15</v>
      </c>
      <c r="X264" s="17"/>
      <c r="Y264" s="30">
        <f t="shared" ca="1" si="147"/>
        <v>9120</v>
      </c>
      <c r="Z264" s="30">
        <f t="shared" ca="1" si="148"/>
        <v>7206.3727299203492</v>
      </c>
      <c r="AA264" s="14"/>
      <c r="AB264" s="170">
        <f t="shared" si="149"/>
        <v>0</v>
      </c>
      <c r="AC264" s="168">
        <f t="shared" ca="1" si="150"/>
        <v>0</v>
      </c>
      <c r="AD264" s="28">
        <f t="shared" si="151"/>
        <v>0.64749733759318429</v>
      </c>
      <c r="AE264" s="48">
        <f t="shared" ca="1" si="152"/>
        <v>0.1041239910663362</v>
      </c>
      <c r="AF264" s="48">
        <f t="shared" ca="1" si="153"/>
        <v>6.5836425405593046E-3</v>
      </c>
      <c r="AG264" s="204">
        <f ca="1">AVERAGE($AF$5:$AF$257)</f>
        <v>3.9682539682539663E-3</v>
      </c>
      <c r="AH264" s="1" t="str">
        <f t="shared" ca="1" si="154"/>
        <v>si</v>
      </c>
      <c r="AI264" s="28" t="str">
        <f t="shared" ca="1" si="155"/>
        <v>-</v>
      </c>
    </row>
    <row r="265" spans="1:40" x14ac:dyDescent="0.2">
      <c r="A265" s="1">
        <v>0</v>
      </c>
      <c r="B265" s="1" t="e" vm="200">
        <v>#VALUE!</v>
      </c>
      <c r="D265" s="1" t="str" cm="1">
        <f t="array" aca="1" ref="D265" ca="1">_FV(B265,"Ticker symbol",TRUE)</f>
        <v>PCAR</v>
      </c>
      <c r="E265" s="25" cm="1">
        <f t="array" aca="1" ref="E265" ca="1">_FV(B265,"Price")</f>
        <v>127.2</v>
      </c>
      <c r="F265" s="25" cm="1">
        <f t="array" aca="1" ref="F265" ca="1">_FV(B265,"open")</f>
        <v>125.71</v>
      </c>
      <c r="G265" s="5" t="str" cm="1">
        <f t="array" aca="1" ref="G265" ca="1">_FV(B265,"Currency")</f>
        <v>USD</v>
      </c>
      <c r="H265" s="5" t="s">
        <v>199</v>
      </c>
      <c r="I265" s="4">
        <v>45800</v>
      </c>
      <c r="J265" s="172">
        <v>0.88329999999999997</v>
      </c>
      <c r="K265" s="1">
        <v>105</v>
      </c>
      <c r="L265" s="10">
        <v>92.82</v>
      </c>
      <c r="M265" s="5">
        <f t="shared" si="142"/>
        <v>9746.0999999999985</v>
      </c>
      <c r="N265" s="5">
        <f t="shared" ca="1" si="143"/>
        <v>8608.7301299999981</v>
      </c>
      <c r="O265" s="1">
        <v>0</v>
      </c>
      <c r="Q265" s="4">
        <v>46030</v>
      </c>
      <c r="R265" s="8">
        <v>0.85829999999999995</v>
      </c>
      <c r="S265" s="1">
        <f t="shared" si="144"/>
        <v>105</v>
      </c>
      <c r="T265" s="5">
        <v>118.81</v>
      </c>
      <c r="U265" s="5">
        <f t="shared" si="145"/>
        <v>12475.03</v>
      </c>
      <c r="V265" s="5">
        <f t="shared" ca="1" si="146"/>
        <v>10707.318249</v>
      </c>
      <c r="W265" s="1">
        <v>0.02</v>
      </c>
      <c r="X265" s="17"/>
      <c r="Y265" s="30">
        <f t="shared" ca="1" si="147"/>
        <v>2098.5881190000018</v>
      </c>
      <c r="Z265" s="30">
        <f t="shared" ca="1" si="148"/>
        <v>1658.2465122912779</v>
      </c>
      <c r="AA265" s="14"/>
      <c r="AB265" s="170">
        <f t="shared" si="149"/>
        <v>0</v>
      </c>
      <c r="AC265" s="168">
        <f t="shared" ca="1" si="150"/>
        <v>0</v>
      </c>
      <c r="AD265" s="28">
        <f t="shared" si="151"/>
        <v>0.28000225731318196</v>
      </c>
      <c r="AE265" s="48">
        <f t="shared" ca="1" si="152"/>
        <v>2.3959799402924944E-2</v>
      </c>
      <c r="AF265" s="48">
        <f t="shared" ca="1" si="153"/>
        <v>4.0239120982650065E-3</v>
      </c>
      <c r="AG265" s="204">
        <f ca="1">AVERAGE($AF$5:$AF$257)</f>
        <v>3.9682539682539663E-3</v>
      </c>
      <c r="AH265" s="1" t="str">
        <f t="shared" ca="1" si="154"/>
        <v>si</v>
      </c>
      <c r="AI265" s="28">
        <f t="shared" ca="1" si="155"/>
        <v>-2.8302954828484106E-2</v>
      </c>
      <c r="AK265" s="339">
        <f ca="1">+$M$537</f>
        <v>0.85299999999999998</v>
      </c>
      <c r="AL265" s="340">
        <f ca="1">+Y265*AK265</f>
        <v>1790.0956655070015</v>
      </c>
      <c r="AM265" s="13">
        <f ca="1">+Z265</f>
        <v>1658.2465122912779</v>
      </c>
      <c r="AN265" s="24">
        <f ca="1">+AL265-AM265</f>
        <v>131.84915321572362</v>
      </c>
    </row>
    <row r="266" spans="1:40" ht="15" customHeight="1" x14ac:dyDescent="0.2">
      <c r="A266" s="1">
        <v>0</v>
      </c>
      <c r="B266" s="1" t="e" vm="201">
        <v>#VALUE!</v>
      </c>
      <c r="D266" s="1" t="str" cm="1">
        <f t="array" aca="1" ref="D266" ca="1">_FV(B266,"Ticker symbol",TRUE)</f>
        <v>DOCN</v>
      </c>
      <c r="E266" s="25" cm="1">
        <f t="array" aca="1" ref="E266" ca="1">_FV(B266,"Price")</f>
        <v>98.95</v>
      </c>
      <c r="F266" s="25" cm="1">
        <f t="array" aca="1" ref="F266" ca="1">_FV(B266,"open")</f>
        <v>94.99</v>
      </c>
      <c r="G266" s="5" t="str" cm="1">
        <f t="array" aca="1" ref="G266" ca="1">_FV(B266,"Currency")</f>
        <v>USD</v>
      </c>
      <c r="H266" s="5" t="s">
        <v>26</v>
      </c>
      <c r="I266" s="4">
        <v>45618</v>
      </c>
      <c r="J266" s="172">
        <v>0.9627</v>
      </c>
      <c r="K266" s="1">
        <v>202</v>
      </c>
      <c r="L266" s="10">
        <v>39.549999999999997</v>
      </c>
      <c r="M266" s="5">
        <f t="shared" si="142"/>
        <v>8004.2499999999991</v>
      </c>
      <c r="N266" s="5">
        <f t="shared" ca="1" si="143"/>
        <v>7705.6914749999987</v>
      </c>
      <c r="O266" s="1">
        <v>15.15</v>
      </c>
      <c r="Q266" s="4">
        <v>46034</v>
      </c>
      <c r="R266" s="8">
        <v>0.85370000000000001</v>
      </c>
      <c r="S266" s="1">
        <f t="shared" si="144"/>
        <v>202</v>
      </c>
      <c r="T266" s="5">
        <v>54.97</v>
      </c>
      <c r="U266" s="5">
        <f t="shared" si="145"/>
        <v>11088.93</v>
      </c>
      <c r="V266" s="5">
        <f t="shared" ca="1" si="146"/>
        <v>9466.619541</v>
      </c>
      <c r="W266" s="1">
        <v>15.01</v>
      </c>
      <c r="Y266" s="30">
        <f t="shared" ca="1" si="147"/>
        <v>1760.9280660000013</v>
      </c>
      <c r="Z266" s="30">
        <f t="shared" ca="1" si="148"/>
        <v>1391.4368414664243</v>
      </c>
      <c r="AB266" s="170">
        <f t="shared" si="149"/>
        <v>0</v>
      </c>
      <c r="AC266" s="168">
        <f t="shared" ca="1" si="150"/>
        <v>0</v>
      </c>
      <c r="AD266" s="28">
        <f t="shared" si="151"/>
        <v>0.38538026673329817</v>
      </c>
      <c r="AE266" s="48">
        <f t="shared" ca="1" si="152"/>
        <v>2.0104699365421579E-2</v>
      </c>
      <c r="AF266" s="48">
        <f t="shared" ca="1" si="153"/>
        <v>3.601811728735191E-3</v>
      </c>
      <c r="AG266" s="204">
        <f ca="1">AVERAGE($AF$5:$AF$257)</f>
        <v>3.9682539682539663E-3</v>
      </c>
      <c r="AH266" s="1" t="str">
        <f t="shared" ca="1" si="154"/>
        <v>no</v>
      </c>
      <c r="AI266" s="28">
        <f t="shared" ca="1" si="155"/>
        <v>-0.1132232263425782</v>
      </c>
      <c r="AK266" s="339">
        <f ca="1">+$M$537</f>
        <v>0.85299999999999998</v>
      </c>
      <c r="AL266" s="340">
        <f ca="1">+Y266*AK266</f>
        <v>1502.0716402980011</v>
      </c>
      <c r="AM266" s="13">
        <f ca="1">+Z266</f>
        <v>1391.4368414664243</v>
      </c>
      <c r="AN266" s="24">
        <f ca="1">+AL266-AM266</f>
        <v>110.63479883157675</v>
      </c>
    </row>
    <row r="267" spans="1:40" x14ac:dyDescent="0.2">
      <c r="A267" s="15">
        <v>0</v>
      </c>
      <c r="B267" s="1" t="e" vm="202">
        <v>#VALUE!</v>
      </c>
      <c r="D267" s="1" t="str" cm="1">
        <f t="array" aca="1" ref="D267" ca="1">_FV(B267,"Ticker symbol",TRUE)</f>
        <v>HOOK</v>
      </c>
      <c r="E267" s="25" cm="1">
        <f t="array" aca="1" ref="E267" ca="1">_FV(B267,"Price")</f>
        <v>1.1000000000000001</v>
      </c>
      <c r="F267" s="25" cm="1">
        <f t="array" aca="1" ref="F267" ca="1">_FV(B267,"open")</f>
        <v>1.1000000000000001</v>
      </c>
      <c r="G267" s="5" t="str" cm="1">
        <f t="array" aca="1" ref="G267" ca="1">_FV(B267,"Currency")</f>
        <v>USD</v>
      </c>
      <c r="H267" s="5" t="s">
        <v>183</v>
      </c>
      <c r="I267" s="4">
        <v>45435</v>
      </c>
      <c r="J267" s="172">
        <v>0.93022000000000005</v>
      </c>
      <c r="K267" s="1">
        <v>430</v>
      </c>
      <c r="L267" s="10">
        <f>1.46*10</f>
        <v>14.6</v>
      </c>
      <c r="M267" s="5">
        <f t="shared" si="142"/>
        <v>6292.99</v>
      </c>
      <c r="N267" s="5">
        <f t="shared" ca="1" si="143"/>
        <v>5853.8651577999999</v>
      </c>
      <c r="O267" s="1">
        <v>14.99</v>
      </c>
      <c r="Q267" s="4">
        <v>46035</v>
      </c>
      <c r="R267" s="8">
        <v>0.85870000000000002</v>
      </c>
      <c r="S267" s="1">
        <f t="shared" si="144"/>
        <v>430</v>
      </c>
      <c r="T267" s="5">
        <v>0.94369999999999998</v>
      </c>
      <c r="U267" s="5">
        <f t="shared" si="145"/>
        <v>390.791</v>
      </c>
      <c r="V267" s="5">
        <f t="shared" ca="1" si="146"/>
        <v>335.57223170000003</v>
      </c>
      <c r="W267" s="1">
        <v>15</v>
      </c>
      <c r="Y267" s="30">
        <f t="shared" ca="1" si="147"/>
        <v>-5518.2929260999999</v>
      </c>
      <c r="Z267" s="30">
        <f t="shared" ca="1" si="148"/>
        <v>-4360.4030327148475</v>
      </c>
      <c r="AB267" s="170">
        <f t="shared" si="149"/>
        <v>0</v>
      </c>
      <c r="AC267" s="168">
        <f t="shared" ca="1" si="150"/>
        <v>0</v>
      </c>
      <c r="AD267" s="28">
        <f t="shared" si="151"/>
        <v>-0.93790058461875836</v>
      </c>
      <c r="AE267" s="48">
        <f t="shared" ca="1" si="152"/>
        <v>-6.3002925804677923E-2</v>
      </c>
      <c r="AF267" s="48">
        <f t="shared" ca="1" si="153"/>
        <v>2.7362268853099031E-3</v>
      </c>
      <c r="AG267" s="204">
        <f ca="1">AVERAGE($AF$5:$AF$257)</f>
        <v>3.9682539682539663E-3</v>
      </c>
      <c r="AH267" s="1" t="str">
        <f t="shared" ca="1" si="154"/>
        <v>no</v>
      </c>
      <c r="AI267" s="28">
        <f t="shared" ca="1" si="155"/>
        <v>-7.6885037948012269E-2</v>
      </c>
      <c r="AK267" s="339">
        <f ca="1">+$M$537</f>
        <v>0.85299999999999998</v>
      </c>
      <c r="AL267" s="340">
        <f ca="1">+Y267*AK267</f>
        <v>-4707.1038659632995</v>
      </c>
      <c r="AM267" s="13">
        <f ca="1">+Z267</f>
        <v>-4360.4030327148475</v>
      </c>
      <c r="AN267" s="24">
        <f ca="1">+AL267-AM267</f>
        <v>-346.700833248452</v>
      </c>
    </row>
    <row r="268" spans="1:40" x14ac:dyDescent="0.2">
      <c r="A268" s="14">
        <v>0</v>
      </c>
      <c r="B268" s="14" t="e" vm="25">
        <v>#VALUE!</v>
      </c>
      <c r="C268" s="14"/>
      <c r="D268" s="1" t="str" cm="1">
        <f t="array" aca="1" ref="D268" ca="1">_FV(B268,"Ticker symbol",TRUE)</f>
        <v>BKR</v>
      </c>
      <c r="E268" s="25" cm="1">
        <f t="array" aca="1" ref="E268" ca="1">_FV(B268,"Price")</f>
        <v>68.38</v>
      </c>
      <c r="F268" s="25" cm="1">
        <f t="array" aca="1" ref="F268" ca="1">_FV(B268,"open")</f>
        <v>70</v>
      </c>
      <c r="G268" s="5" t="str" cm="1">
        <f t="array" aca="1" ref="G268" ca="1">_FV(B268,"Currency")</f>
        <v>USD</v>
      </c>
      <c r="H268" s="5" t="s">
        <v>204</v>
      </c>
      <c r="I268" s="16">
        <v>45852</v>
      </c>
      <c r="J268" s="172">
        <v>0.85589999999999999</v>
      </c>
      <c r="K268" s="14">
        <v>205</v>
      </c>
      <c r="L268" s="19">
        <v>40.049999999999997</v>
      </c>
      <c r="M268" s="5">
        <f>+K268*L268+O268</f>
        <v>8210.25</v>
      </c>
      <c r="N268" s="5">
        <f ca="1">IF(G268="USD",M268*J268,+K268*L268+O268)</f>
        <v>7027.152975</v>
      </c>
      <c r="O268" s="14">
        <v>0</v>
      </c>
      <c r="P268" s="14"/>
      <c r="Q268" s="4">
        <v>46044</v>
      </c>
      <c r="R268" s="8">
        <v>0.85150000000000003</v>
      </c>
      <c r="S268" s="1">
        <f>+K268</f>
        <v>205</v>
      </c>
      <c r="T268" s="246">
        <v>53.9</v>
      </c>
      <c r="U268" s="5">
        <f>+S268*T268-W268</f>
        <v>11049.46</v>
      </c>
      <c r="V268" s="5">
        <f ca="1">IF(G268="USD",U268*R268,+S268*T268-W268)</f>
        <v>9408.6151900000004</v>
      </c>
      <c r="W268" s="14">
        <v>0.04</v>
      </c>
      <c r="X268" s="17"/>
      <c r="Y268" s="30">
        <f ca="1">IF(A268=0,V268-N268,0)</f>
        <v>2381.4622150000005</v>
      </c>
      <c r="Z268" s="30">
        <f ca="1">+Y268-(Y268*$AA$1)</f>
        <v>1881.7658293324248</v>
      </c>
      <c r="AA268" s="14"/>
      <c r="AB268" s="170">
        <f>IF(A268=1,+V268-N268,0)</f>
        <v>0</v>
      </c>
      <c r="AC268" s="168">
        <f ca="1">+AB268-(AB268*$AA$1)</f>
        <v>0</v>
      </c>
      <c r="AD268" s="28">
        <f>+U268/M268-1</f>
        <v>0.34581285588136779</v>
      </c>
      <c r="AE268" s="48">
        <f ca="1">+Z268/$Z$393</f>
        <v>2.7189402456083034E-2</v>
      </c>
      <c r="AF268" s="48">
        <f ca="1">+N268/$N$259</f>
        <v>3.2846477291606584E-3</v>
      </c>
      <c r="AG268" s="204">
        <f ca="1">AVERAGE($AF$5:$AF$257)</f>
        <v>3.9682539682539663E-3</v>
      </c>
      <c r="AH268" s="1" t="str">
        <f ca="1">IF(AF268&lt;AG268,"no","si")</f>
        <v>no</v>
      </c>
      <c r="AI268" s="28">
        <f ca="1">IF(G268="USD",+R268/J268-1,"-")</f>
        <v>-5.1407874751723259E-3</v>
      </c>
      <c r="AK268" s="339">
        <f ca="1">+$M$537</f>
        <v>0.85299999999999998</v>
      </c>
      <c r="AL268" s="340">
        <f ca="1">+Y268*AK268</f>
        <v>2031.3872693950004</v>
      </c>
      <c r="AM268" s="13">
        <f ca="1">+Z268</f>
        <v>1881.7658293324248</v>
      </c>
      <c r="AN268" s="24">
        <f ca="1">+AL268-AM268</f>
        <v>149.62144006257563</v>
      </c>
    </row>
    <row r="269" spans="1:40" x14ac:dyDescent="0.2">
      <c r="A269" s="15"/>
      <c r="E269" s="25"/>
      <c r="F269" s="25"/>
      <c r="G269" s="5"/>
      <c r="H269" s="5"/>
      <c r="J269" s="172"/>
      <c r="K269" s="14"/>
      <c r="L269" s="19"/>
      <c r="O269" s="14"/>
      <c r="P269" s="14"/>
      <c r="Y269" s="30"/>
      <c r="Z269" s="30"/>
      <c r="AB269" s="170"/>
      <c r="AF269" s="48"/>
      <c r="AG269" s="204"/>
      <c r="AL269" s="5"/>
      <c r="AM269" s="13"/>
      <c r="AN269" s="24"/>
    </row>
    <row r="270" spans="1:40" x14ac:dyDescent="0.2">
      <c r="A270" s="15"/>
      <c r="E270" s="25"/>
      <c r="F270" s="25"/>
      <c r="G270" s="5"/>
      <c r="H270" s="5"/>
      <c r="J270" s="172"/>
      <c r="R270" s="172"/>
      <c r="Y270" s="30"/>
      <c r="Z270" s="30"/>
      <c r="AL270" s="5"/>
      <c r="AM270" s="13"/>
      <c r="AN270" s="24"/>
    </row>
    <row r="271" spans="1:40" x14ac:dyDescent="0.2">
      <c r="A271" s="15"/>
      <c r="B271" s="67" t="s">
        <v>96</v>
      </c>
      <c r="C271" s="55"/>
      <c r="D271" s="55"/>
      <c r="E271" s="56"/>
      <c r="F271" s="56"/>
      <c r="G271" s="55"/>
      <c r="H271" s="55"/>
      <c r="I271" s="57"/>
      <c r="J271" s="68"/>
      <c r="K271" s="55"/>
      <c r="L271" s="69"/>
      <c r="M271" s="58"/>
      <c r="N271" s="58"/>
      <c r="O271" s="55"/>
      <c r="P271" s="55"/>
      <c r="Q271" s="57"/>
      <c r="R271" s="70"/>
      <c r="S271" s="55"/>
      <c r="T271" s="58"/>
      <c r="U271" s="58"/>
      <c r="V271" s="58"/>
      <c r="W271" s="55"/>
      <c r="X271" s="71"/>
      <c r="Y271" s="72">
        <f ca="1">SUM(Y272:Y286)</f>
        <v>29908.234931999999</v>
      </c>
      <c r="Z271" s="72">
        <f ca="1">SUM(Z272:Z286)</f>
        <v>23632.663225221055</v>
      </c>
      <c r="AL271" s="5"/>
      <c r="AM271" s="13"/>
      <c r="AN271" s="24"/>
    </row>
    <row r="272" spans="1:40" x14ac:dyDescent="0.2">
      <c r="E272" s="25"/>
      <c r="F272" s="25"/>
      <c r="G272" s="5"/>
      <c r="H272" s="5"/>
      <c r="J272" s="172"/>
      <c r="X272" s="17"/>
      <c r="Y272" s="30"/>
      <c r="Z272" s="30"/>
      <c r="AA272" s="14"/>
      <c r="AB272" s="170"/>
      <c r="AF272" s="48"/>
      <c r="AG272" s="204"/>
      <c r="AL272" s="5"/>
      <c r="AM272" s="13"/>
      <c r="AN272" s="24"/>
    </row>
    <row r="273" spans="1:40" x14ac:dyDescent="0.2">
      <c r="A273" s="1">
        <v>0</v>
      </c>
      <c r="B273" s="1" t="e" vm="203">
        <v>#VALUE!</v>
      </c>
      <c r="D273" s="1" t="str" cm="1">
        <f t="array" aca="1" ref="D273" ca="1">_FV(B273,"Ticker symbol",TRUE)</f>
        <v>ODFL</v>
      </c>
      <c r="E273" s="25" cm="1">
        <f t="array" aca="1" ref="E273" ca="1">_FV(B273,"Price")</f>
        <v>220.53</v>
      </c>
      <c r="F273" s="25" cm="1">
        <f t="array" aca="1" ref="F273" ca="1">_FV(B273,"open")</f>
        <v>220.2</v>
      </c>
      <c r="G273" s="5" t="str" cm="1">
        <f t="array" aca="1" ref="G273" ca="1">_FV(B273,"Currency")</f>
        <v>USD</v>
      </c>
      <c r="H273" s="5" t="s">
        <v>26</v>
      </c>
      <c r="I273" s="4">
        <v>45807</v>
      </c>
      <c r="J273" s="172">
        <v>0.88360000000000005</v>
      </c>
      <c r="K273" s="1">
        <v>75</v>
      </c>
      <c r="L273" s="10">
        <v>159.69999999999999</v>
      </c>
      <c r="M273" s="5">
        <f t="shared" ref="M273:M279" si="156">+K273*L273+O273</f>
        <v>11992.5</v>
      </c>
      <c r="N273" s="5">
        <f t="shared" ref="N273:N279" ca="1" si="157">IF(G273="USD",M273*J273,+K273*L273+O273)</f>
        <v>10596.573</v>
      </c>
      <c r="O273" s="1">
        <v>15</v>
      </c>
      <c r="Q273" s="4">
        <v>46057</v>
      </c>
      <c r="R273" s="8">
        <v>0.84699999999999998</v>
      </c>
      <c r="S273" s="1">
        <f t="shared" ref="S273:S279" si="158">+K273</f>
        <v>75</v>
      </c>
      <c r="T273" s="5">
        <v>207</v>
      </c>
      <c r="U273" s="5">
        <f t="shared" ref="U273:U279" si="159">+S273*T273-W273</f>
        <v>15510</v>
      </c>
      <c r="V273" s="5">
        <f t="shared" ref="V273:V279" ca="1" si="160">IF(G273="USD",U273*R273,+S273*T273-W273)</f>
        <v>13136.97</v>
      </c>
      <c r="W273" s="1">
        <v>15</v>
      </c>
      <c r="X273" s="17"/>
      <c r="Y273" s="297">
        <f t="shared" ref="Y273:Y279" ca="1" si="161">IF(A273=0,V273-N273,0)</f>
        <v>2540.396999999999</v>
      </c>
      <c r="Z273" s="30">
        <f t="shared" ref="Z273:Z279" ca="1" si="162">+Y273-(Y273*$AA$1)</f>
        <v>2007.3517175407301</v>
      </c>
      <c r="AA273" s="14"/>
      <c r="AB273" s="170">
        <f t="shared" ref="AB273:AB279" si="163">IF(A273=1,+V273-N273,0)</f>
        <v>0</v>
      </c>
      <c r="AC273" s="168">
        <f t="shared" ref="AC273:AC279" ca="1" si="164">+AB273-(AB273*$AA$1)</f>
        <v>0</v>
      </c>
      <c r="AD273" s="28">
        <f t="shared" ref="AD273:AD279" si="165">+U273/M273-1</f>
        <v>0.29330831769856158</v>
      </c>
      <c r="AE273" s="48">
        <f t="shared" ref="AE273:AE279" ca="1" si="166">+Z273/$Z$393</f>
        <v>2.9003977470717892E-2</v>
      </c>
      <c r="AF273" s="48">
        <f t="shared" ref="AF273:AF279" ca="1" si="167">+N273/$N$259</f>
        <v>4.9530741062791721E-3</v>
      </c>
      <c r="AG273" s="204">
        <f ca="1">AVERAGE($AF$5:$AF$257)</f>
        <v>3.9682539682539663E-3</v>
      </c>
      <c r="AH273" s="1" t="str">
        <f t="shared" ref="AH273:AH279" ca="1" si="168">IF(AF273&lt;AG273,"no","si")</f>
        <v>si</v>
      </c>
      <c r="AI273" s="28">
        <f t="shared" ref="AI273:AI279" ca="1" si="169">IF(G273="USD",+R273/J273-1,"-")</f>
        <v>-4.1421457673155304E-2</v>
      </c>
      <c r="AK273" s="339">
        <f ca="1">+$M$537</f>
        <v>0.85299999999999998</v>
      </c>
      <c r="AL273" s="340">
        <f ca="1">+Y273*AK273</f>
        <v>2166.9586409999993</v>
      </c>
      <c r="AM273" s="13">
        <f ca="1">+Z273</f>
        <v>2007.3517175407301</v>
      </c>
      <c r="AN273" s="24">
        <f ca="1">+AL273-AM273</f>
        <v>159.60692345926918</v>
      </c>
    </row>
    <row r="274" spans="1:40" x14ac:dyDescent="0.2">
      <c r="A274" s="15">
        <v>0</v>
      </c>
      <c r="B274" s="1" t="e" vm="204">
        <v>#VALUE!</v>
      </c>
      <c r="D274" s="1" t="str" cm="1">
        <f t="array" aca="1" ref="D274" ca="1">_FV(B274,"Ticker symbol",TRUE)</f>
        <v>UA</v>
      </c>
      <c r="E274" s="25" cm="1">
        <f t="array" aca="1" ref="E274" ca="1">_FV(B274,"Price")</f>
        <v>6.2</v>
      </c>
      <c r="F274" s="25" cm="1">
        <f t="array" aca="1" ref="F274" ca="1">_FV(B274,"open")</f>
        <v>5.99</v>
      </c>
      <c r="G274" s="5" t="str" cm="1">
        <f t="array" aca="1" ref="G274" ca="1">_FV(B274,"Currency")</f>
        <v>USD</v>
      </c>
      <c r="H274" s="5" t="s">
        <v>183</v>
      </c>
      <c r="I274" s="4">
        <v>46027</v>
      </c>
      <c r="J274" s="172">
        <v>0.85850000000000004</v>
      </c>
      <c r="K274" s="1">
        <v>2846</v>
      </c>
      <c r="L274" s="10">
        <v>5.26</v>
      </c>
      <c r="M274" s="5">
        <f t="shared" si="156"/>
        <v>14984.96</v>
      </c>
      <c r="N274" s="5">
        <f t="shared" ca="1" si="157"/>
        <v>12864.588159999999</v>
      </c>
      <c r="O274" s="1">
        <v>15</v>
      </c>
      <c r="Q274" s="4">
        <f t="shared" ca="1" si="129"/>
        <v>46140</v>
      </c>
      <c r="R274" s="8">
        <v>0.84560000000000002</v>
      </c>
      <c r="S274" s="1">
        <f t="shared" si="158"/>
        <v>2846</v>
      </c>
      <c r="T274" s="5">
        <v>6.89</v>
      </c>
      <c r="U274" s="5">
        <f t="shared" si="159"/>
        <v>19593.939999999999</v>
      </c>
      <c r="V274" s="5">
        <f t="shared" ca="1" si="160"/>
        <v>16568.635663999998</v>
      </c>
      <c r="W274" s="1">
        <v>15</v>
      </c>
      <c r="Y274" s="30">
        <f t="shared" ca="1" si="161"/>
        <v>3704.0475039999983</v>
      </c>
      <c r="Z274" s="30">
        <f t="shared" ca="1" si="162"/>
        <v>2926.8362854336756</v>
      </c>
      <c r="AB274" s="170">
        <f t="shared" si="163"/>
        <v>0</v>
      </c>
      <c r="AC274" s="168">
        <f t="shared" ca="1" si="164"/>
        <v>0</v>
      </c>
      <c r="AD274" s="28">
        <f t="shared" si="165"/>
        <v>0.30757372725719656</v>
      </c>
      <c r="AE274" s="48">
        <f t="shared" ca="1" si="166"/>
        <v>4.2289496624537355E-2</v>
      </c>
      <c r="AF274" s="48">
        <f t="shared" ca="1" si="167"/>
        <v>6.0131948794427794E-3</v>
      </c>
      <c r="AG274" s="204">
        <f ca="1">AVERAGE($AF$5:$AF$257)</f>
        <v>3.9682539682539663E-3</v>
      </c>
      <c r="AH274" s="1" t="str">
        <f t="shared" ca="1" si="168"/>
        <v>si</v>
      </c>
      <c r="AI274" s="28">
        <f t="shared" ca="1" si="169"/>
        <v>-1.5026208503203242E-2</v>
      </c>
      <c r="AK274" s="339">
        <f ca="1">+$M$537</f>
        <v>0.85299999999999998</v>
      </c>
      <c r="AL274" s="340">
        <f ca="1">+Y274*AK274</f>
        <v>3159.5525209119983</v>
      </c>
      <c r="AM274" s="13">
        <f ca="1">+Z274</f>
        <v>2926.8362854336756</v>
      </c>
      <c r="AN274" s="24">
        <f ca="1">+AL274-AM274</f>
        <v>232.71623547832269</v>
      </c>
    </row>
    <row r="275" spans="1:40" x14ac:dyDescent="0.2">
      <c r="A275" s="14">
        <v>0</v>
      </c>
      <c r="B275" s="14" t="e" vm="92">
        <v>#VALUE!</v>
      </c>
      <c r="C275" s="14"/>
      <c r="D275" s="1" t="str" cm="1">
        <f t="array" aca="1" ref="D275" ca="1">_FV(B275,"Ticker symbol",TRUE)</f>
        <v>INPST</v>
      </c>
      <c r="E275" s="27" cm="1">
        <f t="array" aca="1" ref="E275" ca="1">_FV(B275,"Price")</f>
        <v>15.23</v>
      </c>
      <c r="F275" s="27" cm="1">
        <f t="array" aca="1" ref="F275" ca="1">_FV(B275,"open")</f>
        <v>15.25</v>
      </c>
      <c r="G275" s="5" t="str" cm="1">
        <f t="array" aca="1" ref="G275" ca="1">_FV(B275,"Currency")</f>
        <v>EUR</v>
      </c>
      <c r="H275" s="5" t="s">
        <v>188</v>
      </c>
      <c r="I275" s="16">
        <v>45742</v>
      </c>
      <c r="J275" s="18"/>
      <c r="K275" s="14">
        <v>360</v>
      </c>
      <c r="L275" s="19">
        <v>14.22</v>
      </c>
      <c r="M275" s="5">
        <f t="shared" si="156"/>
        <v>5125.34</v>
      </c>
      <c r="N275" s="5">
        <f t="shared" ca="1" si="157"/>
        <v>5125.34</v>
      </c>
      <c r="O275" s="14">
        <v>6.14</v>
      </c>
      <c r="P275" s="14"/>
      <c r="Q275" s="4">
        <v>46062</v>
      </c>
      <c r="S275" s="1">
        <f t="shared" si="158"/>
        <v>360</v>
      </c>
      <c r="T275" s="5">
        <v>15.12</v>
      </c>
      <c r="U275" s="5">
        <f t="shared" si="159"/>
        <v>5436.67</v>
      </c>
      <c r="V275" s="5">
        <f t="shared" ca="1" si="160"/>
        <v>5436.67</v>
      </c>
      <c r="W275" s="14">
        <v>6.53</v>
      </c>
      <c r="X275" s="17"/>
      <c r="Y275" s="30">
        <f t="shared" ca="1" si="161"/>
        <v>311.32999999999993</v>
      </c>
      <c r="Z275" s="30">
        <f t="shared" ca="1" si="162"/>
        <v>246.00438837786203</v>
      </c>
      <c r="AA275" s="14"/>
      <c r="AB275" s="170">
        <f t="shared" si="163"/>
        <v>0</v>
      </c>
      <c r="AC275" s="168">
        <f t="shared" ca="1" si="164"/>
        <v>0</v>
      </c>
      <c r="AD275" s="28">
        <f t="shared" si="165"/>
        <v>6.0743287274600322E-2</v>
      </c>
      <c r="AE275" s="48">
        <f t="shared" ca="1" si="166"/>
        <v>3.5544870766099166E-3</v>
      </c>
      <c r="AF275" s="48">
        <f t="shared" ca="1" si="167"/>
        <v>2.3956980091466261E-3</v>
      </c>
      <c r="AG275" s="204">
        <f ca="1">AVERAGE($AF$5:$AF$257)</f>
        <v>3.9682539682539663E-3</v>
      </c>
      <c r="AH275" s="1" t="str">
        <f t="shared" ca="1" si="168"/>
        <v>no</v>
      </c>
      <c r="AI275" s="28" t="str">
        <f t="shared" ca="1" si="169"/>
        <v>-</v>
      </c>
    </row>
    <row r="276" spans="1:40" x14ac:dyDescent="0.2">
      <c r="A276" s="1">
        <v>0</v>
      </c>
      <c r="B276" s="1" t="e" vm="205">
        <v>#VALUE!</v>
      </c>
      <c r="D276" s="1" t="str" cm="1">
        <f t="array" aca="1" ref="D276" ca="1">_FV(B276,"Ticker symbol",TRUE)</f>
        <v>LGIH</v>
      </c>
      <c r="E276" s="25" cm="1">
        <f t="array" aca="1" ref="E276" ca="1">_FV(B276,"Price")</f>
        <v>45.32</v>
      </c>
      <c r="F276" s="25" cm="1">
        <f t="array" aca="1" ref="F276" ca="1">_FV(B276,"open")</f>
        <v>45.49</v>
      </c>
      <c r="G276" s="5" t="str" cm="1">
        <f t="array" aca="1" ref="G276" ca="1">_FV(B276,"Currency")</f>
        <v>USD</v>
      </c>
      <c r="H276" s="5" t="s">
        <v>128</v>
      </c>
      <c r="I276" s="4">
        <v>45967</v>
      </c>
      <c r="J276" s="172">
        <v>0.86750000000000005</v>
      </c>
      <c r="K276" s="1">
        <v>250</v>
      </c>
      <c r="L276" s="10">
        <v>48.52</v>
      </c>
      <c r="M276" s="5">
        <f t="shared" si="156"/>
        <v>12131.26</v>
      </c>
      <c r="N276" s="5">
        <f t="shared" ca="1" si="157"/>
        <v>10523.868050000001</v>
      </c>
      <c r="O276" s="1">
        <v>1.26</v>
      </c>
      <c r="Q276" s="4">
        <v>46064</v>
      </c>
      <c r="R276" s="8">
        <v>0.83919999999999995</v>
      </c>
      <c r="S276" s="1">
        <f t="shared" si="158"/>
        <v>250</v>
      </c>
      <c r="T276" s="5">
        <v>61.58</v>
      </c>
      <c r="U276" s="5">
        <f t="shared" si="159"/>
        <v>15394.97</v>
      </c>
      <c r="V276" s="5">
        <f t="shared" ca="1" si="160"/>
        <v>12919.458823999999</v>
      </c>
      <c r="W276" s="1">
        <v>0.03</v>
      </c>
      <c r="Y276" s="30">
        <f t="shared" ca="1" si="161"/>
        <v>2395.5907739999984</v>
      </c>
      <c r="Z276" s="30">
        <f t="shared" ca="1" si="162"/>
        <v>1892.9298273906109</v>
      </c>
      <c r="AB276" s="170">
        <f t="shared" si="163"/>
        <v>0</v>
      </c>
      <c r="AC276" s="168">
        <f t="shared" ca="1" si="164"/>
        <v>0</v>
      </c>
      <c r="AD276" s="28">
        <f t="shared" si="165"/>
        <v>0.26903306004487582</v>
      </c>
      <c r="AE276" s="48">
        <f t="shared" ca="1" si="166"/>
        <v>2.7350709687562858E-2</v>
      </c>
      <c r="AF276" s="48">
        <f t="shared" ca="1" si="167"/>
        <v>4.9190901941933195E-3</v>
      </c>
      <c r="AG276" s="204">
        <f ca="1">AVERAGE($AF$5:$AF$257)</f>
        <v>3.9682539682539663E-3</v>
      </c>
      <c r="AH276" s="1" t="str">
        <f t="shared" ca="1" si="168"/>
        <v>si</v>
      </c>
      <c r="AI276" s="28">
        <f t="shared" ca="1" si="169"/>
        <v>-3.2622478386167275E-2</v>
      </c>
      <c r="AK276" s="339">
        <f ca="1">+$M$537</f>
        <v>0.85299999999999998</v>
      </c>
      <c r="AL276" s="340">
        <f ca="1">+Y276*AK276</f>
        <v>2043.4389302219986</v>
      </c>
      <c r="AM276" s="13">
        <f ca="1">+Z276</f>
        <v>1892.9298273906109</v>
      </c>
      <c r="AN276" s="24">
        <f ca="1">+AL276-AM276</f>
        <v>150.50910283138774</v>
      </c>
    </row>
    <row r="277" spans="1:40" x14ac:dyDescent="0.2">
      <c r="A277" s="15">
        <v>0</v>
      </c>
      <c r="B277" s="1" t="e" vm="206">
        <v>#VALUE!</v>
      </c>
      <c r="D277" s="1" t="str" cm="1">
        <f t="array" aca="1" ref="D277" ca="1">_FV(B277,"Ticker symbol",TRUE)</f>
        <v>PHM</v>
      </c>
      <c r="E277" s="25" cm="1">
        <f t="array" aca="1" ref="E277" ca="1">_FV(B277,"Price")</f>
        <v>128.28</v>
      </c>
      <c r="F277" s="25" cm="1">
        <f t="array" aca="1" ref="F277" ca="1">_FV(B277,"open")</f>
        <v>127.2</v>
      </c>
      <c r="G277" s="5" t="str" cm="1">
        <f t="array" aca="1" ref="G277" ca="1">_FV(B277,"Currency")</f>
        <v>USD</v>
      </c>
      <c r="H277" s="5" t="s">
        <v>204</v>
      </c>
      <c r="I277" s="4">
        <v>45840</v>
      </c>
      <c r="J277" s="172">
        <v>0.85019999999999996</v>
      </c>
      <c r="K277" s="14">
        <v>138</v>
      </c>
      <c r="L277" s="19">
        <v>110.14</v>
      </c>
      <c r="M277" s="5">
        <f t="shared" si="156"/>
        <v>15199.32</v>
      </c>
      <c r="N277" s="5">
        <f t="shared" ca="1" si="157"/>
        <v>12922.461863999999</v>
      </c>
      <c r="O277" s="14">
        <v>0</v>
      </c>
      <c r="P277" s="14"/>
      <c r="Q277" s="4">
        <v>46065</v>
      </c>
      <c r="R277" s="8">
        <v>0.84160000000000001</v>
      </c>
      <c r="S277" s="1">
        <f t="shared" si="158"/>
        <v>138</v>
      </c>
      <c r="T277" s="5">
        <v>140.9</v>
      </c>
      <c r="U277" s="5">
        <f t="shared" si="159"/>
        <v>19444.170000000002</v>
      </c>
      <c r="V277" s="5">
        <f t="shared" ca="1" si="160"/>
        <v>16364.213472000001</v>
      </c>
      <c r="W277" s="1">
        <v>0.03</v>
      </c>
      <c r="X277" s="26"/>
      <c r="Y277" s="30">
        <f t="shared" ca="1" si="161"/>
        <v>3441.7516080000023</v>
      </c>
      <c r="Z277" s="30">
        <f t="shared" ca="1" si="162"/>
        <v>2719.5772950713517</v>
      </c>
      <c r="AA277" s="25"/>
      <c r="AB277" s="170">
        <f t="shared" si="163"/>
        <v>0</v>
      </c>
      <c r="AC277" s="168">
        <f t="shared" ca="1" si="164"/>
        <v>0</v>
      </c>
      <c r="AD277" s="28">
        <f t="shared" si="165"/>
        <v>0.27927894142632703</v>
      </c>
      <c r="AE277" s="48">
        <f t="shared" ca="1" si="166"/>
        <v>3.929483702674786E-2</v>
      </c>
      <c r="AF277" s="48">
        <f t="shared" ca="1" si="167"/>
        <v>6.0402463369957889E-3</v>
      </c>
      <c r="AG277" s="204">
        <f ca="1">AVERAGE($AF$5:$AF$257)</f>
        <v>3.9682539682539663E-3</v>
      </c>
      <c r="AH277" s="1" t="str">
        <f t="shared" ca="1" si="168"/>
        <v>si</v>
      </c>
      <c r="AI277" s="28">
        <f t="shared" ca="1" si="169"/>
        <v>-1.0115266996000849E-2</v>
      </c>
      <c r="AK277" s="339">
        <f ca="1">+$M$537</f>
        <v>0.85299999999999998</v>
      </c>
      <c r="AL277" s="340">
        <f ca="1">+Y277*AK277</f>
        <v>2935.8141216240019</v>
      </c>
      <c r="AM277" s="13">
        <f ca="1">+Z277</f>
        <v>2719.5772950713517</v>
      </c>
      <c r="AN277" s="24">
        <f ca="1">+AL277-AM277</f>
        <v>216.2368265526502</v>
      </c>
    </row>
    <row r="278" spans="1:40" x14ac:dyDescent="0.2">
      <c r="A278" s="14">
        <v>0</v>
      </c>
      <c r="B278" s="14" t="e" vm="207">
        <v>#VALUE!</v>
      </c>
      <c r="C278" s="14"/>
      <c r="D278" s="1" t="str" cm="1">
        <f t="array" aca="1" ref="D278" ca="1">_FV(B278,"Ticker symbol",TRUE)</f>
        <v>ALSN</v>
      </c>
      <c r="E278" s="25" cm="1">
        <f t="array" aca="1" ref="E278" ca="1">_FV(B278,"Price")</f>
        <v>133.69</v>
      </c>
      <c r="F278" s="25" cm="1">
        <f t="array" aca="1" ref="F278" ca="1">_FV(B278,"open")</f>
        <v>135.72</v>
      </c>
      <c r="G278" s="5" t="str" cm="1">
        <f t="array" aca="1" ref="G278" ca="1">_FV(B278,"Currency")</f>
        <v>USD</v>
      </c>
      <c r="H278" s="5" t="s">
        <v>128</v>
      </c>
      <c r="I278" s="16">
        <v>45992</v>
      </c>
      <c r="J278" s="172">
        <v>0.86019999999999996</v>
      </c>
      <c r="K278" s="14">
        <v>130</v>
      </c>
      <c r="L278" s="19">
        <v>90</v>
      </c>
      <c r="M278" s="5">
        <f t="shared" si="156"/>
        <v>11701</v>
      </c>
      <c r="N278" s="5">
        <f t="shared" ca="1" si="157"/>
        <v>10065.200199999999</v>
      </c>
      <c r="O278" s="14">
        <v>1</v>
      </c>
      <c r="P278" s="14"/>
      <c r="Q278" s="4">
        <v>46065</v>
      </c>
      <c r="R278" s="8">
        <v>0.84140000000000004</v>
      </c>
      <c r="S278" s="1">
        <f t="shared" si="158"/>
        <v>130</v>
      </c>
      <c r="T278" s="5">
        <v>117.09</v>
      </c>
      <c r="U278" s="5">
        <f t="shared" si="159"/>
        <v>15220.67</v>
      </c>
      <c r="V278" s="5">
        <f t="shared" ca="1" si="160"/>
        <v>12806.671738000001</v>
      </c>
      <c r="W278" s="14">
        <v>1.03</v>
      </c>
      <c r="X278" s="17"/>
      <c r="Y278" s="30">
        <f t="shared" ca="1" si="161"/>
        <v>2741.4715380000016</v>
      </c>
      <c r="Z278" s="30">
        <f t="shared" ca="1" si="162"/>
        <v>2166.2352775543868</v>
      </c>
      <c r="AA278" s="14"/>
      <c r="AB278" s="170">
        <f t="shared" si="163"/>
        <v>0</v>
      </c>
      <c r="AC278" s="168">
        <f t="shared" ca="1" si="164"/>
        <v>0</v>
      </c>
      <c r="AD278" s="28">
        <f t="shared" si="165"/>
        <v>0.30080078625758477</v>
      </c>
      <c r="AE278" s="48">
        <f t="shared" ca="1" si="166"/>
        <v>3.1299666439838496E-2</v>
      </c>
      <c r="AF278" s="48">
        <f t="shared" ca="1" si="167"/>
        <v>4.7046986308815061E-3</v>
      </c>
      <c r="AG278" s="204">
        <f ca="1">AVERAGE($AF$5:$AF$257)</f>
        <v>3.9682539682539663E-3</v>
      </c>
      <c r="AH278" s="1" t="str">
        <f t="shared" ca="1" si="168"/>
        <v>si</v>
      </c>
      <c r="AI278" s="28">
        <f t="shared" ca="1" si="169"/>
        <v>-2.1855382469193163E-2</v>
      </c>
      <c r="AK278" s="339">
        <f ca="1">+$M$537</f>
        <v>0.85299999999999998</v>
      </c>
      <c r="AL278" s="340">
        <f ca="1">+Y278*AK278</f>
        <v>2338.4752219140014</v>
      </c>
      <c r="AM278" s="13">
        <f ca="1">+Z278</f>
        <v>2166.2352775543868</v>
      </c>
      <c r="AN278" s="24">
        <f ca="1">+AL278-AM278</f>
        <v>172.23994435961458</v>
      </c>
    </row>
    <row r="279" spans="1:40" x14ac:dyDescent="0.2">
      <c r="A279" s="14">
        <v>0</v>
      </c>
      <c r="B279" s="14" t="e" vm="104">
        <v>#VALUE!</v>
      </c>
      <c r="C279" s="14"/>
      <c r="D279" s="1" t="str" cm="1">
        <f t="array" aca="1" ref="D279" ca="1">_FV(B279,"Ticker symbol",TRUE)</f>
        <v>ROVI</v>
      </c>
      <c r="E279" s="27" cm="1">
        <f t="array" aca="1" ref="E279" ca="1">_FV(B279,"Price")</f>
        <v>80.7</v>
      </c>
      <c r="F279" s="27" cm="1">
        <f t="array" aca="1" ref="F279" ca="1">_FV(B279,"open")</f>
        <v>81</v>
      </c>
      <c r="G279" s="5" t="str" cm="1">
        <f t="array" aca="1" ref="G279" ca="1">_FV(B279,"Currency")</f>
        <v>EUR</v>
      </c>
      <c r="H279" s="5" t="s">
        <v>183</v>
      </c>
      <c r="I279" s="16">
        <v>45757</v>
      </c>
      <c r="J279" s="18"/>
      <c r="K279" s="14">
        <v>125</v>
      </c>
      <c r="L279" s="19">
        <v>48.1</v>
      </c>
      <c r="M279" s="5">
        <f t="shared" si="156"/>
        <v>6020.04</v>
      </c>
      <c r="N279" s="5">
        <f t="shared" ca="1" si="157"/>
        <v>6020.04</v>
      </c>
      <c r="O279" s="14">
        <v>7.54</v>
      </c>
      <c r="P279" s="14"/>
      <c r="Q279" s="4">
        <v>46078</v>
      </c>
      <c r="S279" s="1">
        <f t="shared" si="158"/>
        <v>125</v>
      </c>
      <c r="T279" s="5">
        <v>79.900000000000006</v>
      </c>
      <c r="U279" s="5">
        <f t="shared" si="159"/>
        <v>9977.39</v>
      </c>
      <c r="V279" s="5">
        <f t="shared" ca="1" si="160"/>
        <v>9977.39</v>
      </c>
      <c r="W279" s="14">
        <v>10.11</v>
      </c>
      <c r="X279" s="17"/>
      <c r="Y279" s="30">
        <f t="shared" ca="1" si="161"/>
        <v>3957.3499999999995</v>
      </c>
      <c r="Z279" s="30">
        <f t="shared" ca="1" si="162"/>
        <v>3126.9889388980582</v>
      </c>
      <c r="AA279" s="14"/>
      <c r="AB279" s="170">
        <f t="shared" si="163"/>
        <v>0</v>
      </c>
      <c r="AC279" s="168">
        <f t="shared" ca="1" si="164"/>
        <v>0</v>
      </c>
      <c r="AD279" s="28">
        <f t="shared" si="165"/>
        <v>0.65736274177580212</v>
      </c>
      <c r="AE279" s="48">
        <f t="shared" ca="1" si="166"/>
        <v>4.5181477636662887E-2</v>
      </c>
      <c r="AF279" s="48">
        <f t="shared" ca="1" si="167"/>
        <v>2.8139007057059735E-3</v>
      </c>
      <c r="AG279" s="204">
        <f ca="1">AVERAGE($AF$5:$AF$257)</f>
        <v>3.9682539682539663E-3</v>
      </c>
      <c r="AH279" s="1" t="str">
        <f t="shared" ca="1" si="168"/>
        <v>no</v>
      </c>
      <c r="AI279" s="28" t="str">
        <f t="shared" ca="1" si="169"/>
        <v>-</v>
      </c>
    </row>
    <row r="280" spans="1:40" x14ac:dyDescent="0.2">
      <c r="A280" s="14">
        <v>0</v>
      </c>
      <c r="B280" s="14" t="e" vm="4">
        <v>#VALUE!</v>
      </c>
      <c r="C280" s="14"/>
      <c r="D280" s="1" t="str" cm="1">
        <f t="array" aca="1" ref="D280" ca="1">_FV(B280,"Ticker symbol",TRUE)</f>
        <v>ANA</v>
      </c>
      <c r="E280" s="27" cm="1">
        <f t="array" aca="1" ref="E280" ca="1">_FV(B280,"Price")</f>
        <v>242.2</v>
      </c>
      <c r="F280" s="27" cm="1">
        <f t="array" aca="1" ref="F280" ca="1">_FV(B280,"open")</f>
        <v>239.2</v>
      </c>
      <c r="G280" s="5" t="str" cm="1">
        <f t="array" aca="1" ref="G280" ca="1">_FV(B280,"Currency")</f>
        <v>EUR</v>
      </c>
      <c r="H280" s="5" t="s">
        <v>183</v>
      </c>
      <c r="I280" s="16">
        <v>45796</v>
      </c>
      <c r="J280" s="18"/>
      <c r="K280" s="14">
        <v>62</v>
      </c>
      <c r="L280" s="19">
        <v>133.19999999999999</v>
      </c>
      <c r="M280" s="5">
        <f>+K280*L280+O280</f>
        <v>8273.0399999999991</v>
      </c>
      <c r="N280" s="5">
        <f ca="1">IF(G280="USD",M280*J280,+K280*L280+O280)</f>
        <v>8273.0399999999991</v>
      </c>
      <c r="O280" s="14">
        <v>14.64</v>
      </c>
      <c r="P280" s="14"/>
      <c r="Q280" s="4">
        <v>46080</v>
      </c>
      <c r="S280" s="1">
        <f>+K280</f>
        <v>62</v>
      </c>
      <c r="T280" s="5">
        <v>249</v>
      </c>
      <c r="U280" s="5">
        <f>+S280*T280-W280</f>
        <v>15428</v>
      </c>
      <c r="V280" s="5">
        <f ca="1">IF(G280="USD",U280*R280,+S280*T280-W280)</f>
        <v>15428</v>
      </c>
      <c r="W280" s="14">
        <v>10</v>
      </c>
      <c r="X280" s="17"/>
      <c r="Y280" s="30">
        <f ca="1">IF(A280=0,V280-N280,0)</f>
        <v>7154.9600000000009</v>
      </c>
      <c r="Z280" s="30">
        <f ca="1">+Y280-(Y280*$AA$1)</f>
        <v>5653.6522618060208</v>
      </c>
      <c r="AA280" s="14"/>
      <c r="AB280" s="170">
        <f>IF(A280=1,+V280-N280,0)</f>
        <v>0</v>
      </c>
      <c r="AC280" s="168">
        <f ca="1">+AB280-(AB280*$AA$1)</f>
        <v>0</v>
      </c>
      <c r="AD280" s="28">
        <f>+U280/M280-1</f>
        <v>0.86485258139692323</v>
      </c>
      <c r="AE280" s="48">
        <f ca="1">+Z280/$Z$393</f>
        <v>8.1688924464911508E-2</v>
      </c>
      <c r="AF280" s="48">
        <f ca="1">+N280/$N$259</f>
        <v>3.8670030588391015E-3</v>
      </c>
      <c r="AG280" s="204">
        <f ca="1">AVERAGE($AF$5:$AF$257)</f>
        <v>3.9682539682539663E-3</v>
      </c>
      <c r="AH280" s="1" t="str">
        <f ca="1">IF(AF280&lt;AG280,"no","si")</f>
        <v>no</v>
      </c>
      <c r="AI280" s="28" t="str">
        <f ca="1">IF(G280="USD",+R280/J280-1,"-")</f>
        <v>-</v>
      </c>
    </row>
    <row r="281" spans="1:40" x14ac:dyDescent="0.2">
      <c r="A281" s="1">
        <v>0</v>
      </c>
      <c r="B281" s="1" t="e" vm="208">
        <v>#VALUE!</v>
      </c>
      <c r="D281" s="1" t="str" cm="1">
        <f t="array" aca="1" ref="D281" ca="1">_FV(B281,"Ticker symbol",TRUE)</f>
        <v>BMY</v>
      </c>
      <c r="E281" s="25" cm="1">
        <f t="array" aca="1" ref="E281" ca="1">_FV(B281,"Price")</f>
        <v>57.78</v>
      </c>
      <c r="F281" s="25" cm="1">
        <f t="array" aca="1" ref="F281" ca="1">_FV(B281,"open")</f>
        <v>58.21</v>
      </c>
      <c r="G281" s="5" t="str" cm="1">
        <f t="array" aca="1" ref="G281" ca="1">_FV(B281,"Currency")</f>
        <v>USD</v>
      </c>
      <c r="H281" s="5" t="s">
        <v>128</v>
      </c>
      <c r="I281" s="4">
        <v>45971</v>
      </c>
      <c r="J281" s="172">
        <v>0.86529999999999996</v>
      </c>
      <c r="K281" s="1">
        <v>300</v>
      </c>
      <c r="L281" s="10">
        <v>47.04</v>
      </c>
      <c r="M281" s="5">
        <f>+K281*L281+O281</f>
        <v>14113</v>
      </c>
      <c r="N281" s="5">
        <f ca="1">IF(G281="USD",M281*J281,+K281*L281+O281)</f>
        <v>12211.9789</v>
      </c>
      <c r="O281" s="1">
        <v>1</v>
      </c>
      <c r="Q281" s="4">
        <v>46080</v>
      </c>
      <c r="R281" s="8">
        <v>0.84570000000000001</v>
      </c>
      <c r="S281" s="1">
        <f>+K281</f>
        <v>300</v>
      </c>
      <c r="T281" s="5">
        <v>62.57</v>
      </c>
      <c r="U281" s="5">
        <f>+S281*T281-W281</f>
        <v>18769.439999999999</v>
      </c>
      <c r="V281" s="5">
        <f ca="1">IF(G281="USD",U281*R281,+S281*T281-W281)</f>
        <v>15873.315407999999</v>
      </c>
      <c r="W281" s="1">
        <v>1.56</v>
      </c>
      <c r="Y281" s="30">
        <f ca="1">IF(A281=0,V281-N281,0)</f>
        <v>3661.3365079999985</v>
      </c>
      <c r="Z281" s="30">
        <f ca="1">+Y281-(Y281*$AA$1)</f>
        <v>2893.0872331483538</v>
      </c>
      <c r="AB281" s="170">
        <f>IF(A281=1,+V281-N281,0)</f>
        <v>0</v>
      </c>
      <c r="AC281" s="168">
        <f ca="1">+AB281-(AB281*$AA$1)</f>
        <v>0</v>
      </c>
      <c r="AD281" s="28">
        <f>+U281/M281-1</f>
        <v>0.32993977184156442</v>
      </c>
      <c r="AE281" s="48">
        <f ca="1">+Z281/$Z$393</f>
        <v>4.1801860729149383E-2</v>
      </c>
      <c r="AF281" s="48">
        <f ca="1">+N281/$N$259</f>
        <v>5.7081507838447013E-3</v>
      </c>
      <c r="AG281" s="204">
        <f ca="1">AVERAGE($AF$5:$AF$257)</f>
        <v>3.9682539682539663E-3</v>
      </c>
      <c r="AH281" s="1" t="str">
        <f ca="1">IF(AF281&lt;AG281,"no","si")</f>
        <v>si</v>
      </c>
      <c r="AI281" s="28">
        <f ca="1">IF(G281="USD",+R281/J281-1,"-")</f>
        <v>-2.265110366346923E-2</v>
      </c>
      <c r="AK281" s="339">
        <f ca="1">+$M$537</f>
        <v>0.85299999999999998</v>
      </c>
      <c r="AL281" s="340">
        <f ca="1">+Y281*AK281</f>
        <v>3123.1200413239985</v>
      </c>
      <c r="AM281" s="13">
        <f ca="1">+Z281</f>
        <v>2893.0872331483538</v>
      </c>
      <c r="AN281" s="24">
        <f ca="1">+AL281-AM281</f>
        <v>230.03280817564473</v>
      </c>
    </row>
    <row r="282" spans="1:40" x14ac:dyDescent="0.2">
      <c r="E282" s="25"/>
      <c r="F282" s="25"/>
      <c r="G282" s="5"/>
      <c r="H282" s="5"/>
      <c r="J282" s="172"/>
      <c r="Y282" s="30"/>
      <c r="Z282" s="30"/>
      <c r="AB282" s="170"/>
      <c r="AF282" s="48"/>
      <c r="AG282" s="204"/>
      <c r="AL282" s="5"/>
      <c r="AM282" s="13"/>
      <c r="AN282" s="24"/>
    </row>
    <row r="283" spans="1:40" x14ac:dyDescent="0.2">
      <c r="E283" s="25"/>
      <c r="F283" s="25"/>
      <c r="G283" s="5"/>
      <c r="H283" s="5"/>
      <c r="J283" s="172"/>
      <c r="Y283" s="30"/>
      <c r="Z283" s="30"/>
      <c r="AB283" s="170"/>
      <c r="AF283" s="48"/>
      <c r="AG283" s="204"/>
      <c r="AL283" s="5"/>
      <c r="AM283" s="13"/>
      <c r="AN283" s="24"/>
    </row>
    <row r="284" spans="1:40" x14ac:dyDescent="0.2">
      <c r="A284" s="15"/>
      <c r="E284" s="27"/>
      <c r="F284" s="27"/>
      <c r="G284" s="5"/>
      <c r="H284" s="5"/>
      <c r="J284" s="18"/>
      <c r="K284" s="14"/>
      <c r="L284" s="19"/>
      <c r="O284" s="14"/>
      <c r="P284" s="14"/>
      <c r="X284" s="26"/>
      <c r="Y284" s="30"/>
      <c r="Z284" s="30"/>
      <c r="AA284" s="25"/>
      <c r="AB284" s="170"/>
      <c r="AF284" s="48"/>
      <c r="AG284" s="204"/>
      <c r="AL284" s="5"/>
      <c r="AM284" s="13"/>
      <c r="AN284" s="24"/>
    </row>
    <row r="285" spans="1:40" x14ac:dyDescent="0.2">
      <c r="A285" s="14"/>
      <c r="B285" s="14"/>
      <c r="C285" s="14"/>
      <c r="E285" s="27"/>
      <c r="F285" s="27"/>
      <c r="G285" s="5"/>
      <c r="H285" s="5"/>
      <c r="I285" s="16"/>
      <c r="J285" s="18"/>
      <c r="K285" s="14"/>
      <c r="L285" s="19"/>
      <c r="O285" s="14"/>
      <c r="P285" s="14"/>
      <c r="T285" s="246"/>
      <c r="W285" s="14"/>
      <c r="Y285" s="30"/>
      <c r="Z285" s="30"/>
      <c r="AB285" s="170"/>
      <c r="AF285" s="48"/>
      <c r="AG285" s="204"/>
      <c r="AL285" s="5"/>
      <c r="AM285" s="13"/>
      <c r="AN285" s="24"/>
    </row>
    <row r="286" spans="1:40" x14ac:dyDescent="0.2">
      <c r="A286" s="15"/>
      <c r="E286" s="25"/>
      <c r="F286" s="25"/>
      <c r="G286" s="5"/>
      <c r="H286" s="5"/>
      <c r="J286" s="172"/>
      <c r="R286" s="172"/>
      <c r="Y286" s="30"/>
      <c r="Z286" s="30"/>
      <c r="AB286" s="170"/>
      <c r="AL286" s="5"/>
      <c r="AM286" s="13"/>
      <c r="AN286" s="24"/>
    </row>
    <row r="287" spans="1:40" x14ac:dyDescent="0.2">
      <c r="A287" s="14"/>
      <c r="B287" s="67" t="s">
        <v>98</v>
      </c>
      <c r="C287" s="55"/>
      <c r="D287" s="55"/>
      <c r="E287" s="56"/>
      <c r="F287" s="56"/>
      <c r="G287" s="55"/>
      <c r="H287" s="55"/>
      <c r="I287" s="57"/>
      <c r="J287" s="68"/>
      <c r="K287" s="55"/>
      <c r="L287" s="69"/>
      <c r="M287" s="58"/>
      <c r="N287" s="58"/>
      <c r="O287" s="55"/>
      <c r="P287" s="55"/>
      <c r="Q287" s="57"/>
      <c r="R287" s="70"/>
      <c r="S287" s="55"/>
      <c r="T287" s="58"/>
      <c r="U287" s="58"/>
      <c r="V287" s="58"/>
      <c r="W287" s="55"/>
      <c r="X287" s="71"/>
      <c r="Y287" s="72">
        <f ca="1">SUM(Y288:Y296)</f>
        <v>14263.371755</v>
      </c>
      <c r="Z287" s="72">
        <f ca="1">SUM(Z288:Z296)</f>
        <v>11270.523382889052</v>
      </c>
      <c r="AB287" s="168">
        <f>IF(A287&gt;0,+V287-N287,0)</f>
        <v>0</v>
      </c>
      <c r="AC287" s="168">
        <f ca="1">+AB287-(AB287*$AA$1)</f>
        <v>0</v>
      </c>
      <c r="AL287" s="5"/>
      <c r="AM287" s="13"/>
      <c r="AN287" s="24"/>
    </row>
    <row r="288" spans="1:40" x14ac:dyDescent="0.2">
      <c r="A288" s="14"/>
      <c r="B288" s="14"/>
      <c r="C288" s="14"/>
      <c r="E288" s="27"/>
      <c r="F288" s="27"/>
      <c r="G288" s="5"/>
      <c r="H288" s="5"/>
      <c r="I288" s="16"/>
      <c r="J288" s="18"/>
      <c r="K288" s="14"/>
      <c r="L288" s="19"/>
      <c r="O288" s="14"/>
      <c r="P288" s="14"/>
      <c r="W288" s="14"/>
      <c r="X288" s="17"/>
      <c r="Y288" s="30"/>
      <c r="Z288" s="30"/>
      <c r="AA288" s="14"/>
      <c r="AB288" s="170"/>
      <c r="AF288" s="48"/>
      <c r="AG288" s="204"/>
      <c r="AL288" s="5"/>
      <c r="AM288" s="13"/>
      <c r="AN288" s="24"/>
    </row>
    <row r="289" spans="1:40" x14ac:dyDescent="0.2">
      <c r="A289" s="15">
        <v>0</v>
      </c>
      <c r="B289" s="1" t="e" vm="209">
        <v>#VALUE!</v>
      </c>
      <c r="D289" s="1" t="str" cm="1">
        <f t="array" aca="1" ref="D289" ca="1">_FV(B289,"Ticker symbol",TRUE)</f>
        <v>ENI</v>
      </c>
      <c r="E289" s="27" cm="1">
        <f t="array" aca="1" ref="E289" ca="1">_FV(B289,"Price")</f>
        <v>23.004999999999999</v>
      </c>
      <c r="F289" s="27" cm="1">
        <f t="array" aca="1" ref="F289" ca="1">_FV(B289,"open")</f>
        <v>23.045000000000002</v>
      </c>
      <c r="G289" s="5" t="str" cm="1">
        <f t="array" aca="1" ref="G289" ca="1">_FV(B289,"Currency")</f>
        <v>EUR</v>
      </c>
      <c r="H289" s="5" t="s">
        <v>26</v>
      </c>
      <c r="I289" s="4">
        <v>45385</v>
      </c>
      <c r="J289" s="18"/>
      <c r="K289" s="1">
        <v>753</v>
      </c>
      <c r="L289" s="10">
        <v>15.03</v>
      </c>
      <c r="M289" s="5">
        <f>+K289*L289+O289</f>
        <v>11343.91</v>
      </c>
      <c r="N289" s="5">
        <f ca="1">IF(G289="USD",M289*J289,+K289*L289+O289)</f>
        <v>11343.91</v>
      </c>
      <c r="O289" s="1">
        <v>26.32</v>
      </c>
      <c r="Q289" s="4">
        <v>46090</v>
      </c>
      <c r="S289" s="1">
        <f>+K289</f>
        <v>753</v>
      </c>
      <c r="T289" s="5">
        <v>20.7</v>
      </c>
      <c r="U289" s="5">
        <f>+S289*T289-W289</f>
        <v>15572.1</v>
      </c>
      <c r="V289" s="5">
        <f ca="1">IF(G289="USD",U289*R289,+S289*T289-W289)</f>
        <v>15572.1</v>
      </c>
      <c r="W289" s="14">
        <v>15</v>
      </c>
      <c r="Y289" s="30">
        <f ca="1">IF(A289=0,V289-N289,0)</f>
        <v>4228.1900000000005</v>
      </c>
      <c r="Z289" s="30">
        <f ca="1">+Y289-(Y289*$AA$1)</f>
        <v>3340.9992448379303</v>
      </c>
      <c r="AB289" s="170">
        <f>IF(A289=1,+V289-N289,0)</f>
        <v>0</v>
      </c>
      <c r="AC289" s="168">
        <f ca="1">+AB289-(AB289*$AA$1)</f>
        <v>0</v>
      </c>
      <c r="AD289" s="28">
        <f>+U289/M289-1</f>
        <v>0.37272774554805177</v>
      </c>
      <c r="AE289" s="48">
        <f ca="1">+Z289/$Z$393</f>
        <v>4.8273686160830276E-2</v>
      </c>
      <c r="AF289" s="48">
        <f ca="1">+N289/$N$259</f>
        <v>5.3023960562496343E-3</v>
      </c>
      <c r="AG289" s="204">
        <f ca="1">AVERAGE($AF$5:$AF$257)</f>
        <v>3.9682539682539663E-3</v>
      </c>
      <c r="AH289" s="1" t="str">
        <f ca="1">IF(AF289&lt;AG289,"no","si")</f>
        <v>si</v>
      </c>
      <c r="AI289" s="28" t="str">
        <f ca="1">IF(G289="USD",+R289/J289-1,"-")</f>
        <v>-</v>
      </c>
    </row>
    <row r="290" spans="1:40" x14ac:dyDescent="0.2">
      <c r="A290" s="14">
        <v>0</v>
      </c>
      <c r="B290" s="14" t="e" vm="210">
        <v>#VALUE!</v>
      </c>
      <c r="C290" s="14"/>
      <c r="D290" s="1" t="str" cm="1">
        <f t="array" aca="1" ref="D290" ca="1">_FV(B290,"Ticker symbol",TRUE)</f>
        <v>NEXT</v>
      </c>
      <c r="E290" s="25" cm="1">
        <f t="array" aca="1" ref="E290" ca="1">_FV(B290,"Price")</f>
        <v>7.24</v>
      </c>
      <c r="F290" s="25" cm="1">
        <f t="array" aca="1" ref="F290" ca="1">_FV(B290,"open")</f>
        <v>7.1</v>
      </c>
      <c r="G290" s="5" t="str" cm="1">
        <f t="array" aca="1" ref="G290" ca="1">_FV(B290,"Currency")</f>
        <v>USD</v>
      </c>
      <c r="H290" s="5" t="s">
        <v>204</v>
      </c>
      <c r="I290" s="16">
        <v>46073</v>
      </c>
      <c r="J290" s="172">
        <v>0.8488</v>
      </c>
      <c r="K290" s="14">
        <v>1475</v>
      </c>
      <c r="L290" s="19">
        <v>5.47</v>
      </c>
      <c r="M290" s="5">
        <f>+K290*L290+O290</f>
        <v>8068.25</v>
      </c>
      <c r="N290" s="5">
        <f ca="1">IF(G290="USD",M290*J290,+K290*L290+O290)</f>
        <v>6848.3306000000002</v>
      </c>
      <c r="O290" s="14">
        <v>0</v>
      </c>
      <c r="P290" s="14"/>
      <c r="Q290" s="4">
        <v>46100</v>
      </c>
      <c r="R290" s="8">
        <v>0.87019999999999997</v>
      </c>
      <c r="S290" s="1">
        <f>+K290</f>
        <v>1475</v>
      </c>
      <c r="T290" s="5">
        <v>7.46</v>
      </c>
      <c r="U290" s="5">
        <f>+S290*T290-W290</f>
        <v>11003.5</v>
      </c>
      <c r="V290" s="5">
        <f ca="1">IF(G290="USD",U290*R290,+S290*T290-W290)</f>
        <v>9575.2456999999995</v>
      </c>
      <c r="W290" s="14">
        <v>0</v>
      </c>
      <c r="Y290" s="30">
        <f ca="1">IF(A290=0,V290-N290,0)</f>
        <v>2726.9150999999993</v>
      </c>
      <c r="Z290" s="30">
        <f ca="1">+Y290-(Y290*$AA$1)</f>
        <v>2154.7331812991247</v>
      </c>
      <c r="AB290" s="170">
        <f>IF(A290=1,+V290-N290,0)</f>
        <v>0</v>
      </c>
      <c r="AC290" s="168">
        <f ca="1">+AB290-(AB290*$AA$1)</f>
        <v>0</v>
      </c>
      <c r="AD290" s="28">
        <f>+U290/M290-1</f>
        <v>0.36380255941499096</v>
      </c>
      <c r="AE290" s="48">
        <f ca="1">+Z290/$Z$393</f>
        <v>3.113347406919487E-2</v>
      </c>
      <c r="AF290" s="48">
        <f ca="1">+N290/$N$259</f>
        <v>3.2010621703921923E-3</v>
      </c>
      <c r="AG290" s="204">
        <f ca="1">AVERAGE($AF$5:$AF$257)</f>
        <v>3.9682539682539663E-3</v>
      </c>
      <c r="AH290" s="1" t="str">
        <f ca="1">IF(AF290&lt;AG290,"no","si")</f>
        <v>no</v>
      </c>
      <c r="AI290" s="28">
        <f ca="1">IF(G290="USD",+R290/J290-1,"-")</f>
        <v>2.5212064090480713E-2</v>
      </c>
    </row>
    <row r="291" spans="1:40" x14ac:dyDescent="0.2">
      <c r="A291" s="14">
        <v>0</v>
      </c>
      <c r="B291" s="14" t="e" vm="211">
        <v>#VALUE!</v>
      </c>
      <c r="C291" s="14"/>
      <c r="D291" s="1" t="str" cm="1">
        <f t="array" aca="1" ref="D291" ca="1">_FV(B291,"Ticker symbol",TRUE)</f>
        <v>VECO</v>
      </c>
      <c r="E291" s="25" cm="1">
        <f t="array" aca="1" ref="E291" ca="1">_FV(B291,"Price")</f>
        <v>49.74</v>
      </c>
      <c r="F291" s="25" cm="1">
        <f t="array" aca="1" ref="F291" ca="1">_FV(B291,"open")</f>
        <v>52.23</v>
      </c>
      <c r="G291" s="5" t="str" cm="1">
        <f t="array" aca="1" ref="G291" ca="1">_FV(B291,"Currency")</f>
        <v>USD</v>
      </c>
      <c r="H291" s="5" t="s">
        <v>128</v>
      </c>
      <c r="I291" s="16">
        <v>45644</v>
      </c>
      <c r="J291" s="172">
        <v>0.95289999999999997</v>
      </c>
      <c r="K291" s="14">
        <v>85</v>
      </c>
      <c r="L291" s="19">
        <v>29.73</v>
      </c>
      <c r="M291" s="5">
        <f>+K291*L291+O291</f>
        <v>2528.0500000000002</v>
      </c>
      <c r="N291" s="5">
        <f ca="1">IF(G291="USD",M291*J291,+K291*L291+O291)</f>
        <v>2408.9788450000001</v>
      </c>
      <c r="O291" s="14">
        <v>1</v>
      </c>
      <c r="P291" s="14"/>
      <c r="Q291" s="4">
        <v>46105</v>
      </c>
      <c r="R291" s="8">
        <v>0.86280000000000001</v>
      </c>
      <c r="S291" s="1">
        <f>+K291</f>
        <v>85</v>
      </c>
      <c r="T291" s="5">
        <v>33.1</v>
      </c>
      <c r="U291" s="5">
        <f>+S291*T291-W291</f>
        <v>2812.5</v>
      </c>
      <c r="V291" s="5">
        <f ca="1">IF(G291="USD",U291*R291,+S291*T291-W291)</f>
        <v>2426.625</v>
      </c>
      <c r="W291" s="14">
        <v>1</v>
      </c>
      <c r="X291" s="17"/>
      <c r="Y291" s="30">
        <f ca="1">IF(A291=0,V291-N291,0)</f>
        <v>17.646154999999908</v>
      </c>
      <c r="Z291" s="30">
        <f ca="1">+Y291-(Y291*$AA$1)</f>
        <v>13.943505502187167</v>
      </c>
      <c r="AA291" s="14"/>
      <c r="AB291" s="170">
        <f>IF(A291=1,+V291-N291,0)</f>
        <v>0</v>
      </c>
      <c r="AC291" s="168">
        <f ca="1">+AB291-(AB291*$AA$1)</f>
        <v>0</v>
      </c>
      <c r="AD291" s="28">
        <f>+U291/M291-1</f>
        <v>0.11251755305472599</v>
      </c>
      <c r="AE291" s="48">
        <f ca="1">+Z291/$Z$393</f>
        <v>2.0146799183938315E-4</v>
      </c>
      <c r="AF291" s="48">
        <f ca="1">+N291/$N$259</f>
        <v>1.1260103374688974E-3</v>
      </c>
      <c r="AG291" s="204">
        <f ca="1">AVERAGE($AF$5:$AF$257)</f>
        <v>3.9682539682539663E-3</v>
      </c>
      <c r="AH291" s="1" t="str">
        <f ca="1">IF(AF291&lt;AG291,"no","si")</f>
        <v>no</v>
      </c>
      <c r="AI291" s="28">
        <f ca="1">IF(G291="USD",+R291/J291-1,"-")</f>
        <v>-9.4553468359743875E-2</v>
      </c>
    </row>
    <row r="292" spans="1:40" x14ac:dyDescent="0.2">
      <c r="A292" s="14">
        <v>0</v>
      </c>
      <c r="B292" s="14" t="e" vm="140">
        <v>#VALUE!</v>
      </c>
      <c r="C292" s="14"/>
      <c r="D292" s="1" t="str" cm="1">
        <f t="array" aca="1" ref="D292" ca="1">_FV(B292,"Ticker symbol",TRUE)</f>
        <v>REP</v>
      </c>
      <c r="E292" s="27" cm="1">
        <f t="array" aca="1" ref="E292" ca="1">_FV(B292,"Price")</f>
        <v>21.22</v>
      </c>
      <c r="F292" s="27" cm="1">
        <f t="array" aca="1" ref="F292" ca="1">_FV(B292,"open")</f>
        <v>21.01</v>
      </c>
      <c r="G292" s="5" t="str" cm="1">
        <f t="array" aca="1" ref="G292" ca="1">_FV(B292,"Currency")</f>
        <v>EUR</v>
      </c>
      <c r="H292" s="5" t="s">
        <v>115</v>
      </c>
      <c r="I292" s="16">
        <v>42705</v>
      </c>
      <c r="J292" s="18"/>
      <c r="K292" s="14">
        <v>474</v>
      </c>
      <c r="L292" s="19">
        <v>12.84</v>
      </c>
      <c r="M292" s="5">
        <f>+K292*L292+O292</f>
        <v>6090.16</v>
      </c>
      <c r="N292" s="5">
        <f ca="1">IF(G292="USD",M292*J292,+K292*L292+O292)</f>
        <v>6090.16</v>
      </c>
      <c r="O292" s="14">
        <v>4</v>
      </c>
      <c r="P292" s="14"/>
      <c r="Q292" s="4">
        <v>46112</v>
      </c>
      <c r="S292" s="1">
        <f>+K292</f>
        <v>474</v>
      </c>
      <c r="T292" s="5">
        <v>24.3</v>
      </c>
      <c r="U292" s="5">
        <f>+S292*T292-W292</f>
        <v>11502.570000000002</v>
      </c>
      <c r="V292" s="5">
        <f ca="1">IF(G292="USD",U292*R292,+S292*T292-W292)</f>
        <v>11502.570000000002</v>
      </c>
      <c r="W292" s="14">
        <v>15.63</v>
      </c>
      <c r="X292" s="17"/>
      <c r="Y292" s="30">
        <f ca="1">IF(A292=0,V292-N292,0)</f>
        <v>5412.4100000000017</v>
      </c>
      <c r="Z292" s="30">
        <f ca="1">+Y292-(Y292*$AA$1)</f>
        <v>4276.7372617487072</v>
      </c>
      <c r="AA292" s="14"/>
      <c r="AB292" s="170">
        <f>IF(A292=1,+V292-N292,0)</f>
        <v>0</v>
      </c>
      <c r="AC292" s="168">
        <f ca="1">+AB292-(AB292*$AA$1)</f>
        <v>0</v>
      </c>
      <c r="AD292" s="28">
        <f>+U292/M292-1</f>
        <v>0.88871392541411098</v>
      </c>
      <c r="AE292" s="48">
        <f ca="1">+Z292/$Z$393</f>
        <v>6.1794049395542637E-2</v>
      </c>
      <c r="AF292" s="48">
        <f ca="1">+N292/$N$259</f>
        <v>2.8466763546192869E-3</v>
      </c>
      <c r="AG292" s="204">
        <f ca="1">AVERAGE($AF$5:$AF$257)</f>
        <v>3.9682539682539663E-3</v>
      </c>
      <c r="AH292" s="1" t="str">
        <f ca="1">IF(AF292&lt;AG292,"no","si")</f>
        <v>no</v>
      </c>
      <c r="AI292" s="28" t="str">
        <f ca="1">IF(G292="USD",+R292/J292-1,"-")</f>
        <v>-</v>
      </c>
    </row>
    <row r="293" spans="1:40" x14ac:dyDescent="0.2">
      <c r="A293" s="14">
        <v>0</v>
      </c>
      <c r="B293" s="14" t="e" vm="212">
        <v>#VALUE!</v>
      </c>
      <c r="C293" s="14"/>
      <c r="D293" s="1" t="str" cm="1">
        <f t="array" aca="1" ref="D293" ca="1">_FV(B293,"Ticker symbol",TRUE)</f>
        <v>APLS</v>
      </c>
      <c r="E293" s="25" cm="1">
        <f t="array" aca="1" ref="E293" ca="1">_FV(B293,"Price")</f>
        <v>40.950000000000003</v>
      </c>
      <c r="F293" s="25" cm="1">
        <f t="array" aca="1" ref="F293" ca="1">_FV(B293,"open")</f>
        <v>40.93</v>
      </c>
      <c r="G293" s="5" t="str" cm="1">
        <f t="array" aca="1" ref="G293" ca="1">_FV(B293,"Currency")</f>
        <v>USD</v>
      </c>
      <c r="H293" s="5" t="s">
        <v>128</v>
      </c>
      <c r="I293" s="16">
        <v>45862</v>
      </c>
      <c r="J293" s="172">
        <v>0.84940000000000004</v>
      </c>
      <c r="K293" s="14">
        <v>105</v>
      </c>
      <c r="L293" s="19">
        <v>19.899999999999999</v>
      </c>
      <c r="M293" s="5">
        <f>+K293*L293+O293</f>
        <v>2091</v>
      </c>
      <c r="N293" s="5">
        <f ca="1">IF(G293="USD",M293*J293,+K293*L293+O293)</f>
        <v>1776.0954000000002</v>
      </c>
      <c r="O293" s="14">
        <v>1.5</v>
      </c>
      <c r="P293" s="14"/>
      <c r="Q293" s="4">
        <v>46112</v>
      </c>
      <c r="R293" s="8">
        <v>0.86380000000000001</v>
      </c>
      <c r="S293" s="1">
        <f>+K293</f>
        <v>105</v>
      </c>
      <c r="T293" s="5">
        <v>40.299999999999997</v>
      </c>
      <c r="U293" s="5">
        <f>+S293*T293-W293</f>
        <v>4230.5</v>
      </c>
      <c r="V293" s="5">
        <f ca="1">IF(G293="USD",U293*R293,+S293*T293-W293)</f>
        <v>3654.3058999999998</v>
      </c>
      <c r="W293" s="14">
        <v>1</v>
      </c>
      <c r="X293" s="17"/>
      <c r="Y293" s="30">
        <f ca="1">IF(A293=0,V293-N293,0)</f>
        <v>1878.2104999999997</v>
      </c>
      <c r="Z293" s="30">
        <f ca="1">+Y293-(Y293*$AA$1)</f>
        <v>1484.1101895011034</v>
      </c>
      <c r="AA293" s="14"/>
      <c r="AB293" s="170">
        <f>IF(A293=1,+V293-N293,0)</f>
        <v>0</v>
      </c>
      <c r="AC293" s="168">
        <f ca="1">+AB293-(AB293*$AA$1)</f>
        <v>0</v>
      </c>
      <c r="AD293" s="28">
        <f>+U293/M293-1</f>
        <v>1.0231946437111432</v>
      </c>
      <c r="AE293" s="48">
        <f ca="1">+Z293/$Z$393</f>
        <v>2.1443725145032767E-2</v>
      </c>
      <c r="AF293" s="48">
        <f ca="1">+N293/$N$259</f>
        <v>8.3018652691030847E-4</v>
      </c>
      <c r="AG293" s="204">
        <f ca="1">AVERAGE($AF$5:$AF$257)</f>
        <v>3.9682539682539663E-3</v>
      </c>
      <c r="AH293" s="1" t="str">
        <f ca="1">IF(AF293&lt;AG293,"no","si")</f>
        <v>no</v>
      </c>
      <c r="AI293" s="28">
        <f ca="1">IF(G293="USD",+R293/J293-1,"-")</f>
        <v>1.6953143395337822E-2</v>
      </c>
    </row>
    <row r="294" spans="1:40" x14ac:dyDescent="0.2">
      <c r="B294" s="14"/>
      <c r="E294" s="25"/>
      <c r="F294" s="25"/>
      <c r="G294" s="5"/>
      <c r="H294" s="5"/>
      <c r="J294" s="172"/>
      <c r="Y294" s="30"/>
      <c r="Z294" s="30"/>
      <c r="AB294" s="170"/>
      <c r="AF294" s="48"/>
      <c r="AG294" s="204"/>
      <c r="AL294" s="5"/>
      <c r="AM294" s="13"/>
      <c r="AN294" s="24"/>
    </row>
    <row r="295" spans="1:40" x14ac:dyDescent="0.2">
      <c r="A295" s="14"/>
      <c r="B295" s="14"/>
      <c r="C295" s="14"/>
      <c r="E295" s="27"/>
      <c r="F295" s="27"/>
      <c r="G295" s="5"/>
      <c r="H295" s="5"/>
      <c r="I295" s="16"/>
      <c r="J295" s="18"/>
      <c r="K295" s="14"/>
      <c r="L295" s="19"/>
      <c r="O295" s="14"/>
      <c r="P295" s="14"/>
      <c r="W295" s="14"/>
      <c r="X295" s="17"/>
      <c r="Y295" s="30"/>
      <c r="Z295" s="30"/>
      <c r="AA295" s="14"/>
      <c r="AB295" s="170"/>
      <c r="AF295" s="48"/>
      <c r="AG295" s="204"/>
      <c r="AL295" s="5"/>
      <c r="AM295" s="13"/>
      <c r="AN295" s="24"/>
    </row>
    <row r="296" spans="1:40" x14ac:dyDescent="0.2">
      <c r="A296" s="14"/>
      <c r="B296" s="14"/>
      <c r="C296" s="14"/>
      <c r="D296" s="14"/>
      <c r="E296" s="27"/>
      <c r="F296" s="27"/>
      <c r="G296" s="5"/>
      <c r="H296" s="5"/>
      <c r="I296" s="16"/>
      <c r="J296" s="18"/>
      <c r="K296" s="14"/>
      <c r="L296" s="19"/>
      <c r="O296" s="14"/>
      <c r="P296" s="14"/>
      <c r="R296" s="18"/>
      <c r="W296" s="14"/>
      <c r="X296" s="17"/>
      <c r="Y296" s="30"/>
      <c r="Z296" s="30"/>
      <c r="AA296" s="14"/>
      <c r="AB296" s="170"/>
      <c r="AL296" s="5"/>
      <c r="AM296" s="13"/>
      <c r="AN296" s="24"/>
    </row>
    <row r="297" spans="1:40" x14ac:dyDescent="0.2">
      <c r="A297" s="14"/>
      <c r="B297" s="67" t="s">
        <v>104</v>
      </c>
      <c r="C297" s="55"/>
      <c r="D297" s="55"/>
      <c r="E297" s="56"/>
      <c r="F297" s="56"/>
      <c r="G297" s="55"/>
      <c r="H297" s="55"/>
      <c r="I297" s="57"/>
      <c r="J297" s="68"/>
      <c r="K297" s="55"/>
      <c r="L297" s="69"/>
      <c r="M297" s="58"/>
      <c r="N297" s="58"/>
      <c r="O297" s="55"/>
      <c r="P297" s="55"/>
      <c r="Q297" s="57"/>
      <c r="R297" s="70"/>
      <c r="S297" s="55"/>
      <c r="T297" s="58"/>
      <c r="U297" s="58"/>
      <c r="V297" s="58"/>
      <c r="W297" s="55"/>
      <c r="X297" s="71"/>
      <c r="Y297" s="72">
        <f ca="1">SUM(Y298:Y307)</f>
        <v>23622.941348</v>
      </c>
      <c r="Z297" s="72">
        <f ca="1">SUM(Z298:Z307)</f>
        <v>18666.197404685863</v>
      </c>
      <c r="AB297" s="168">
        <f>IF(A297&gt;0,+V297-N297,0)</f>
        <v>0</v>
      </c>
      <c r="AC297" s="168">
        <f ca="1">+AB297-(AB297*$AA$1)</f>
        <v>0</v>
      </c>
      <c r="AL297" s="5"/>
      <c r="AM297" s="13"/>
      <c r="AN297" s="24"/>
    </row>
    <row r="298" spans="1:40" x14ac:dyDescent="0.2">
      <c r="E298" s="25"/>
      <c r="F298" s="25"/>
      <c r="G298" s="5"/>
      <c r="H298" s="5"/>
      <c r="J298" s="172"/>
      <c r="Y298" s="30"/>
      <c r="Z298" s="30"/>
      <c r="AB298" s="170"/>
      <c r="AF298" s="48"/>
      <c r="AG298" s="204"/>
      <c r="AI298" s="28"/>
      <c r="AL298" s="5"/>
      <c r="AM298" s="13"/>
      <c r="AN298" s="24"/>
    </row>
    <row r="299" spans="1:40" x14ac:dyDescent="0.2">
      <c r="A299" s="14">
        <v>0</v>
      </c>
      <c r="B299" s="14" t="e" vm="213">
        <v>#VALUE!</v>
      </c>
      <c r="C299" s="14"/>
      <c r="D299" s="1" t="str" cm="1">
        <f t="array" aca="1" ref="D299" ca="1">_FV(B299,"Ticker symbol",TRUE)</f>
        <v>STMPA</v>
      </c>
      <c r="E299" s="27" cm="1">
        <f t="array" aca="1" ref="E299" ca="1">_FV(B299,"Price")</f>
        <v>42.38</v>
      </c>
      <c r="F299" s="27" cm="1">
        <f t="array" aca="1" ref="F299" ca="1">_FV(B299,"open")</f>
        <v>43.854999999999997</v>
      </c>
      <c r="G299" s="5" t="str" cm="1">
        <f t="array" aca="1" ref="G299" ca="1">_FV(B299,"Currency")</f>
        <v>EUR</v>
      </c>
      <c r="H299" s="5" t="s">
        <v>183</v>
      </c>
      <c r="I299" s="16">
        <v>45664</v>
      </c>
      <c r="J299" s="18"/>
      <c r="K299" s="14">
        <v>400</v>
      </c>
      <c r="L299" s="19">
        <v>25.395</v>
      </c>
      <c r="M299" s="5">
        <f t="shared" ref="M299:M304" si="170">+K299*L299+O299</f>
        <v>10173</v>
      </c>
      <c r="N299" s="5">
        <f t="shared" ref="N299:N304" ca="1" si="171">IF(G299="USD",M299*J299,+K299*L299+O299)</f>
        <v>10173</v>
      </c>
      <c r="O299" s="14">
        <v>15</v>
      </c>
      <c r="P299" s="14"/>
      <c r="Q299" s="4">
        <v>46119</v>
      </c>
      <c r="S299" s="1">
        <f t="shared" ref="S299:S304" si="172">+K299</f>
        <v>400</v>
      </c>
      <c r="T299" s="5">
        <v>31.04</v>
      </c>
      <c r="U299" s="5">
        <f t="shared" ref="U299:U304" si="173">+S299*T299-W299</f>
        <v>12401</v>
      </c>
      <c r="V299" s="5">
        <f t="shared" ref="V299:V304" ca="1" si="174">IF(G299="USD",U299*R299,+S299*T299-W299)</f>
        <v>12401</v>
      </c>
      <c r="W299" s="14">
        <v>15</v>
      </c>
      <c r="X299" s="17"/>
      <c r="Y299" s="30">
        <f t="shared" ref="Y299:Y304" ca="1" si="175">IF(A299=0,V299-N299,0)</f>
        <v>2228</v>
      </c>
      <c r="Z299" s="30">
        <f t="shared" ref="Z299:Z304" ca="1" si="176">+Y299-(Y299*$AA$1)</f>
        <v>1760.5042151603661</v>
      </c>
      <c r="AB299" s="170">
        <f t="shared" ref="AB299:AB304" si="177">IF(A299=1,+V299-N299,0)</f>
        <v>0</v>
      </c>
      <c r="AC299" s="168">
        <f t="shared" ref="AC299:AC304" ca="1" si="178">+AB299-(AB299*$AA$1)</f>
        <v>0</v>
      </c>
      <c r="AD299" s="28">
        <f t="shared" ref="AD299:AD304" si="179">+U299/M299-1</f>
        <v>0.21901110783446387</v>
      </c>
      <c r="AE299" s="48">
        <f t="shared" ref="AE299:AE304" ca="1" si="180">+Z299/$Z$393</f>
        <v>2.5437308343837398E-2</v>
      </c>
      <c r="AF299" s="48">
        <f t="shared" ref="AF299:AF304" ca="1" si="181">+N299/$N$259</f>
        <v>4.7550866570897979E-3</v>
      </c>
      <c r="AG299" s="204">
        <f ca="1">AVERAGE($AF$5:$AF$257)</f>
        <v>3.9682539682539663E-3</v>
      </c>
      <c r="AH299" s="1" t="str">
        <f t="shared" ref="AH299:AH304" ca="1" si="182">IF(AF299&lt;AG299,"no","si")</f>
        <v>si</v>
      </c>
      <c r="AI299" s="28" t="str">
        <f t="shared" ref="AI299:AI304" ca="1" si="183">IF(G299="USD",+R299/J299-1,"-")</f>
        <v>-</v>
      </c>
    </row>
    <row r="300" spans="1:40" x14ac:dyDescent="0.2">
      <c r="A300" s="1">
        <v>0</v>
      </c>
      <c r="B300" s="1" t="e" vm="214">
        <v>#VALUE!</v>
      </c>
      <c r="D300" s="1" t="str" cm="1">
        <f t="array" aca="1" ref="D300" ca="1">_FV(B300,"Ticker symbol",TRUE)</f>
        <v>LUNR</v>
      </c>
      <c r="E300" s="25" cm="1">
        <f t="array" aca="1" ref="E300" ca="1">_FV(B300,"Price")</f>
        <v>26.2</v>
      </c>
      <c r="F300" s="25" cm="1">
        <f t="array" aca="1" ref="F300" ca="1">_FV(B300,"open")</f>
        <v>25.74</v>
      </c>
      <c r="G300" s="5" t="str" cm="1">
        <f t="array" aca="1" ref="G300" ca="1">_FV(B300,"Currency")</f>
        <v>USD</v>
      </c>
      <c r="H300" s="5" t="s">
        <v>183</v>
      </c>
      <c r="I300" s="4">
        <v>45608</v>
      </c>
      <c r="J300" s="172">
        <v>0.86009999999999998</v>
      </c>
      <c r="K300" s="1">
        <v>600</v>
      </c>
      <c r="L300" s="10">
        <v>11.71</v>
      </c>
      <c r="M300" s="5">
        <f t="shared" si="170"/>
        <v>7041.0000000000009</v>
      </c>
      <c r="N300" s="5">
        <f t="shared" ca="1" si="171"/>
        <v>6055.9641000000011</v>
      </c>
      <c r="O300" s="1">
        <v>15</v>
      </c>
      <c r="Q300" s="4">
        <v>46120</v>
      </c>
      <c r="R300" s="8">
        <v>0.85599999999999998</v>
      </c>
      <c r="S300" s="1">
        <f t="shared" si="172"/>
        <v>600</v>
      </c>
      <c r="T300" s="5">
        <v>24.1</v>
      </c>
      <c r="U300" s="5">
        <f t="shared" si="173"/>
        <v>14445</v>
      </c>
      <c r="V300" s="5">
        <f t="shared" ca="1" si="174"/>
        <v>12364.92</v>
      </c>
      <c r="W300" s="1">
        <v>15</v>
      </c>
      <c r="Y300" s="30">
        <f t="shared" ca="1" si="175"/>
        <v>6308.955899999999</v>
      </c>
      <c r="Z300" s="30">
        <f t="shared" ca="1" si="176"/>
        <v>4985.1631307050538</v>
      </c>
      <c r="AB300" s="170">
        <f t="shared" si="177"/>
        <v>0</v>
      </c>
      <c r="AC300" s="168">
        <f t="shared" ca="1" si="178"/>
        <v>0</v>
      </c>
      <c r="AD300" s="28">
        <f t="shared" si="179"/>
        <v>1.0515551768214739</v>
      </c>
      <c r="AE300" s="48">
        <f t="shared" ca="1" si="180"/>
        <v>7.203000743086721E-2</v>
      </c>
      <c r="AF300" s="48">
        <f t="shared" ca="1" si="181"/>
        <v>2.8306924297380157E-3</v>
      </c>
      <c r="AG300" s="204">
        <f ca="1">AVERAGE($AF$5:$AF$257)</f>
        <v>3.9682539682539663E-3</v>
      </c>
      <c r="AH300" s="1" t="str">
        <f t="shared" ca="1" si="182"/>
        <v>no</v>
      </c>
      <c r="AI300" s="28">
        <f t="shared" ca="1" si="183"/>
        <v>-4.7668875712126857E-3</v>
      </c>
    </row>
    <row r="301" spans="1:40" ht="15" customHeight="1" x14ac:dyDescent="0.2">
      <c r="A301" s="15">
        <v>0</v>
      </c>
      <c r="B301" s="1" t="e" vm="209">
        <v>#VALUE!</v>
      </c>
      <c r="D301" s="1" t="str" cm="1">
        <f t="array" aca="1" ref="D301" ca="1">_FV(B301,"Ticker symbol",TRUE)</f>
        <v>ENI</v>
      </c>
      <c r="E301" s="27" cm="1">
        <f t="array" aca="1" ref="E301" ca="1">_FV(B301,"Price")</f>
        <v>23.004999999999999</v>
      </c>
      <c r="F301" s="27" cm="1">
        <f t="array" aca="1" ref="F301" ca="1">_FV(B301,"open")</f>
        <v>23.045000000000002</v>
      </c>
      <c r="G301" s="5" t="str" cm="1">
        <f t="array" aca="1" ref="G301" ca="1">_FV(B301,"Currency")</f>
        <v>EUR</v>
      </c>
      <c r="H301" s="5" t="s">
        <v>115</v>
      </c>
      <c r="I301" s="4">
        <v>45385</v>
      </c>
      <c r="J301" s="18"/>
      <c r="K301" s="1">
        <v>753</v>
      </c>
      <c r="L301" s="10">
        <v>15.03</v>
      </c>
      <c r="M301" s="5">
        <f t="shared" si="170"/>
        <v>11341.59</v>
      </c>
      <c r="N301" s="5">
        <f t="shared" ca="1" si="171"/>
        <v>11341.59</v>
      </c>
      <c r="O301" s="1">
        <v>24</v>
      </c>
      <c r="Q301" s="4">
        <v>46126</v>
      </c>
      <c r="S301" s="1">
        <f t="shared" si="172"/>
        <v>753</v>
      </c>
      <c r="T301" s="5">
        <v>23.4</v>
      </c>
      <c r="U301" s="5">
        <f t="shared" si="173"/>
        <v>17600.09</v>
      </c>
      <c r="V301" s="5">
        <f t="shared" ca="1" si="174"/>
        <v>17600.09</v>
      </c>
      <c r="W301" s="14">
        <v>20.11</v>
      </c>
      <c r="Y301" s="30">
        <f t="shared" ca="1" si="175"/>
        <v>6258.5</v>
      </c>
      <c r="Z301" s="30">
        <f t="shared" ca="1" si="176"/>
        <v>4945.294268662994</v>
      </c>
      <c r="AB301" s="170">
        <f t="shared" si="177"/>
        <v>0</v>
      </c>
      <c r="AC301" s="168">
        <f t="shared" ca="1" si="178"/>
        <v>0</v>
      </c>
      <c r="AD301" s="28">
        <f t="shared" si="179"/>
        <v>0.55181857217550623</v>
      </c>
      <c r="AE301" s="48">
        <f t="shared" ca="1" si="180"/>
        <v>7.1453947158844858E-2</v>
      </c>
      <c r="AF301" s="48">
        <f t="shared" ca="1" si="181"/>
        <v>5.3013116366050408E-3</v>
      </c>
      <c r="AG301" s="204">
        <f ca="1">AVERAGE($AF$5:$AF$257)</f>
        <v>3.9682539682539663E-3</v>
      </c>
      <c r="AH301" s="1" t="str">
        <f t="shared" ca="1" si="182"/>
        <v>si</v>
      </c>
      <c r="AI301" s="28" t="str">
        <f t="shared" ca="1" si="183"/>
        <v>-</v>
      </c>
    </row>
    <row r="302" spans="1:40" x14ac:dyDescent="0.2">
      <c r="A302" s="15">
        <v>0</v>
      </c>
      <c r="B302" s="1" t="e" vm="215">
        <v>#VALUE!</v>
      </c>
      <c r="D302" s="1" t="str" cm="1">
        <f t="array" aca="1" ref="D302" ca="1">_FV(B302,"Ticker symbol",TRUE)</f>
        <v>CL</v>
      </c>
      <c r="E302" s="25" cm="1">
        <f t="array" aca="1" ref="E302" ca="1">_FV(B302,"Price")</f>
        <v>84.17</v>
      </c>
      <c r="F302" s="25" cm="1">
        <f t="array" aca="1" ref="F302" ca="1">_FV(B302,"open")</f>
        <v>84.26</v>
      </c>
      <c r="G302" s="5" t="str" cm="1">
        <f t="array" aca="1" ref="G302" ca="1">_FV(B302,"Currency")</f>
        <v>USD</v>
      </c>
      <c r="H302" s="5" t="s">
        <v>204</v>
      </c>
      <c r="I302" s="4">
        <v>46031</v>
      </c>
      <c r="J302" s="172">
        <v>0.85919999999999996</v>
      </c>
      <c r="K302" s="1">
        <v>150</v>
      </c>
      <c r="L302" s="10">
        <v>80.16</v>
      </c>
      <c r="M302" s="5">
        <f t="shared" si="170"/>
        <v>12024</v>
      </c>
      <c r="N302" s="5">
        <f t="shared" ca="1" si="171"/>
        <v>10331.0208</v>
      </c>
      <c r="O302" s="1">
        <v>0</v>
      </c>
      <c r="Q302" s="4">
        <v>46126</v>
      </c>
      <c r="R302" s="8">
        <v>0.84789999999999999</v>
      </c>
      <c r="S302" s="1">
        <f t="shared" si="172"/>
        <v>150</v>
      </c>
      <c r="T302" s="5">
        <v>84.31</v>
      </c>
      <c r="U302" s="5">
        <f t="shared" si="173"/>
        <v>12646.21</v>
      </c>
      <c r="V302" s="5">
        <f t="shared" ca="1" si="174"/>
        <v>10722.721458999999</v>
      </c>
      <c r="W302" s="1">
        <v>0.28999999999999998</v>
      </c>
      <c r="Y302" s="30">
        <f t="shared" ca="1" si="175"/>
        <v>391.70065899999827</v>
      </c>
      <c r="Z302" s="30">
        <f t="shared" ca="1" si="176"/>
        <v>309.51106878392733</v>
      </c>
      <c r="AB302" s="170">
        <f t="shared" si="177"/>
        <v>0</v>
      </c>
      <c r="AC302" s="168">
        <f t="shared" ca="1" si="178"/>
        <v>0</v>
      </c>
      <c r="AD302" s="28">
        <f t="shared" si="179"/>
        <v>5.1747338656021213E-2</v>
      </c>
      <c r="AE302" s="48">
        <f t="shared" ca="1" si="180"/>
        <v>4.4720872717537085E-3</v>
      </c>
      <c r="AF302" s="48">
        <f t="shared" ca="1" si="181"/>
        <v>4.8289490966477115E-3</v>
      </c>
      <c r="AG302" s="204">
        <f ca="1">AVERAGE($AF$5:$AF$257)</f>
        <v>3.9682539682539663E-3</v>
      </c>
      <c r="AH302" s="1" t="str">
        <f t="shared" ca="1" si="182"/>
        <v>si</v>
      </c>
      <c r="AI302" s="28">
        <f t="shared" ca="1" si="183"/>
        <v>-1.3151769087523246E-2</v>
      </c>
    </row>
    <row r="303" spans="1:40" x14ac:dyDescent="0.2">
      <c r="A303" s="14">
        <v>0</v>
      </c>
      <c r="B303" s="14" t="e" vm="184">
        <v>#VALUE!</v>
      </c>
      <c r="C303" s="14"/>
      <c r="D303" s="1" t="str" cm="1">
        <f t="array" aca="1" ref="D303" ca="1">_FV(B303,"Ticker symbol",TRUE)</f>
        <v>VRT</v>
      </c>
      <c r="E303" s="25" cm="1">
        <f t="array" aca="1" ref="E303" ca="1">_FV(B303,"Price")</f>
        <v>322.43</v>
      </c>
      <c r="F303" s="25" cm="1">
        <f t="array" aca="1" ref="F303" ca="1">_FV(B303,"open")</f>
        <v>325.99</v>
      </c>
      <c r="G303" s="5" t="str" cm="1">
        <f t="array" aca="1" ref="G303" ca="1">_FV(B303,"Currency")</f>
        <v>USD</v>
      </c>
      <c r="H303" s="5" t="s">
        <v>183</v>
      </c>
      <c r="I303" s="16">
        <v>45667</v>
      </c>
      <c r="J303" s="172">
        <v>0.9738</v>
      </c>
      <c r="K303" s="14">
        <v>32</v>
      </c>
      <c r="L303" s="19">
        <v>124.76</v>
      </c>
      <c r="M303" s="5">
        <f t="shared" si="170"/>
        <v>3999.82</v>
      </c>
      <c r="N303" s="5">
        <f t="shared" ca="1" si="171"/>
        <v>3895.0247160000004</v>
      </c>
      <c r="O303" s="14">
        <v>7.5</v>
      </c>
      <c r="P303" s="14"/>
      <c r="Q303" s="4">
        <v>46126</v>
      </c>
      <c r="R303" s="8">
        <v>0.84519999999999995</v>
      </c>
      <c r="S303" s="1">
        <f t="shared" si="172"/>
        <v>32</v>
      </c>
      <c r="T303" s="5">
        <v>310.8</v>
      </c>
      <c r="U303" s="5">
        <f t="shared" si="173"/>
        <v>9930.6</v>
      </c>
      <c r="V303" s="5">
        <f t="shared" ca="1" si="174"/>
        <v>8393.3431199999995</v>
      </c>
      <c r="W303" s="14">
        <v>15</v>
      </c>
      <c r="X303" s="17"/>
      <c r="Y303" s="30">
        <f t="shared" ca="1" si="175"/>
        <v>4498.3184039999996</v>
      </c>
      <c r="Z303" s="297">
        <f t="shared" ca="1" si="176"/>
        <v>3554.4472672241695</v>
      </c>
      <c r="AA303" s="14"/>
      <c r="AB303" s="170">
        <f t="shared" si="177"/>
        <v>0</v>
      </c>
      <c r="AC303" s="168">
        <f t="shared" ca="1" si="178"/>
        <v>0</v>
      </c>
      <c r="AD303" s="28">
        <f t="shared" si="179"/>
        <v>1.4827617242775926</v>
      </c>
      <c r="AE303" s="48">
        <f t="shared" ca="1" si="180"/>
        <v>5.135777031925786E-2</v>
      </c>
      <c r="AF303" s="48">
        <f t="shared" ca="1" si="181"/>
        <v>1.8206212578478897E-3</v>
      </c>
      <c r="AG303" s="204">
        <f ca="1">AVERAGE($AF$5:$AF$257)</f>
        <v>3.9682539682539663E-3</v>
      </c>
      <c r="AH303" s="1" t="str">
        <f t="shared" ca="1" si="182"/>
        <v>no</v>
      </c>
      <c r="AI303" s="28">
        <f t="shared" ca="1" si="183"/>
        <v>-0.13205997124666258</v>
      </c>
    </row>
    <row r="304" spans="1:40" ht="15" customHeight="1" x14ac:dyDescent="0.2">
      <c r="A304" s="1">
        <v>0</v>
      </c>
      <c r="B304" s="1" t="e" vm="216">
        <v>#VALUE!</v>
      </c>
      <c r="D304" s="1" t="str" cm="1">
        <f t="array" aca="1" ref="D304" ca="1">_FV(B304,"Ticker symbol",TRUE)</f>
        <v>MYSE</v>
      </c>
      <c r="E304" s="25" cm="1">
        <f t="array" aca="1" ref="E304" ca="1">_FV(B304,"Price")</f>
        <v>3.2</v>
      </c>
      <c r="F304" s="25" cm="1">
        <f t="array" aca="1" ref="F304" ca="1">_FV(B304,"open")</f>
        <v>3.19</v>
      </c>
      <c r="G304" s="5" t="str" cm="1">
        <f t="array" aca="1" ref="G304" ca="1">_FV(B304,"Currency")</f>
        <v>USD</v>
      </c>
      <c r="H304" s="5" t="s">
        <v>128</v>
      </c>
      <c r="I304" s="4">
        <v>45698</v>
      </c>
      <c r="J304" s="172">
        <v>0.96989999999999998</v>
      </c>
      <c r="K304" s="1">
        <v>700</v>
      </c>
      <c r="L304" s="10">
        <v>3.29</v>
      </c>
      <c r="M304" s="5">
        <f t="shared" si="170"/>
        <v>2306.5300000000002</v>
      </c>
      <c r="N304" s="5">
        <f t="shared" ca="1" si="171"/>
        <v>2237.103447</v>
      </c>
      <c r="O304" s="1">
        <v>3.53</v>
      </c>
      <c r="Q304" s="4">
        <v>46128</v>
      </c>
      <c r="R304" s="8">
        <v>0.84730000000000005</v>
      </c>
      <c r="S304" s="1">
        <f t="shared" si="172"/>
        <v>700</v>
      </c>
      <c r="T304" s="5">
        <v>5.43</v>
      </c>
      <c r="U304" s="5">
        <f t="shared" si="173"/>
        <v>3797.29</v>
      </c>
      <c r="V304" s="5">
        <f t="shared" ca="1" si="174"/>
        <v>3217.4438170000003</v>
      </c>
      <c r="W304" s="1">
        <v>3.71</v>
      </c>
      <c r="Y304" s="30">
        <f t="shared" ca="1" si="175"/>
        <v>980.34037000000035</v>
      </c>
      <c r="Z304" s="30">
        <f t="shared" ca="1" si="176"/>
        <v>774.63795048333634</v>
      </c>
      <c r="AB304" s="170">
        <f t="shared" si="177"/>
        <v>0</v>
      </c>
      <c r="AC304" s="168">
        <f t="shared" ca="1" si="178"/>
        <v>0</v>
      </c>
      <c r="AD304" s="28">
        <f t="shared" si="179"/>
        <v>0.64632153061091757</v>
      </c>
      <c r="AE304" s="48">
        <f t="shared" ca="1" si="180"/>
        <v>1.1192648237702715E-2</v>
      </c>
      <c r="AF304" s="48">
        <f t="shared" ca="1" si="181"/>
        <v>1.0456719503941113E-3</v>
      </c>
      <c r="AG304" s="204">
        <f ca="1">AVERAGE($AF$5:$AF$257)</f>
        <v>3.9682539682539663E-3</v>
      </c>
      <c r="AH304" s="1" t="str">
        <f t="shared" ca="1" si="182"/>
        <v>no</v>
      </c>
      <c r="AI304" s="28">
        <f t="shared" ca="1" si="183"/>
        <v>-0.12640478399835031</v>
      </c>
    </row>
    <row r="305" spans="1:40" x14ac:dyDescent="0.2">
      <c r="A305" s="14">
        <v>0</v>
      </c>
      <c r="B305" s="14" t="e" vm="217">
        <v>#VALUE!</v>
      </c>
      <c r="C305" s="14"/>
      <c r="D305" s="1" t="str" cm="1">
        <f t="array" aca="1" ref="D305" ca="1">_FV(B305,"Ticker symbol",TRUE)</f>
        <v>PLUG</v>
      </c>
      <c r="E305" s="25" cm="1">
        <f t="array" aca="1" ref="E305" ca="1">_FV(B305,"Price")</f>
        <v>3.08</v>
      </c>
      <c r="F305" s="25" cm="1">
        <f t="array" aca="1" ref="F305" ca="1">_FV(B305,"open")</f>
        <v>3.15</v>
      </c>
      <c r="G305" s="5" t="str" cm="1">
        <f t="array" aca="1" ref="G305" ca="1">_FV(B305,"Currency")</f>
        <v>USD</v>
      </c>
      <c r="H305" s="5" t="s">
        <v>183</v>
      </c>
      <c r="I305" s="16">
        <v>46118</v>
      </c>
      <c r="J305" s="172">
        <v>0.86519999999999997</v>
      </c>
      <c r="K305" s="14">
        <v>3346</v>
      </c>
      <c r="L305" s="19">
        <v>2.48</v>
      </c>
      <c r="M305" s="5">
        <f>+K305*L305+O305</f>
        <v>8313.08</v>
      </c>
      <c r="N305" s="5">
        <f ca="1">IF(G305="USD",M305*J305,+K305*L305+O305)</f>
        <v>7192.4768159999994</v>
      </c>
      <c r="O305" s="14">
        <v>15</v>
      </c>
      <c r="P305" s="14"/>
      <c r="Q305" s="4">
        <v>46133</v>
      </c>
      <c r="R305" s="8">
        <v>0.84770000000000001</v>
      </c>
      <c r="S305" s="1">
        <f>+K305</f>
        <v>3346</v>
      </c>
      <c r="T305" s="5">
        <v>3.23</v>
      </c>
      <c r="U305" s="5">
        <f>+S305*T305-W305</f>
        <v>10792.58</v>
      </c>
      <c r="V305" s="5">
        <f ca="1">IF(G305="USD",U305*R305,+S305*T305-W305)</f>
        <v>9148.8700659999995</v>
      </c>
      <c r="W305" s="14">
        <v>15</v>
      </c>
      <c r="Y305" s="30">
        <f ca="1">IF(A305=0,V305-N305,0)</f>
        <v>1956.3932500000001</v>
      </c>
      <c r="Z305" s="30">
        <f ca="1">+Y305-(Y305*$AA$1)</f>
        <v>1545.8880444956408</v>
      </c>
      <c r="AB305" s="170">
        <f>IF(A305=1,+V305-N305,0)</f>
        <v>0</v>
      </c>
      <c r="AC305" s="168">
        <f ca="1">+AB305-(AB305*$AA$1)</f>
        <v>0</v>
      </c>
      <c r="AD305" s="28">
        <f>+U305/M305-1</f>
        <v>0.29826490302030062</v>
      </c>
      <c r="AE305" s="48">
        <f ca="1">+Z305/$Z$393</f>
        <v>2.2336345754960574E-2</v>
      </c>
      <c r="AF305" s="48">
        <f ca="1">+N305/$N$259</f>
        <v>3.3619237726520506E-3</v>
      </c>
      <c r="AG305" s="204">
        <f ca="1">AVERAGE($AF$5:$AF$257)</f>
        <v>3.9682539682539663E-3</v>
      </c>
      <c r="AH305" s="1" t="str">
        <f ca="1">IF(AF305&lt;AG305,"no","si")</f>
        <v>no</v>
      </c>
      <c r="AI305" s="28">
        <f ca="1">IF(G305="USD",+R305/J305-1,"-")</f>
        <v>-2.0226537216828433E-2</v>
      </c>
    </row>
    <row r="306" spans="1:40" x14ac:dyDescent="0.2">
      <c r="A306" s="15">
        <v>0</v>
      </c>
      <c r="B306" s="1" t="e" vm="218">
        <v>#VALUE!</v>
      </c>
      <c r="D306" s="1" t="str" cm="1">
        <f t="array" aca="1" ref="D306" ca="1">_FV(B306,"Ticker symbol",TRUE)</f>
        <v>FLR</v>
      </c>
      <c r="E306" s="25" cm="1">
        <f t="array" aca="1" ref="E306" ca="1">_FV(B306,"Price")</f>
        <v>51.69</v>
      </c>
      <c r="F306" s="25" cm="1">
        <f t="array" aca="1" ref="F306" ca="1">_FV(B306,"open")</f>
        <v>48.46</v>
      </c>
      <c r="G306" s="5" t="str" cm="1">
        <f t="array" aca="1" ref="G306" ca="1">_FV(B306,"Currency")</f>
        <v>USD</v>
      </c>
      <c r="H306" s="5" t="s">
        <v>204</v>
      </c>
      <c r="I306" s="4">
        <v>46029</v>
      </c>
      <c r="J306" s="172">
        <v>0.85529999999999995</v>
      </c>
      <c r="K306" s="1">
        <v>215</v>
      </c>
      <c r="L306" s="10">
        <v>44.61</v>
      </c>
      <c r="M306" s="5">
        <f>+K306*L306+O306</f>
        <v>9591.15</v>
      </c>
      <c r="N306" s="5">
        <f ca="1">IF(G306="USD",M306*J306,+K306*L306+O306)</f>
        <v>8203.310594999999</v>
      </c>
      <c r="O306" s="1">
        <v>0</v>
      </c>
      <c r="Q306" s="4">
        <v>46139</v>
      </c>
      <c r="R306" s="8">
        <v>0.85209999999999997</v>
      </c>
      <c r="S306" s="1">
        <f>+K306</f>
        <v>215</v>
      </c>
      <c r="T306" s="5">
        <v>50.24</v>
      </c>
      <c r="U306" s="5">
        <f>+S306*T306-W306</f>
        <v>10801.6</v>
      </c>
      <c r="V306" s="5">
        <f ca="1">IF(G306="USD",U306*R306,+S306*T306-W306)</f>
        <v>9204.0433599999997</v>
      </c>
      <c r="W306" s="1">
        <v>0</v>
      </c>
      <c r="Y306" s="30">
        <f ca="1">IF(A306=0,V306-N306,0)</f>
        <v>1000.7327650000007</v>
      </c>
      <c r="Z306" s="30">
        <f ca="1">+Y306-(Y306*$AA$1)</f>
        <v>790.75145917037219</v>
      </c>
      <c r="AB306" s="170">
        <f>IF(A306=1,+V306-N306,0)</f>
        <v>0</v>
      </c>
      <c r="AC306" s="168">
        <f ca="1">+AB306-(AB306*$AA$1)</f>
        <v>0</v>
      </c>
      <c r="AD306" s="28">
        <f>+U306/M306-1</f>
        <v>0.12620488679668251</v>
      </c>
      <c r="AE306" s="48">
        <f ca="1">+Z306/$Z$393</f>
        <v>1.1425470338009868E-2</v>
      </c>
      <c r="AF306" s="48">
        <f ca="1">+N306/$N$259</f>
        <v>3.8344099827236672E-3</v>
      </c>
      <c r="AG306" s="204">
        <f ca="1">AVERAGE($AF$5:$AF$257)</f>
        <v>3.9682539682539663E-3</v>
      </c>
      <c r="AH306" s="1" t="str">
        <f ca="1">IF(AF306&lt;AG306,"no","si")</f>
        <v>no</v>
      </c>
      <c r="AI306" s="28">
        <f ca="1">IF(G306="USD",+R306/J306-1,"-")</f>
        <v>-3.7413772945165125E-3</v>
      </c>
    </row>
    <row r="307" spans="1:40" x14ac:dyDescent="0.2">
      <c r="A307" s="15"/>
      <c r="E307" s="25"/>
      <c r="F307" s="25"/>
      <c r="G307" s="5"/>
      <c r="H307" s="5"/>
      <c r="J307" s="172"/>
      <c r="R307" s="172"/>
      <c r="X307" s="17"/>
      <c r="Y307" s="30"/>
      <c r="Z307" s="30"/>
      <c r="AA307" s="14"/>
      <c r="AB307" s="170"/>
      <c r="AL307" s="5"/>
      <c r="AM307" s="13"/>
      <c r="AN307" s="24"/>
    </row>
    <row r="308" spans="1:40" x14ac:dyDescent="0.2">
      <c r="A308" s="14"/>
      <c r="B308" s="106" t="s">
        <v>106</v>
      </c>
      <c r="C308" s="56" t="s">
        <v>104</v>
      </c>
      <c r="D308" s="56"/>
      <c r="E308" s="56"/>
      <c r="F308" s="56"/>
      <c r="G308" s="55"/>
      <c r="H308" s="55"/>
      <c r="I308" s="57"/>
      <c r="J308" s="68"/>
      <c r="K308" s="55"/>
      <c r="L308" s="69"/>
      <c r="M308" s="58"/>
      <c r="N308" s="58"/>
      <c r="O308" s="55"/>
      <c r="P308" s="55"/>
      <c r="Q308" s="57"/>
      <c r="R308" s="70"/>
      <c r="S308" s="55"/>
      <c r="T308" s="58"/>
      <c r="U308" s="58"/>
      <c r="V308" s="58"/>
      <c r="W308" s="55"/>
      <c r="X308" s="71"/>
      <c r="Y308" s="72">
        <f>SUM(Y309:Y323)</f>
        <v>0</v>
      </c>
      <c r="Z308" s="72">
        <f>SUM(Z309:Z323)</f>
        <v>0</v>
      </c>
      <c r="AB308" s="168">
        <f>IF(A308&gt;0,+V308-N308,0)</f>
        <v>0</v>
      </c>
      <c r="AC308" s="168">
        <f ca="1">+AB308-(AB308*$AA$1)</f>
        <v>0</v>
      </c>
      <c r="AL308" s="5"/>
      <c r="AM308" s="13"/>
      <c r="AN308" s="24"/>
    </row>
    <row r="309" spans="1:40" x14ac:dyDescent="0.2">
      <c r="A309" s="14"/>
      <c r="B309" s="14"/>
      <c r="C309" s="14"/>
      <c r="E309" s="27"/>
      <c r="F309" s="27"/>
      <c r="G309" s="5"/>
      <c r="H309" s="5"/>
      <c r="I309" s="16"/>
      <c r="J309" s="18"/>
      <c r="K309" s="14"/>
      <c r="L309" s="19"/>
      <c r="O309" s="14"/>
      <c r="P309" s="14"/>
      <c r="W309" s="14"/>
      <c r="Y309" s="30"/>
      <c r="Z309" s="30"/>
      <c r="AB309" s="170"/>
      <c r="AF309" s="48"/>
      <c r="AG309" s="204"/>
      <c r="AI309" s="28"/>
      <c r="AL309" s="5"/>
      <c r="AM309" s="13"/>
      <c r="AN309" s="24"/>
    </row>
    <row r="310" spans="1:40" x14ac:dyDescent="0.2">
      <c r="A310" s="15"/>
      <c r="E310" s="27"/>
      <c r="F310" s="27"/>
      <c r="G310" s="5"/>
      <c r="H310" s="5"/>
      <c r="J310" s="18"/>
      <c r="W310" s="14"/>
      <c r="Y310" s="30"/>
      <c r="Z310" s="30"/>
      <c r="AB310" s="170"/>
      <c r="AF310" s="48"/>
      <c r="AG310" s="204"/>
      <c r="AI310" s="28"/>
      <c r="AL310" s="5"/>
      <c r="AM310" s="13"/>
      <c r="AN310" s="24"/>
    </row>
    <row r="311" spans="1:40" x14ac:dyDescent="0.2">
      <c r="A311" s="14"/>
      <c r="B311" s="14"/>
      <c r="C311" s="14"/>
      <c r="E311" s="27"/>
      <c r="F311" s="27"/>
      <c r="G311" s="5"/>
      <c r="H311" s="5"/>
      <c r="I311" s="16"/>
      <c r="J311" s="18"/>
      <c r="K311" s="14"/>
      <c r="L311" s="19"/>
      <c r="O311" s="14"/>
      <c r="P311" s="14"/>
      <c r="W311" s="14"/>
      <c r="X311" s="17"/>
      <c r="Y311" s="30"/>
      <c r="Z311" s="30"/>
      <c r="AA311" s="14"/>
      <c r="AB311" s="170"/>
      <c r="AF311" s="48"/>
      <c r="AG311" s="204"/>
      <c r="AI311" s="28"/>
      <c r="AL311" s="5"/>
      <c r="AM311" s="13"/>
      <c r="AN311" s="24"/>
    </row>
    <row r="312" spans="1:40" x14ac:dyDescent="0.2">
      <c r="A312" s="15"/>
      <c r="E312" s="25"/>
      <c r="F312" s="25"/>
      <c r="G312" s="5"/>
      <c r="H312" s="5"/>
      <c r="J312" s="172"/>
      <c r="K312" s="14"/>
      <c r="L312" s="19"/>
      <c r="O312" s="14"/>
      <c r="P312" s="14"/>
      <c r="X312" s="26"/>
      <c r="Y312" s="30"/>
      <c r="Z312" s="30"/>
      <c r="AA312" s="25"/>
      <c r="AB312" s="170"/>
      <c r="AF312" s="48"/>
      <c r="AG312" s="204"/>
      <c r="AI312" s="28"/>
      <c r="AL312" s="5"/>
      <c r="AM312" s="13"/>
      <c r="AN312" s="24"/>
    </row>
    <row r="313" spans="1:40" x14ac:dyDescent="0.2">
      <c r="A313" s="14"/>
      <c r="B313" s="14"/>
      <c r="C313" s="14"/>
      <c r="E313" s="25"/>
      <c r="F313" s="25"/>
      <c r="G313" s="5"/>
      <c r="H313" s="5"/>
      <c r="I313" s="16"/>
      <c r="J313" s="172"/>
      <c r="K313" s="14"/>
      <c r="L313" s="19"/>
      <c r="O313" s="14"/>
      <c r="P313" s="14"/>
      <c r="W313" s="14"/>
      <c r="X313" s="17"/>
      <c r="Y313" s="30"/>
      <c r="Z313" s="30"/>
      <c r="AA313" s="14"/>
      <c r="AB313" s="170"/>
      <c r="AF313" s="48"/>
      <c r="AG313" s="204"/>
      <c r="AI313" s="28"/>
      <c r="AL313" s="5"/>
      <c r="AM313" s="13"/>
      <c r="AN313" s="24"/>
    </row>
    <row r="314" spans="1:40" x14ac:dyDescent="0.2">
      <c r="E314" s="25"/>
      <c r="F314" s="25"/>
      <c r="G314" s="5"/>
      <c r="H314" s="5"/>
      <c r="J314" s="172"/>
      <c r="Y314" s="30"/>
      <c r="Z314" s="30"/>
      <c r="AB314" s="170"/>
      <c r="AF314" s="48"/>
      <c r="AG314" s="204"/>
      <c r="AI314" s="28"/>
      <c r="AL314" s="5"/>
      <c r="AM314" s="13"/>
      <c r="AN314" s="24"/>
    </row>
    <row r="315" spans="1:40" x14ac:dyDescent="0.2">
      <c r="B315" s="299"/>
      <c r="E315" s="25"/>
      <c r="F315" s="25"/>
      <c r="G315" s="5"/>
      <c r="H315" s="5"/>
      <c r="J315" s="172"/>
      <c r="Y315" s="30"/>
      <c r="Z315" s="30"/>
      <c r="AB315" s="170"/>
      <c r="AF315" s="48"/>
      <c r="AG315" s="204"/>
      <c r="AI315" s="28"/>
      <c r="AL315" s="5"/>
      <c r="AM315" s="13"/>
      <c r="AN315" s="24"/>
    </row>
    <row r="316" spans="1:40" x14ac:dyDescent="0.2">
      <c r="E316" s="25"/>
      <c r="F316" s="25"/>
      <c r="G316" s="5"/>
      <c r="H316" s="5"/>
      <c r="J316" s="172"/>
      <c r="Y316" s="30"/>
      <c r="Z316" s="30"/>
      <c r="AB316" s="170"/>
      <c r="AF316" s="48"/>
      <c r="AG316" s="204"/>
      <c r="AI316" s="28"/>
      <c r="AL316" s="5"/>
      <c r="AM316" s="13"/>
      <c r="AN316" s="24"/>
    </row>
    <row r="317" spans="1:40" x14ac:dyDescent="0.2">
      <c r="A317" s="14"/>
      <c r="B317" s="14"/>
      <c r="C317" s="14"/>
      <c r="E317" s="27"/>
      <c r="F317" s="27"/>
      <c r="G317" s="5"/>
      <c r="H317" s="5"/>
      <c r="I317" s="16"/>
      <c r="J317" s="172"/>
      <c r="K317" s="14"/>
      <c r="L317" s="19"/>
      <c r="O317" s="14"/>
      <c r="P317" s="14"/>
      <c r="W317" s="14"/>
      <c r="X317" s="17"/>
      <c r="Y317" s="30"/>
      <c r="Z317" s="30"/>
      <c r="AA317" s="14"/>
      <c r="AB317" s="170"/>
      <c r="AF317" s="48"/>
      <c r="AG317" s="204"/>
      <c r="AI317" s="28"/>
      <c r="AL317" s="5"/>
      <c r="AM317" s="13"/>
      <c r="AN317" s="24"/>
    </row>
    <row r="318" spans="1:40" x14ac:dyDescent="0.2">
      <c r="B318" s="14"/>
      <c r="E318" s="25"/>
      <c r="F318" s="25"/>
      <c r="G318" s="5"/>
      <c r="H318" s="5"/>
      <c r="J318" s="172"/>
      <c r="Y318" s="30"/>
      <c r="Z318" s="30"/>
      <c r="AB318" s="170"/>
      <c r="AF318" s="48"/>
      <c r="AG318" s="204"/>
      <c r="AI318" s="28"/>
      <c r="AL318" s="5"/>
      <c r="AM318" s="13"/>
      <c r="AN318" s="24"/>
    </row>
    <row r="319" spans="1:40" x14ac:dyDescent="0.2">
      <c r="A319" s="14"/>
      <c r="B319" s="14"/>
      <c r="C319" s="14"/>
      <c r="E319" s="27"/>
      <c r="F319" s="27"/>
      <c r="G319" s="5"/>
      <c r="H319" s="5"/>
      <c r="I319" s="16"/>
      <c r="J319" s="18"/>
      <c r="K319" s="14"/>
      <c r="L319" s="19"/>
      <c r="O319" s="14"/>
      <c r="P319" s="14"/>
      <c r="W319" s="14"/>
      <c r="Y319" s="30"/>
      <c r="Z319" s="30"/>
      <c r="AB319" s="170"/>
      <c r="AF319" s="48"/>
      <c r="AG319" s="204"/>
      <c r="AI319" s="28"/>
      <c r="AL319" s="5"/>
      <c r="AM319" s="13"/>
      <c r="AN319" s="24"/>
    </row>
    <row r="320" spans="1:40" ht="15" customHeight="1" x14ac:dyDescent="0.2">
      <c r="A320" s="15"/>
      <c r="E320" s="25"/>
      <c r="F320" s="25"/>
      <c r="G320" s="5"/>
      <c r="H320" s="5"/>
      <c r="J320" s="172"/>
      <c r="Y320" s="30"/>
      <c r="Z320" s="30"/>
      <c r="AB320" s="170"/>
      <c r="AF320" s="48"/>
      <c r="AG320" s="204"/>
      <c r="AI320" s="28"/>
      <c r="AL320" s="5"/>
      <c r="AM320" s="13"/>
      <c r="AN320" s="24"/>
    </row>
    <row r="321" spans="1:40" x14ac:dyDescent="0.2">
      <c r="A321" s="15"/>
      <c r="B321" s="299"/>
      <c r="E321" s="25"/>
      <c r="F321" s="25"/>
      <c r="G321" s="5"/>
      <c r="H321" s="5"/>
      <c r="J321" s="172"/>
      <c r="K321" s="14"/>
      <c r="L321" s="19"/>
      <c r="O321" s="14"/>
      <c r="P321" s="14"/>
      <c r="X321" s="26"/>
      <c r="Y321" s="30"/>
      <c r="Z321" s="30"/>
      <c r="AA321" s="25"/>
      <c r="AB321" s="170"/>
      <c r="AF321" s="48"/>
      <c r="AG321" s="204"/>
      <c r="AI321" s="28"/>
      <c r="AL321" s="5"/>
      <c r="AM321" s="13"/>
      <c r="AN321" s="24"/>
    </row>
    <row r="322" spans="1:40" x14ac:dyDescent="0.2">
      <c r="A322" s="15"/>
      <c r="E322" s="25"/>
      <c r="F322" s="25"/>
      <c r="G322" s="5"/>
      <c r="H322" s="5"/>
      <c r="J322" s="172"/>
      <c r="K322" s="14"/>
      <c r="L322" s="19"/>
      <c r="O322" s="14"/>
      <c r="P322" s="14"/>
      <c r="R322" s="172"/>
      <c r="Y322" s="30"/>
      <c r="Z322" s="30"/>
      <c r="AB322" s="170"/>
      <c r="AL322" s="5"/>
      <c r="AM322" s="13"/>
      <c r="AN322" s="24"/>
    </row>
    <row r="323" spans="1:40" x14ac:dyDescent="0.2">
      <c r="A323" s="14"/>
      <c r="B323" s="14"/>
      <c r="C323" s="14"/>
      <c r="D323" s="14"/>
      <c r="E323" s="27"/>
      <c r="F323" s="27"/>
      <c r="G323" s="5"/>
      <c r="H323" s="5"/>
      <c r="I323" s="16"/>
      <c r="J323" s="18"/>
      <c r="K323" s="14"/>
      <c r="L323" s="19"/>
      <c r="O323" s="14"/>
      <c r="P323" s="14"/>
      <c r="R323" s="18"/>
      <c r="T323" s="123"/>
      <c r="W323" s="14"/>
      <c r="X323" s="17"/>
      <c r="Y323" s="30"/>
      <c r="Z323" s="30"/>
      <c r="AB323" s="170"/>
      <c r="AL323" s="5"/>
      <c r="AM323" s="13"/>
      <c r="AN323" s="24"/>
    </row>
    <row r="324" spans="1:40" x14ac:dyDescent="0.2">
      <c r="A324" s="14"/>
      <c r="B324" s="126" t="s">
        <v>114</v>
      </c>
      <c r="C324" s="56" t="s">
        <v>104</v>
      </c>
      <c r="D324" s="56"/>
      <c r="E324" s="56"/>
      <c r="F324" s="56"/>
      <c r="G324" s="55"/>
      <c r="H324" s="55"/>
      <c r="I324" s="57"/>
      <c r="J324" s="68"/>
      <c r="K324" s="55"/>
      <c r="L324" s="69"/>
      <c r="M324" s="58"/>
      <c r="N324" s="58"/>
      <c r="O324" s="55"/>
      <c r="P324" s="55"/>
      <c r="Q324" s="57"/>
      <c r="R324" s="70"/>
      <c r="S324" s="55"/>
      <c r="T324" s="58"/>
      <c r="U324" s="58"/>
      <c r="V324" s="58"/>
      <c r="W324" s="55"/>
      <c r="X324" s="71"/>
      <c r="Y324" s="72">
        <f>SUM(Y325:Y333)</f>
        <v>0</v>
      </c>
      <c r="Z324" s="72">
        <f>SUM(Z325:Z333)</f>
        <v>0</v>
      </c>
      <c r="AB324" s="168">
        <f>IF(A324&gt;0,+V324-N324,0)</f>
        <v>0</v>
      </c>
      <c r="AC324" s="168">
        <f ca="1">+AB324-(AB324*$AA$1)</f>
        <v>0</v>
      </c>
      <c r="AL324" s="5"/>
      <c r="AM324" s="13"/>
      <c r="AN324" s="24"/>
    </row>
    <row r="325" spans="1:40" x14ac:dyDescent="0.2">
      <c r="A325" s="15"/>
      <c r="E325" s="25"/>
      <c r="F325" s="25"/>
      <c r="G325" s="5"/>
      <c r="H325" s="5"/>
      <c r="J325" s="172"/>
      <c r="K325" s="14"/>
      <c r="L325" s="19"/>
      <c r="O325" s="14"/>
      <c r="P325" s="14"/>
      <c r="X325" s="26"/>
      <c r="Y325" s="30"/>
      <c r="Z325" s="30"/>
      <c r="AA325" s="25"/>
      <c r="AB325" s="170"/>
      <c r="AF325" s="48"/>
      <c r="AG325" s="204"/>
      <c r="AI325" s="28"/>
      <c r="AL325" s="5"/>
      <c r="AM325" s="13"/>
      <c r="AN325" s="24"/>
    </row>
    <row r="326" spans="1:40" ht="17" customHeight="1" x14ac:dyDescent="0.2">
      <c r="A326" s="14"/>
      <c r="B326" s="14"/>
      <c r="C326" s="14"/>
      <c r="E326" s="27"/>
      <c r="F326" s="27"/>
      <c r="G326" s="5"/>
      <c r="H326" s="5"/>
      <c r="I326" s="16"/>
      <c r="J326" s="18"/>
      <c r="K326" s="14"/>
      <c r="L326" s="19"/>
      <c r="O326" s="14"/>
      <c r="P326" s="14"/>
      <c r="T326" s="246"/>
      <c r="W326" s="14"/>
      <c r="Y326" s="30"/>
      <c r="Z326" s="30"/>
      <c r="AB326" s="170"/>
      <c r="AF326" s="48"/>
      <c r="AG326" s="204"/>
      <c r="AI326" s="28"/>
      <c r="AL326" s="5"/>
      <c r="AM326" s="13"/>
      <c r="AN326" s="24"/>
    </row>
    <row r="327" spans="1:40" x14ac:dyDescent="0.2">
      <c r="A327" s="14"/>
      <c r="B327" s="14"/>
      <c r="C327" s="14"/>
      <c r="E327" s="260"/>
      <c r="F327" s="260"/>
      <c r="G327" s="5"/>
      <c r="H327" s="5"/>
      <c r="I327" s="16"/>
      <c r="J327" s="172"/>
      <c r="K327" s="14"/>
      <c r="L327" s="19"/>
      <c r="O327" s="14"/>
      <c r="P327" s="14"/>
      <c r="T327" s="246"/>
      <c r="W327" s="14"/>
      <c r="X327" s="17"/>
      <c r="Y327" s="30"/>
      <c r="Z327" s="30"/>
      <c r="AA327" s="14"/>
      <c r="AB327" s="170"/>
      <c r="AF327" s="48"/>
      <c r="AG327" s="204"/>
      <c r="AI327" s="28"/>
      <c r="AL327" s="5"/>
      <c r="AM327" s="13"/>
      <c r="AN327" s="24"/>
    </row>
    <row r="328" spans="1:40" x14ac:dyDescent="0.2">
      <c r="A328" s="14"/>
      <c r="B328" s="14"/>
      <c r="C328" s="14"/>
      <c r="E328" s="25"/>
      <c r="F328" s="25"/>
      <c r="G328" s="5"/>
      <c r="H328" s="5"/>
      <c r="I328" s="16"/>
      <c r="J328" s="172"/>
      <c r="K328" s="14"/>
      <c r="L328" s="19"/>
      <c r="O328" s="14"/>
      <c r="P328" s="14"/>
      <c r="W328" s="14"/>
      <c r="X328" s="17"/>
      <c r="Y328" s="30"/>
      <c r="Z328" s="30"/>
      <c r="AA328" s="14"/>
      <c r="AB328" s="170"/>
      <c r="AF328" s="48"/>
      <c r="AG328" s="204"/>
      <c r="AI328" s="28"/>
      <c r="AL328" s="5"/>
      <c r="AM328" s="13"/>
      <c r="AN328" s="24"/>
    </row>
    <row r="329" spans="1:40" x14ac:dyDescent="0.2">
      <c r="E329" s="25"/>
      <c r="F329" s="25"/>
      <c r="G329" s="5"/>
      <c r="H329" s="5"/>
      <c r="J329" s="172"/>
      <c r="X329" s="17"/>
      <c r="Y329" s="30"/>
      <c r="Z329" s="30"/>
      <c r="AA329" s="14"/>
      <c r="AB329" s="170"/>
      <c r="AF329" s="48"/>
      <c r="AG329" s="204"/>
      <c r="AI329" s="28"/>
      <c r="AL329" s="5"/>
      <c r="AM329" s="13"/>
      <c r="AN329" s="24"/>
    </row>
    <row r="330" spans="1:40" x14ac:dyDescent="0.2">
      <c r="E330" s="27"/>
      <c r="F330" s="27"/>
      <c r="G330" s="5"/>
      <c r="H330" s="5"/>
      <c r="J330" s="18"/>
      <c r="Y330" s="30"/>
      <c r="Z330" s="30"/>
      <c r="AB330" s="170"/>
      <c r="AF330" s="48"/>
      <c r="AG330" s="204"/>
      <c r="AI330" s="28"/>
      <c r="AL330" s="5"/>
      <c r="AM330" s="13"/>
      <c r="AN330" s="24"/>
    </row>
    <row r="331" spans="1:40" x14ac:dyDescent="0.2">
      <c r="E331" s="25"/>
      <c r="F331" s="25"/>
      <c r="G331" s="5"/>
      <c r="H331" s="5"/>
      <c r="J331" s="172"/>
      <c r="Y331" s="30"/>
      <c r="Z331" s="30"/>
      <c r="AB331" s="170"/>
      <c r="AF331" s="48"/>
      <c r="AG331" s="204"/>
      <c r="AI331" s="28"/>
      <c r="AL331" s="5"/>
      <c r="AM331" s="13"/>
      <c r="AN331" s="24"/>
    </row>
    <row r="332" spans="1:40" x14ac:dyDescent="0.2">
      <c r="A332" s="14"/>
      <c r="B332" s="192"/>
      <c r="C332" s="14"/>
      <c r="E332" s="25"/>
      <c r="F332" s="25"/>
      <c r="G332" s="5"/>
      <c r="H332" s="5"/>
      <c r="I332" s="16"/>
      <c r="J332" s="172"/>
      <c r="K332" s="14"/>
      <c r="L332" s="19"/>
      <c r="O332" s="14"/>
      <c r="P332" s="14"/>
      <c r="W332" s="14"/>
      <c r="Y332" s="30"/>
      <c r="Z332" s="30"/>
      <c r="AB332" s="170"/>
      <c r="AF332" s="48"/>
      <c r="AG332" s="204"/>
      <c r="AI332" s="28"/>
      <c r="AL332" s="5"/>
      <c r="AM332" s="13"/>
      <c r="AN332" s="24"/>
    </row>
    <row r="333" spans="1:40" x14ac:dyDescent="0.2">
      <c r="E333" s="27"/>
      <c r="F333" s="27"/>
      <c r="G333" s="5"/>
      <c r="H333" s="5"/>
      <c r="Y333" s="30"/>
      <c r="Z333" s="30"/>
      <c r="AB333" s="170"/>
      <c r="AL333" s="5"/>
      <c r="AM333" s="13"/>
      <c r="AN333" s="24"/>
    </row>
    <row r="334" spans="1:40" x14ac:dyDescent="0.2">
      <c r="A334" s="14"/>
      <c r="B334" s="126" t="s">
        <v>123</v>
      </c>
      <c r="C334" s="56" t="s">
        <v>104</v>
      </c>
      <c r="D334" s="56"/>
      <c r="E334" s="56"/>
      <c r="F334" s="56"/>
      <c r="G334" s="55"/>
      <c r="H334" s="55"/>
      <c r="I334" s="57"/>
      <c r="J334" s="68"/>
      <c r="K334" s="55"/>
      <c r="L334" s="69"/>
      <c r="M334" s="58"/>
      <c r="N334" s="58"/>
      <c r="O334" s="55"/>
      <c r="P334" s="55"/>
      <c r="Q334" s="57"/>
      <c r="R334" s="70"/>
      <c r="S334" s="55"/>
      <c r="T334" s="58"/>
      <c r="U334" s="58"/>
      <c r="V334" s="58"/>
      <c r="W334" s="55"/>
      <c r="X334" s="71"/>
      <c r="Y334" s="72">
        <f>SUM(Y335:Y345)</f>
        <v>0</v>
      </c>
      <c r="Z334" s="72">
        <f>SUM(Z335:Z345)</f>
        <v>0</v>
      </c>
      <c r="AB334" s="168">
        <f>IF(A334&gt;0,+V334-N334,0)</f>
        <v>0</v>
      </c>
      <c r="AC334" s="168">
        <f ca="1">+AB334-(AB334*$AA$1)</f>
        <v>0</v>
      </c>
      <c r="AL334" s="5"/>
      <c r="AM334" s="13"/>
      <c r="AN334" s="24"/>
    </row>
    <row r="335" spans="1:40" x14ac:dyDescent="0.2">
      <c r="A335" s="15"/>
      <c r="E335" s="25"/>
      <c r="F335" s="25"/>
      <c r="G335" s="5"/>
      <c r="H335" s="5"/>
      <c r="J335" s="172"/>
      <c r="K335" s="14"/>
      <c r="L335" s="19"/>
      <c r="O335" s="14"/>
      <c r="P335" s="14"/>
      <c r="R335" s="172"/>
      <c r="X335" s="26"/>
      <c r="Y335" s="30"/>
      <c r="Z335" s="30"/>
      <c r="AA335" s="25"/>
      <c r="AB335" s="170"/>
      <c r="AL335" s="5"/>
      <c r="AM335" s="13"/>
      <c r="AN335" s="24"/>
    </row>
    <row r="336" spans="1:40" x14ac:dyDescent="0.2">
      <c r="E336" s="25"/>
      <c r="F336" s="25"/>
      <c r="G336" s="5"/>
      <c r="H336" s="5"/>
      <c r="J336" s="172"/>
      <c r="T336" s="174"/>
      <c r="Y336" s="30"/>
      <c r="Z336" s="30"/>
      <c r="AB336" s="170"/>
      <c r="AF336" s="48"/>
      <c r="AG336" s="204"/>
      <c r="AI336" s="28"/>
      <c r="AL336" s="5"/>
      <c r="AM336" s="13"/>
      <c r="AN336" s="24"/>
    </row>
    <row r="337" spans="1:40" x14ac:dyDescent="0.2">
      <c r="A337" s="15"/>
      <c r="E337" s="25"/>
      <c r="F337" s="25"/>
      <c r="G337" s="5"/>
      <c r="H337" s="5"/>
      <c r="J337" s="172"/>
      <c r="Y337" s="30"/>
      <c r="Z337" s="30"/>
      <c r="AB337" s="170"/>
      <c r="AF337" s="48"/>
      <c r="AG337" s="204"/>
      <c r="AI337" s="28"/>
      <c r="AL337" s="5"/>
      <c r="AM337" s="13"/>
      <c r="AN337" s="24"/>
    </row>
    <row r="338" spans="1:40" x14ac:dyDescent="0.2">
      <c r="A338" s="14"/>
      <c r="B338" s="14"/>
      <c r="C338" s="14"/>
      <c r="E338" s="27"/>
      <c r="F338" s="27"/>
      <c r="G338" s="5"/>
      <c r="H338" s="5"/>
      <c r="I338" s="16"/>
      <c r="J338" s="18"/>
      <c r="K338" s="14"/>
      <c r="L338" s="19"/>
      <c r="O338" s="14"/>
      <c r="P338" s="14"/>
      <c r="W338" s="14"/>
      <c r="Y338" s="30"/>
      <c r="Z338" s="30"/>
      <c r="AB338" s="170"/>
      <c r="AF338" s="48"/>
      <c r="AG338" s="204"/>
      <c r="AI338" s="28"/>
      <c r="AL338" s="5"/>
      <c r="AM338" s="13"/>
      <c r="AN338" s="24"/>
    </row>
    <row r="339" spans="1:40" x14ac:dyDescent="0.2">
      <c r="E339" s="25"/>
      <c r="F339" s="25"/>
      <c r="G339" s="5"/>
      <c r="H339" s="5"/>
      <c r="J339" s="172"/>
      <c r="Y339" s="30"/>
      <c r="Z339" s="30"/>
      <c r="AB339" s="170"/>
      <c r="AF339" s="48"/>
      <c r="AG339" s="204"/>
      <c r="AI339" s="28"/>
      <c r="AL339" s="5"/>
      <c r="AM339" s="13"/>
      <c r="AN339" s="24"/>
    </row>
    <row r="340" spans="1:40" x14ac:dyDescent="0.2">
      <c r="A340" s="14"/>
      <c r="B340" s="192"/>
      <c r="C340" s="14"/>
      <c r="E340" s="25"/>
      <c r="F340" s="25"/>
      <c r="G340" s="5"/>
      <c r="H340" s="5"/>
      <c r="I340" s="16"/>
      <c r="J340" s="172"/>
      <c r="K340" s="14"/>
      <c r="L340" s="19"/>
      <c r="O340" s="14"/>
      <c r="P340" s="14"/>
      <c r="W340" s="14"/>
      <c r="X340" s="17"/>
      <c r="Y340" s="30"/>
      <c r="Z340" s="30"/>
      <c r="AA340" s="14"/>
      <c r="AB340" s="170"/>
      <c r="AF340" s="48"/>
      <c r="AG340" s="204"/>
      <c r="AI340" s="28"/>
      <c r="AL340" s="5"/>
      <c r="AM340" s="13"/>
      <c r="AN340" s="24"/>
    </row>
    <row r="341" spans="1:40" x14ac:dyDescent="0.2">
      <c r="A341" s="15"/>
      <c r="E341" s="25"/>
      <c r="F341" s="25"/>
      <c r="G341" s="5"/>
      <c r="H341" s="5"/>
      <c r="J341" s="172"/>
      <c r="K341" s="14"/>
      <c r="L341" s="19"/>
      <c r="O341" s="14"/>
      <c r="P341" s="14"/>
      <c r="Y341" s="30"/>
      <c r="Z341" s="30"/>
      <c r="AB341" s="170"/>
      <c r="AF341" s="48"/>
      <c r="AG341" s="204"/>
      <c r="AI341" s="28"/>
      <c r="AL341" s="5"/>
      <c r="AM341" s="13"/>
      <c r="AN341" s="24"/>
    </row>
    <row r="342" spans="1:40" x14ac:dyDescent="0.2">
      <c r="A342" s="14"/>
      <c r="B342" s="14"/>
      <c r="C342" s="14"/>
      <c r="E342" s="27"/>
      <c r="F342" s="27"/>
      <c r="G342" s="5"/>
      <c r="H342" s="5"/>
      <c r="I342" s="16"/>
      <c r="J342" s="18"/>
      <c r="K342" s="14"/>
      <c r="L342" s="19"/>
      <c r="O342" s="14"/>
      <c r="P342" s="14"/>
      <c r="W342" s="14"/>
      <c r="Y342" s="30"/>
      <c r="Z342" s="30"/>
      <c r="AB342" s="170"/>
      <c r="AF342" s="48"/>
      <c r="AG342" s="204"/>
      <c r="AI342" s="28"/>
      <c r="AL342" s="5"/>
      <c r="AM342" s="13"/>
      <c r="AN342" s="24"/>
    </row>
    <row r="343" spans="1:40" x14ac:dyDescent="0.2">
      <c r="A343" s="14"/>
      <c r="B343" s="14"/>
      <c r="C343" s="14"/>
      <c r="E343" s="27"/>
      <c r="F343" s="27"/>
      <c r="G343" s="5"/>
      <c r="H343" s="5"/>
      <c r="I343" s="16"/>
      <c r="J343" s="18"/>
      <c r="K343" s="14"/>
      <c r="L343" s="19"/>
      <c r="O343" s="14"/>
      <c r="P343" s="14"/>
      <c r="W343" s="14"/>
      <c r="X343" s="17"/>
      <c r="Y343" s="30"/>
      <c r="Z343" s="30"/>
      <c r="AA343" s="14"/>
      <c r="AB343" s="170"/>
      <c r="AF343" s="48"/>
      <c r="AG343" s="204"/>
      <c r="AI343" s="28"/>
      <c r="AL343" s="5"/>
      <c r="AM343" s="13"/>
      <c r="AN343" s="24"/>
    </row>
    <row r="344" spans="1:40" x14ac:dyDescent="0.2">
      <c r="A344" s="15"/>
      <c r="E344" s="25"/>
      <c r="F344" s="25"/>
      <c r="G344" s="5"/>
      <c r="H344" s="5"/>
      <c r="J344" s="172"/>
      <c r="R344" s="172"/>
      <c r="Y344" s="30"/>
      <c r="Z344" s="30"/>
      <c r="AB344" s="170"/>
      <c r="AL344" s="5"/>
      <c r="AM344" s="13"/>
      <c r="AN344" s="24"/>
    </row>
    <row r="345" spans="1:40" x14ac:dyDescent="0.2">
      <c r="A345" s="14"/>
      <c r="B345" s="14"/>
      <c r="C345" s="14"/>
      <c r="D345" s="14"/>
      <c r="E345" s="27"/>
      <c r="F345" s="27"/>
      <c r="G345" s="5"/>
      <c r="H345" s="5"/>
      <c r="I345" s="16"/>
      <c r="J345" s="18"/>
      <c r="K345" s="14"/>
      <c r="L345" s="19"/>
      <c r="O345" s="14"/>
      <c r="P345" s="14"/>
      <c r="R345" s="18"/>
      <c r="W345" s="14"/>
      <c r="X345" s="17"/>
      <c r="Y345" s="30"/>
      <c r="Z345" s="30"/>
      <c r="AA345" s="14"/>
      <c r="AB345" s="170"/>
      <c r="AL345" s="5"/>
      <c r="AM345" s="13"/>
      <c r="AN345" s="24"/>
    </row>
    <row r="346" spans="1:40" x14ac:dyDescent="0.2">
      <c r="A346" s="14"/>
      <c r="B346" s="126" t="s">
        <v>132</v>
      </c>
      <c r="C346" s="56" t="s">
        <v>104</v>
      </c>
      <c r="D346" s="56"/>
      <c r="E346" s="56"/>
      <c r="F346" s="56"/>
      <c r="G346" s="55"/>
      <c r="H346" s="55"/>
      <c r="I346" s="57"/>
      <c r="J346" s="68"/>
      <c r="K346" s="55"/>
      <c r="L346" s="69"/>
      <c r="M346" s="58"/>
      <c r="N346" s="58"/>
      <c r="O346" s="55"/>
      <c r="P346" s="55"/>
      <c r="Q346" s="57"/>
      <c r="R346" s="70"/>
      <c r="S346" s="55"/>
      <c r="T346" s="58"/>
      <c r="U346" s="58"/>
      <c r="V346" s="58"/>
      <c r="W346" s="55"/>
      <c r="X346" s="71"/>
      <c r="Y346" s="72">
        <f>SUM(Y347:Y354)</f>
        <v>0</v>
      </c>
      <c r="Z346" s="72">
        <f>SUM(Z347:Z354)</f>
        <v>0</v>
      </c>
      <c r="AB346" s="168">
        <f>IF(A346&gt;0,+V346-N346,0)</f>
        <v>0</v>
      </c>
      <c r="AC346" s="168">
        <f ca="1">+AB346-(AB346*$AA$1)</f>
        <v>0</v>
      </c>
      <c r="AL346" s="5"/>
      <c r="AM346" s="13"/>
      <c r="AN346" s="24"/>
    </row>
    <row r="347" spans="1:40" x14ac:dyDescent="0.2">
      <c r="E347" s="25"/>
      <c r="F347" s="25"/>
      <c r="G347" s="5"/>
      <c r="H347" s="5"/>
      <c r="J347" s="172"/>
      <c r="R347" s="172"/>
      <c r="Y347" s="30"/>
      <c r="Z347" s="30"/>
      <c r="AB347" s="170"/>
      <c r="AL347" s="5"/>
      <c r="AM347" s="13"/>
      <c r="AN347" s="24"/>
    </row>
    <row r="348" spans="1:40" x14ac:dyDescent="0.2">
      <c r="E348" s="25"/>
      <c r="F348" s="25"/>
      <c r="G348" s="5"/>
      <c r="H348" s="5"/>
      <c r="J348" s="172"/>
      <c r="Y348" s="30"/>
      <c r="Z348" s="30"/>
      <c r="AB348" s="170"/>
      <c r="AF348" s="48"/>
      <c r="AG348" s="204"/>
      <c r="AI348" s="28"/>
      <c r="AL348" s="5"/>
      <c r="AM348" s="13"/>
      <c r="AN348" s="24"/>
    </row>
    <row r="349" spans="1:40" x14ac:dyDescent="0.2">
      <c r="A349" s="14"/>
      <c r="B349" s="14"/>
      <c r="C349" s="14"/>
      <c r="E349" s="27"/>
      <c r="F349" s="27"/>
      <c r="G349" s="5"/>
      <c r="H349" s="5"/>
      <c r="I349" s="16"/>
      <c r="J349" s="18"/>
      <c r="K349" s="14"/>
      <c r="L349" s="19"/>
      <c r="O349" s="14"/>
      <c r="P349" s="14"/>
      <c r="W349" s="14"/>
      <c r="X349" s="17"/>
      <c r="Y349" s="30"/>
      <c r="Z349" s="30"/>
      <c r="AB349" s="170"/>
      <c r="AF349" s="48"/>
      <c r="AG349" s="204"/>
      <c r="AI349" s="28"/>
      <c r="AL349" s="5"/>
      <c r="AM349" s="13"/>
      <c r="AN349" s="24"/>
    </row>
    <row r="350" spans="1:40" x14ac:dyDescent="0.2">
      <c r="E350" s="27"/>
      <c r="F350" s="27"/>
      <c r="G350" s="5"/>
      <c r="H350" s="5"/>
      <c r="J350" s="18"/>
      <c r="Y350" s="30"/>
      <c r="Z350" s="30"/>
      <c r="AB350" s="170"/>
      <c r="AF350" s="48"/>
      <c r="AG350" s="204"/>
      <c r="AI350" s="28"/>
      <c r="AL350" s="5"/>
      <c r="AM350" s="13"/>
      <c r="AN350" s="24"/>
    </row>
    <row r="351" spans="1:40" x14ac:dyDescent="0.2">
      <c r="E351" s="27"/>
      <c r="F351" s="27"/>
      <c r="G351" s="5"/>
      <c r="H351" s="5"/>
      <c r="J351" s="18"/>
      <c r="X351" s="17"/>
      <c r="Y351" s="30"/>
      <c r="Z351" s="30"/>
      <c r="AB351" s="170"/>
      <c r="AF351" s="48"/>
      <c r="AG351" s="204"/>
      <c r="AI351" s="28"/>
      <c r="AL351" s="5"/>
      <c r="AM351" s="13"/>
      <c r="AN351" s="24"/>
    </row>
    <row r="352" spans="1:40" x14ac:dyDescent="0.2">
      <c r="E352" s="25"/>
      <c r="F352" s="25"/>
      <c r="G352" s="5"/>
      <c r="H352" s="5"/>
      <c r="J352" s="172"/>
      <c r="Y352" s="30"/>
      <c r="Z352" s="30"/>
      <c r="AB352" s="170"/>
      <c r="AF352" s="48"/>
      <c r="AG352" s="204"/>
      <c r="AI352" s="28"/>
      <c r="AL352" s="5"/>
      <c r="AM352" s="13"/>
      <c r="AN352" s="24"/>
    </row>
    <row r="353" spans="1:40" ht="15" customHeight="1" x14ac:dyDescent="0.2">
      <c r="E353" s="25"/>
      <c r="F353" s="25"/>
      <c r="G353" s="5"/>
      <c r="H353" s="5"/>
      <c r="J353" s="172"/>
      <c r="R353" s="172"/>
      <c r="Y353" s="30"/>
      <c r="Z353" s="30"/>
      <c r="AB353" s="170"/>
      <c r="AL353" s="5"/>
      <c r="AM353" s="13"/>
      <c r="AN353" s="24"/>
    </row>
    <row r="354" spans="1:40" x14ac:dyDescent="0.2">
      <c r="E354" s="25"/>
      <c r="F354" s="25"/>
      <c r="G354" s="5"/>
      <c r="H354" s="5"/>
      <c r="J354" s="172"/>
      <c r="R354" s="172"/>
      <c r="T354" s="10"/>
      <c r="Y354" s="30"/>
      <c r="Z354" s="30"/>
      <c r="AB354" s="170"/>
      <c r="AL354" s="5"/>
      <c r="AM354" s="13"/>
      <c r="AN354" s="24"/>
    </row>
    <row r="355" spans="1:40" x14ac:dyDescent="0.2">
      <c r="A355" s="14"/>
      <c r="B355" s="126" t="s">
        <v>135</v>
      </c>
      <c r="C355" s="56" t="s">
        <v>104</v>
      </c>
      <c r="D355" s="56"/>
      <c r="E355" s="56"/>
      <c r="F355" s="56"/>
      <c r="G355" s="55"/>
      <c r="H355" s="55"/>
      <c r="I355" s="57"/>
      <c r="J355" s="68"/>
      <c r="K355" s="55"/>
      <c r="L355" s="69"/>
      <c r="M355" s="58"/>
      <c r="N355" s="58"/>
      <c r="O355" s="55"/>
      <c r="P355" s="55"/>
      <c r="Q355" s="57"/>
      <c r="R355" s="70"/>
      <c r="S355" s="55"/>
      <c r="T355" s="58"/>
      <c r="U355" s="58"/>
      <c r="V355" s="58"/>
      <c r="W355" s="55"/>
      <c r="X355" s="71"/>
      <c r="Y355" s="72">
        <f>SUM(Y356:Y362)</f>
        <v>0</v>
      </c>
      <c r="Z355" s="72">
        <f>SUM(Z356:Z362)</f>
        <v>0</v>
      </c>
      <c r="AB355" s="168">
        <f>IF(A355&gt;0,+V355-N355,0)</f>
        <v>0</v>
      </c>
      <c r="AC355" s="168">
        <f ca="1">+AB355-(AB355*$AA$1)</f>
        <v>0</v>
      </c>
      <c r="AL355" s="5"/>
      <c r="AM355" s="13"/>
      <c r="AN355" s="24"/>
    </row>
    <row r="356" spans="1:40" x14ac:dyDescent="0.2">
      <c r="A356" s="15"/>
      <c r="E356" s="27"/>
      <c r="F356" s="27"/>
      <c r="G356" s="5"/>
      <c r="H356" s="5"/>
      <c r="W356" s="14"/>
      <c r="Y356" s="30"/>
      <c r="Z356" s="30"/>
      <c r="AB356" s="170"/>
      <c r="AL356" s="5"/>
      <c r="AM356" s="13"/>
      <c r="AN356" s="24"/>
    </row>
    <row r="357" spans="1:40" x14ac:dyDescent="0.2">
      <c r="A357" s="15"/>
      <c r="E357" s="25"/>
      <c r="F357" s="25"/>
      <c r="G357" s="5"/>
      <c r="H357" s="5"/>
      <c r="J357" s="172"/>
      <c r="Y357" s="30"/>
      <c r="Z357" s="30"/>
      <c r="AB357" s="170"/>
      <c r="AF357" s="48"/>
      <c r="AG357" s="204"/>
      <c r="AI357" s="28"/>
      <c r="AL357" s="5"/>
      <c r="AM357" s="13"/>
      <c r="AN357" s="24"/>
    </row>
    <row r="358" spans="1:40" x14ac:dyDescent="0.2">
      <c r="A358" s="15"/>
      <c r="E358" s="25"/>
      <c r="F358" s="25"/>
      <c r="G358" s="5"/>
      <c r="H358" s="5"/>
      <c r="J358" s="172"/>
      <c r="K358" s="14"/>
      <c r="L358" s="19"/>
      <c r="O358" s="14"/>
      <c r="P358" s="14"/>
      <c r="Y358" s="30"/>
      <c r="Z358" s="30"/>
      <c r="AB358" s="170"/>
      <c r="AF358" s="48"/>
      <c r="AG358" s="204"/>
      <c r="AI358" s="28"/>
      <c r="AL358" s="5"/>
      <c r="AM358" s="13"/>
      <c r="AN358" s="24"/>
    </row>
    <row r="359" spans="1:40" x14ac:dyDescent="0.2">
      <c r="A359" s="15"/>
      <c r="E359" s="25"/>
      <c r="F359" s="25"/>
      <c r="G359" s="5"/>
      <c r="H359" s="5"/>
      <c r="J359" s="172"/>
      <c r="K359" s="14"/>
      <c r="L359" s="19"/>
      <c r="O359" s="14"/>
      <c r="P359" s="14"/>
      <c r="X359" s="26"/>
      <c r="Y359" s="30"/>
      <c r="Z359" s="30"/>
      <c r="AA359" s="25"/>
      <c r="AB359" s="170"/>
      <c r="AF359" s="48"/>
      <c r="AG359" s="204"/>
      <c r="AI359" s="28"/>
      <c r="AL359" s="5"/>
      <c r="AM359" s="13"/>
      <c r="AN359" s="24"/>
    </row>
    <row r="360" spans="1:40" x14ac:dyDescent="0.2">
      <c r="E360" s="25"/>
      <c r="F360" s="25"/>
      <c r="G360" s="5"/>
      <c r="H360" s="5"/>
      <c r="J360" s="172"/>
      <c r="Y360" s="30"/>
      <c r="Z360" s="30"/>
      <c r="AB360" s="170"/>
      <c r="AF360" s="48"/>
      <c r="AG360" s="204"/>
      <c r="AI360" s="28"/>
      <c r="AL360" s="5"/>
      <c r="AM360" s="13"/>
      <c r="AN360" s="24"/>
    </row>
    <row r="361" spans="1:40" x14ac:dyDescent="0.2">
      <c r="A361" s="15"/>
      <c r="E361" s="25"/>
      <c r="F361" s="25"/>
      <c r="G361" s="5"/>
      <c r="H361" s="5"/>
      <c r="J361" s="172"/>
      <c r="R361" s="172"/>
      <c r="Y361" s="30"/>
      <c r="Z361" s="30"/>
      <c r="AB361" s="170"/>
      <c r="AL361" s="5"/>
      <c r="AM361" s="13"/>
      <c r="AN361" s="24"/>
    </row>
    <row r="362" spans="1:40" x14ac:dyDescent="0.2">
      <c r="E362" s="27"/>
      <c r="F362" s="27"/>
      <c r="G362" s="5"/>
      <c r="H362" s="5"/>
      <c r="I362" s="1"/>
      <c r="J362" s="18"/>
      <c r="Y362" s="30"/>
      <c r="Z362" s="30"/>
      <c r="AB362" s="170"/>
      <c r="AL362" s="5"/>
      <c r="AM362" s="13"/>
      <c r="AN362" s="24"/>
    </row>
    <row r="363" spans="1:40" x14ac:dyDescent="0.2">
      <c r="A363" s="14"/>
      <c r="B363" s="126" t="s">
        <v>147</v>
      </c>
      <c r="C363" s="56" t="s">
        <v>104</v>
      </c>
      <c r="D363" s="56"/>
      <c r="E363" s="56"/>
      <c r="F363" s="56"/>
      <c r="G363" s="55"/>
      <c r="H363" s="55"/>
      <c r="I363" s="57"/>
      <c r="J363" s="68"/>
      <c r="K363" s="55"/>
      <c r="L363" s="69"/>
      <c r="M363" s="58"/>
      <c r="N363" s="58"/>
      <c r="O363" s="55"/>
      <c r="P363" s="55"/>
      <c r="Q363" s="57"/>
      <c r="R363" s="70"/>
      <c r="S363" s="55"/>
      <c r="T363" s="58"/>
      <c r="U363" s="58"/>
      <c r="V363" s="58"/>
      <c r="W363" s="55"/>
      <c r="X363" s="71"/>
      <c r="Y363" s="72">
        <f>SUM(Y364:Y372)</f>
        <v>0</v>
      </c>
      <c r="Z363" s="72">
        <f>SUM(Z364:Z372)</f>
        <v>0</v>
      </c>
      <c r="AB363" s="168">
        <f>IF(A363&gt;0,+V363-N363,0)</f>
        <v>0</v>
      </c>
      <c r="AC363" s="168">
        <f ca="1">+AB363-(AB363*$AA$1)</f>
        <v>0</v>
      </c>
      <c r="AL363" s="5"/>
      <c r="AM363" s="13"/>
      <c r="AN363" s="24"/>
    </row>
    <row r="364" spans="1:40" x14ac:dyDescent="0.2">
      <c r="A364" s="15"/>
      <c r="E364" s="25"/>
      <c r="F364" s="25"/>
      <c r="G364" s="5"/>
      <c r="H364" s="5"/>
      <c r="J364" s="172"/>
      <c r="R364" s="172"/>
      <c r="Y364" s="30"/>
      <c r="Z364" s="30"/>
      <c r="AB364" s="170"/>
      <c r="AL364" s="5"/>
      <c r="AM364" s="13"/>
      <c r="AN364" s="24"/>
    </row>
    <row r="365" spans="1:40" x14ac:dyDescent="0.2">
      <c r="A365" s="14"/>
      <c r="B365" s="14"/>
      <c r="C365" s="14"/>
      <c r="E365" s="25"/>
      <c r="F365" s="25"/>
      <c r="G365" s="5"/>
      <c r="H365" s="5"/>
      <c r="I365" s="16"/>
      <c r="J365" s="172"/>
      <c r="K365" s="14"/>
      <c r="L365" s="19"/>
      <c r="O365" s="14"/>
      <c r="P365" s="14"/>
      <c r="W365" s="14"/>
      <c r="X365" s="17"/>
      <c r="Y365" s="30"/>
      <c r="Z365" s="30"/>
      <c r="AA365" s="14"/>
      <c r="AB365" s="170"/>
      <c r="AF365" s="48"/>
      <c r="AG365" s="204"/>
      <c r="AI365" s="28"/>
      <c r="AL365" s="5"/>
      <c r="AM365" s="13"/>
      <c r="AN365" s="24"/>
    </row>
    <row r="366" spans="1:40" x14ac:dyDescent="0.2">
      <c r="E366" s="25"/>
      <c r="F366" s="25"/>
      <c r="G366" s="5"/>
      <c r="H366" s="5"/>
      <c r="J366" s="172"/>
      <c r="Y366" s="30"/>
      <c r="Z366" s="30"/>
      <c r="AB366" s="170"/>
      <c r="AF366" s="48"/>
      <c r="AG366" s="204"/>
      <c r="AI366" s="28"/>
      <c r="AL366" s="5"/>
      <c r="AM366" s="13"/>
      <c r="AN366" s="24"/>
    </row>
    <row r="367" spans="1:40" x14ac:dyDescent="0.2">
      <c r="A367" s="14"/>
      <c r="B367" s="14"/>
      <c r="C367" s="14"/>
      <c r="E367" s="25"/>
      <c r="F367" s="25"/>
      <c r="G367" s="5"/>
      <c r="H367" s="5"/>
      <c r="I367" s="16"/>
      <c r="J367" s="172"/>
      <c r="K367" s="14"/>
      <c r="L367" s="19"/>
      <c r="O367" s="14"/>
      <c r="P367" s="14"/>
      <c r="W367" s="14"/>
      <c r="X367" s="17"/>
      <c r="Y367" s="30"/>
      <c r="Z367" s="30"/>
      <c r="AB367" s="170"/>
      <c r="AF367" s="48"/>
      <c r="AG367" s="204"/>
      <c r="AI367" s="28"/>
      <c r="AL367" s="5"/>
      <c r="AM367" s="13"/>
      <c r="AN367" s="24"/>
    </row>
    <row r="368" spans="1:40" x14ac:dyDescent="0.2">
      <c r="A368" s="14"/>
      <c r="B368" s="14"/>
      <c r="C368" s="14"/>
      <c r="E368" s="25"/>
      <c r="F368" s="25"/>
      <c r="G368" s="5"/>
      <c r="H368" s="5"/>
      <c r="I368" s="16"/>
      <c r="J368" s="172"/>
      <c r="K368" s="14"/>
      <c r="L368" s="19"/>
      <c r="O368" s="14"/>
      <c r="P368" s="14"/>
      <c r="W368" s="14"/>
      <c r="X368" s="17"/>
      <c r="Y368" s="30"/>
      <c r="Z368" s="30"/>
      <c r="AB368" s="170"/>
      <c r="AF368" s="48"/>
      <c r="AG368" s="204"/>
      <c r="AI368" s="28"/>
      <c r="AL368" s="5"/>
      <c r="AM368" s="13"/>
      <c r="AN368" s="24"/>
    </row>
    <row r="369" spans="1:40" x14ac:dyDescent="0.2">
      <c r="A369" s="14"/>
      <c r="B369" s="14"/>
      <c r="C369" s="14"/>
      <c r="E369" s="27"/>
      <c r="F369" s="27"/>
      <c r="G369" s="5"/>
      <c r="H369" s="5"/>
      <c r="I369" s="16"/>
      <c r="J369" s="172"/>
      <c r="K369" s="14"/>
      <c r="L369" s="19"/>
      <c r="O369" s="14"/>
      <c r="P369" s="14"/>
      <c r="W369" s="14"/>
      <c r="Y369" s="30"/>
      <c r="Z369" s="30"/>
      <c r="AB369" s="170"/>
      <c r="AF369" s="48"/>
      <c r="AG369" s="204"/>
      <c r="AI369" s="28"/>
      <c r="AL369" s="5"/>
      <c r="AM369" s="13"/>
      <c r="AN369" s="24"/>
    </row>
    <row r="370" spans="1:40" x14ac:dyDescent="0.2">
      <c r="A370" s="14"/>
      <c r="B370" s="14"/>
      <c r="C370" s="14"/>
      <c r="E370" s="25"/>
      <c r="F370" s="25"/>
      <c r="G370" s="5"/>
      <c r="H370" s="5"/>
      <c r="I370" s="16"/>
      <c r="J370" s="172"/>
      <c r="K370" s="14"/>
      <c r="L370" s="19"/>
      <c r="O370" s="14"/>
      <c r="P370" s="14"/>
      <c r="T370" s="246"/>
      <c r="W370" s="14"/>
      <c r="X370" s="17"/>
      <c r="Y370" s="30"/>
      <c r="Z370" s="30"/>
      <c r="AA370" s="14"/>
      <c r="AB370" s="170"/>
      <c r="AF370" s="48"/>
      <c r="AG370" s="204"/>
      <c r="AI370" s="28"/>
      <c r="AL370" s="5"/>
      <c r="AM370" s="13"/>
      <c r="AN370" s="24"/>
    </row>
    <row r="371" spans="1:40" x14ac:dyDescent="0.2">
      <c r="A371" s="14"/>
      <c r="B371" s="14"/>
      <c r="C371" s="14"/>
      <c r="E371" s="25"/>
      <c r="F371" s="25"/>
      <c r="G371" s="5"/>
      <c r="H371" s="5"/>
      <c r="I371" s="16"/>
      <c r="J371" s="172"/>
      <c r="K371" s="14"/>
      <c r="L371" s="19"/>
      <c r="O371" s="14"/>
      <c r="P371" s="14"/>
      <c r="W371" s="14"/>
      <c r="X371" s="17"/>
      <c r="Y371" s="30"/>
      <c r="Z371" s="30"/>
      <c r="AA371" s="14"/>
      <c r="AB371" s="170"/>
      <c r="AF371" s="48"/>
      <c r="AG371" s="204"/>
      <c r="AI371" s="28"/>
      <c r="AL371" s="5"/>
      <c r="AM371" s="13"/>
      <c r="AN371" s="24"/>
    </row>
    <row r="372" spans="1:40" x14ac:dyDescent="0.2">
      <c r="A372" s="15"/>
      <c r="E372" s="25"/>
      <c r="F372" s="25"/>
      <c r="G372" s="5"/>
      <c r="H372" s="5"/>
      <c r="J372" s="172"/>
      <c r="K372" s="14"/>
      <c r="L372" s="19"/>
      <c r="O372" s="14"/>
      <c r="P372" s="14"/>
      <c r="R372" s="172"/>
      <c r="X372" s="26"/>
      <c r="Y372" s="30"/>
      <c r="Z372" s="30"/>
      <c r="AA372" s="25"/>
      <c r="AB372" s="170"/>
      <c r="AL372" s="5"/>
      <c r="AM372" s="13"/>
      <c r="AN372" s="24"/>
    </row>
    <row r="373" spans="1:40" x14ac:dyDescent="0.2">
      <c r="A373" s="14"/>
      <c r="B373" s="126" t="s">
        <v>153</v>
      </c>
      <c r="C373" s="56" t="s">
        <v>104</v>
      </c>
      <c r="D373" s="56"/>
      <c r="E373" s="56"/>
      <c r="F373" s="56"/>
      <c r="G373" s="55"/>
      <c r="H373" s="55"/>
      <c r="I373" s="57"/>
      <c r="J373" s="68"/>
      <c r="K373" s="55"/>
      <c r="L373" s="69"/>
      <c r="M373" s="58"/>
      <c r="N373" s="58"/>
      <c r="O373" s="55"/>
      <c r="P373" s="55"/>
      <c r="Q373" s="57"/>
      <c r="R373" s="70"/>
      <c r="S373" s="55"/>
      <c r="T373" s="58"/>
      <c r="U373" s="58"/>
      <c r="V373" s="58"/>
      <c r="W373" s="55"/>
      <c r="X373" s="71"/>
      <c r="Y373" s="72">
        <f>SUM(Y374:Y379)</f>
        <v>0</v>
      </c>
      <c r="Z373" s="72">
        <f>SUM(Z374:Z379)</f>
        <v>0</v>
      </c>
      <c r="AB373" s="168">
        <f>IF(A373&gt;0,+V373-N373,0)</f>
        <v>0</v>
      </c>
      <c r="AC373" s="168">
        <f ca="1">+AB373-(AB373*$AA$1)</f>
        <v>0</v>
      </c>
      <c r="AL373" s="5"/>
      <c r="AM373" s="13"/>
      <c r="AN373" s="24"/>
    </row>
    <row r="374" spans="1:40" x14ac:dyDescent="0.2">
      <c r="A374" s="14"/>
      <c r="B374" s="14"/>
      <c r="C374" s="14"/>
      <c r="D374" s="14"/>
      <c r="E374" s="25"/>
      <c r="F374" s="25"/>
      <c r="G374" s="5"/>
      <c r="H374" s="5"/>
      <c r="I374" s="16"/>
      <c r="J374" s="172"/>
      <c r="K374" s="14"/>
      <c r="L374" s="19"/>
      <c r="O374" s="14"/>
      <c r="P374" s="14"/>
      <c r="R374" s="172"/>
      <c r="W374" s="14"/>
      <c r="X374" s="17"/>
      <c r="Y374" s="30"/>
      <c r="Z374" s="30"/>
      <c r="AA374" s="14"/>
      <c r="AB374" s="170"/>
      <c r="AL374" s="5"/>
      <c r="AM374" s="13"/>
      <c r="AN374" s="24"/>
    </row>
    <row r="375" spans="1:40" x14ac:dyDescent="0.2">
      <c r="E375" s="25"/>
      <c r="F375" s="25"/>
      <c r="G375" s="5"/>
      <c r="H375" s="5"/>
      <c r="J375" s="172"/>
      <c r="Y375" s="30"/>
      <c r="Z375" s="30"/>
      <c r="AB375" s="170"/>
      <c r="AF375" s="48"/>
      <c r="AG375" s="204"/>
      <c r="AI375" s="28"/>
      <c r="AL375" s="5"/>
      <c r="AM375" s="13"/>
      <c r="AN375" s="24"/>
    </row>
    <row r="376" spans="1:40" ht="15" customHeight="1" x14ac:dyDescent="0.2">
      <c r="A376" s="15"/>
      <c r="E376" s="27"/>
      <c r="F376" s="27"/>
      <c r="G376" s="5"/>
      <c r="H376" s="5"/>
      <c r="J376" s="18"/>
      <c r="W376" s="14"/>
      <c r="Y376" s="30"/>
      <c r="Z376" s="30"/>
      <c r="AB376" s="170"/>
      <c r="AF376" s="48"/>
      <c r="AG376" s="204"/>
      <c r="AI376" s="28"/>
      <c r="AL376" s="5"/>
      <c r="AM376" s="13"/>
      <c r="AN376" s="24"/>
    </row>
    <row r="377" spans="1:40" x14ac:dyDescent="0.2">
      <c r="A377" s="14"/>
      <c r="B377" s="14"/>
      <c r="C377" s="14"/>
      <c r="E377" s="25"/>
      <c r="F377" s="25"/>
      <c r="G377" s="5"/>
      <c r="H377" s="5"/>
      <c r="I377" s="16"/>
      <c r="J377" s="172"/>
      <c r="K377" s="14"/>
      <c r="L377" s="19"/>
      <c r="O377" s="14"/>
      <c r="P377" s="14"/>
      <c r="W377" s="14"/>
      <c r="Y377" s="30"/>
      <c r="Z377" s="30"/>
      <c r="AB377" s="170"/>
      <c r="AF377" s="48"/>
      <c r="AG377" s="204"/>
      <c r="AI377" s="28"/>
      <c r="AL377" s="5"/>
      <c r="AM377" s="13"/>
      <c r="AN377" s="24"/>
    </row>
    <row r="378" spans="1:40" x14ac:dyDescent="0.2">
      <c r="A378" s="15"/>
      <c r="E378" s="25"/>
      <c r="F378" s="25"/>
      <c r="G378" s="5"/>
      <c r="H378" s="5"/>
      <c r="J378" s="172"/>
      <c r="R378" s="172"/>
      <c r="X378" s="17"/>
      <c r="Y378" s="30"/>
      <c r="Z378" s="30"/>
      <c r="AA378" s="14"/>
      <c r="AB378" s="170"/>
      <c r="AL378" s="5"/>
      <c r="AM378" s="13"/>
      <c r="AN378" s="24"/>
    </row>
    <row r="379" spans="1:40" x14ac:dyDescent="0.2">
      <c r="E379" s="25"/>
      <c r="F379" s="25"/>
      <c r="G379" s="5"/>
      <c r="H379" s="5"/>
      <c r="J379" s="172"/>
      <c r="R379" s="172"/>
      <c r="X379" s="17"/>
      <c r="Y379" s="30"/>
      <c r="Z379" s="30"/>
      <c r="AA379" s="14"/>
      <c r="AB379" s="170"/>
      <c r="AL379" s="5"/>
      <c r="AM379" s="13"/>
      <c r="AN379" s="24"/>
    </row>
    <row r="380" spans="1:40" x14ac:dyDescent="0.2">
      <c r="A380" s="14"/>
      <c r="B380" s="126" t="s">
        <v>161</v>
      </c>
      <c r="C380" s="56" t="s">
        <v>104</v>
      </c>
      <c r="D380" s="56"/>
      <c r="E380" s="56"/>
      <c r="F380" s="56"/>
      <c r="G380" s="55"/>
      <c r="H380" s="55"/>
      <c r="I380" s="57"/>
      <c r="J380" s="68"/>
      <c r="K380" s="55"/>
      <c r="L380" s="69"/>
      <c r="M380" s="58"/>
      <c r="N380" s="58"/>
      <c r="O380" s="55"/>
      <c r="P380" s="55"/>
      <c r="Q380" s="57"/>
      <c r="R380" s="70"/>
      <c r="S380" s="55"/>
      <c r="T380" s="58"/>
      <c r="U380" s="58"/>
      <c r="V380" s="58"/>
      <c r="W380" s="55"/>
      <c r="X380" s="71"/>
      <c r="Y380" s="72">
        <f>SUM(Y381:Y391)</f>
        <v>0</v>
      </c>
      <c r="Z380" s="72">
        <f>SUM(Z381:Z391)</f>
        <v>0</v>
      </c>
      <c r="AB380" s="168">
        <f>IF(A380&gt;0,+V380-N380,0)</f>
        <v>0</v>
      </c>
      <c r="AC380" s="168">
        <f ca="1">+AB380-(AB380*$AA$1)</f>
        <v>0</v>
      </c>
      <c r="AL380" s="5"/>
      <c r="AM380" s="13"/>
      <c r="AN380" s="24"/>
    </row>
    <row r="381" spans="1:40" ht="15" customHeight="1" x14ac:dyDescent="0.2">
      <c r="E381" s="25"/>
      <c r="F381" s="25"/>
      <c r="G381" s="5"/>
      <c r="H381" s="5"/>
      <c r="J381" s="172"/>
      <c r="R381" s="172"/>
      <c r="Y381" s="30"/>
      <c r="Z381" s="30"/>
      <c r="AB381" s="170"/>
      <c r="AL381" s="5"/>
      <c r="AM381" s="13"/>
      <c r="AN381" s="24"/>
    </row>
    <row r="382" spans="1:40" x14ac:dyDescent="0.2">
      <c r="A382" s="15"/>
      <c r="E382" s="25"/>
      <c r="F382" s="25"/>
      <c r="G382" s="5"/>
      <c r="H382" s="5"/>
      <c r="J382" s="172"/>
      <c r="W382" s="14"/>
      <c r="Y382" s="30"/>
      <c r="Z382" s="30"/>
      <c r="AB382" s="170"/>
      <c r="AF382" s="48"/>
      <c r="AG382" s="204"/>
      <c r="AI382" s="28"/>
      <c r="AL382" s="5"/>
      <c r="AM382" s="13"/>
      <c r="AN382" s="24"/>
    </row>
    <row r="383" spans="1:40" x14ac:dyDescent="0.2">
      <c r="E383" s="25"/>
      <c r="F383" s="25"/>
      <c r="G383" s="5"/>
      <c r="H383" s="5"/>
      <c r="J383" s="172"/>
      <c r="Y383" s="30"/>
      <c r="Z383" s="30"/>
      <c r="AB383" s="170"/>
      <c r="AF383" s="48"/>
      <c r="AG383" s="204"/>
      <c r="AI383" s="28"/>
      <c r="AL383" s="5"/>
      <c r="AM383" s="13"/>
      <c r="AN383" s="24"/>
    </row>
    <row r="384" spans="1:40" x14ac:dyDescent="0.2">
      <c r="A384" s="14"/>
      <c r="B384" s="14"/>
      <c r="C384" s="14"/>
      <c r="E384" s="25"/>
      <c r="F384" s="25"/>
      <c r="G384" s="5"/>
      <c r="H384" s="5"/>
      <c r="I384" s="16"/>
      <c r="J384" s="172"/>
      <c r="K384" s="14"/>
      <c r="L384" s="19"/>
      <c r="O384" s="14"/>
      <c r="P384" s="14"/>
      <c r="W384" s="14"/>
      <c r="X384" s="17"/>
      <c r="Y384" s="30"/>
      <c r="Z384" s="30"/>
      <c r="AA384" s="14"/>
      <c r="AB384" s="331"/>
      <c r="AC384" s="249"/>
      <c r="AF384" s="48"/>
      <c r="AG384" s="204"/>
      <c r="AI384" s="28"/>
      <c r="AL384" s="5"/>
      <c r="AM384" s="13"/>
      <c r="AN384" s="24"/>
    </row>
    <row r="385" spans="1:40" x14ac:dyDescent="0.2">
      <c r="E385" s="25"/>
      <c r="F385" s="25"/>
      <c r="G385" s="5"/>
      <c r="H385" s="5"/>
      <c r="J385" s="172"/>
      <c r="Y385" s="30"/>
      <c r="Z385" s="30"/>
      <c r="AB385" s="170"/>
      <c r="AF385" s="48"/>
      <c r="AG385" s="204"/>
      <c r="AI385" s="28"/>
      <c r="AL385" s="5"/>
      <c r="AM385" s="13"/>
      <c r="AN385" s="24"/>
    </row>
    <row r="386" spans="1:40" ht="15" customHeight="1" x14ac:dyDescent="0.2">
      <c r="E386" s="25"/>
      <c r="F386" s="25"/>
      <c r="G386" s="5"/>
      <c r="H386" s="5"/>
      <c r="J386" s="172"/>
      <c r="R386" s="172"/>
      <c r="Y386" s="30"/>
      <c r="Z386" s="30"/>
      <c r="AB386" s="170"/>
    </row>
    <row r="387" spans="1:40" x14ac:dyDescent="0.2">
      <c r="A387" s="14"/>
      <c r="B387" s="14"/>
      <c r="C387" s="14"/>
      <c r="D387" s="14"/>
      <c r="E387" s="25"/>
      <c r="F387" s="25"/>
      <c r="G387" s="5"/>
      <c r="H387" s="5"/>
      <c r="I387" s="16"/>
      <c r="J387" s="172"/>
      <c r="K387" s="14"/>
      <c r="L387" s="19"/>
      <c r="O387" s="14"/>
      <c r="P387" s="14"/>
      <c r="R387" s="172"/>
      <c r="W387" s="14"/>
      <c r="X387" s="17"/>
      <c r="Y387" s="30"/>
      <c r="Z387" s="30"/>
      <c r="AA387" s="14"/>
      <c r="AB387" s="170"/>
    </row>
    <row r="388" spans="1:40" x14ac:dyDescent="0.2">
      <c r="A388" s="14"/>
      <c r="B388" s="14"/>
      <c r="C388" s="14"/>
      <c r="D388" s="14"/>
      <c r="E388" s="27"/>
      <c r="F388" s="27"/>
      <c r="G388" s="5"/>
      <c r="H388" s="5"/>
      <c r="I388" s="16"/>
      <c r="J388" s="18"/>
      <c r="K388" s="14"/>
      <c r="L388" s="19"/>
      <c r="M388" s="5">
        <f ca="1">SUM(N266:N381)</f>
        <v>197086.76510080002</v>
      </c>
      <c r="O388" s="14"/>
      <c r="P388" s="14"/>
      <c r="Q388" s="5">
        <f ca="1">+T388-M388</f>
        <v>47207.838427199982</v>
      </c>
      <c r="T388" s="5">
        <f ca="1">SUM(V269:V387)</f>
        <v>244294.60352800001</v>
      </c>
      <c r="W388" s="14"/>
      <c r="X388" s="17"/>
      <c r="Y388" s="30"/>
      <c r="Z388" s="30"/>
      <c r="AA388" s="14"/>
      <c r="AB388" s="170"/>
    </row>
    <row r="389" spans="1:40" x14ac:dyDescent="0.2">
      <c r="A389" s="14"/>
      <c r="B389" s="14"/>
      <c r="C389" s="14"/>
      <c r="D389" s="14"/>
      <c r="E389" s="27"/>
      <c r="F389" s="27"/>
      <c r="G389" s="5"/>
      <c r="H389" s="5"/>
      <c r="I389" s="16"/>
      <c r="J389" s="18"/>
      <c r="K389" s="14"/>
      <c r="L389" s="19"/>
      <c r="O389" s="14"/>
      <c r="P389" s="14"/>
      <c r="W389" s="14"/>
      <c r="X389" s="17"/>
      <c r="Y389" s="30"/>
      <c r="Z389" s="30"/>
      <c r="AA389" s="14"/>
      <c r="AB389" s="170"/>
    </row>
    <row r="390" spans="1:40" x14ac:dyDescent="0.2">
      <c r="E390" s="25"/>
      <c r="F390" s="25"/>
      <c r="G390" s="5"/>
      <c r="H390" s="5"/>
      <c r="J390" s="172"/>
      <c r="Q390" s="5">
        <f ca="1">+Q388/2</f>
        <v>23603.919213599991</v>
      </c>
      <c r="R390" s="172"/>
      <c r="Y390" s="30"/>
      <c r="Z390" s="30"/>
      <c r="AB390" s="170"/>
    </row>
    <row r="391" spans="1:40" x14ac:dyDescent="0.2">
      <c r="E391" s="25"/>
      <c r="F391" s="25"/>
      <c r="G391" s="5"/>
      <c r="H391" s="5"/>
      <c r="J391" s="172"/>
      <c r="M391" s="371" t="s">
        <v>117</v>
      </c>
      <c r="N391" s="371"/>
      <c r="R391" s="172"/>
      <c r="U391" s="371" t="s">
        <v>186</v>
      </c>
      <c r="V391" s="371"/>
      <c r="Y391" s="30"/>
      <c r="Z391" s="30"/>
      <c r="AB391" s="1"/>
    </row>
    <row r="392" spans="1:40" x14ac:dyDescent="0.2">
      <c r="A392" s="15"/>
      <c r="F392" s="25"/>
      <c r="G392" s="5"/>
      <c r="H392" s="5"/>
      <c r="M392" s="247" t="s">
        <v>172</v>
      </c>
      <c r="N392" s="247" t="s">
        <v>173</v>
      </c>
      <c r="R392" s="18"/>
      <c r="S392" s="24"/>
      <c r="U392" s="247" t="s">
        <v>172</v>
      </c>
      <c r="V392" s="247" t="s">
        <v>173</v>
      </c>
      <c r="X392" s="17"/>
      <c r="Y392" s="30"/>
      <c r="Z392" s="30"/>
      <c r="AA392" s="14"/>
      <c r="AB392" s="170"/>
    </row>
    <row r="393" spans="1:40" s="28" customFormat="1" x14ac:dyDescent="0.2">
      <c r="A393" s="1"/>
      <c r="B393" s="1"/>
      <c r="C393" s="1"/>
      <c r="D393" s="1"/>
      <c r="E393" s="1"/>
      <c r="F393" s="1"/>
      <c r="G393" s="1"/>
      <c r="H393" s="1"/>
      <c r="I393" s="4"/>
      <c r="J393" s="8"/>
      <c r="K393" s="1"/>
      <c r="L393" s="10"/>
      <c r="M393" s="20">
        <f ca="1">SUM(M5:M392)-M259</f>
        <v>2687415.8674808005</v>
      </c>
      <c r="N393" s="20">
        <f ca="1">SUM(N5:N392)-N259</f>
        <v>2383849.4326992431</v>
      </c>
      <c r="O393" s="5"/>
      <c r="P393" s="5"/>
      <c r="Q393" s="5"/>
      <c r="R393" s="5">
        <f ca="1">+N393-V393</f>
        <v>252485.79037970258</v>
      </c>
      <c r="S393" s="5"/>
      <c r="T393" s="5"/>
      <c r="U393" s="20">
        <f ca="1">SUM(U5:U258)</f>
        <v>2233586.5767799998</v>
      </c>
      <c r="V393" s="20">
        <f ca="1">SUM(V5:V258)</f>
        <v>2131363.6423195405</v>
      </c>
      <c r="W393" s="1"/>
      <c r="X393"/>
      <c r="Y393" s="73">
        <f ca="1">SUM(Y5:Y392)-Y261-Y271-Y287-Y297-Y308-Y324-Y334-Y346-Y355-Y363-Y373-Y380</f>
        <v>87587.883508900006</v>
      </c>
      <c r="Z393" s="73">
        <f ca="1">SUM(Z5:Z392)-Z261-Z271-Z287-Z297-Z308-Z324-Z334-Z346-Z355-Z363-Z373-Z380</f>
        <v>69209.53236732207</v>
      </c>
      <c r="AA393" s="5"/>
      <c r="AB393" s="171">
        <f ca="1">SUM(AB5:AB259)</f>
        <v>-8029.5451489019688</v>
      </c>
      <c r="AC393" s="171">
        <f ca="1">SUM(AC5:AC257)</f>
        <v>-6344.7253502973308</v>
      </c>
      <c r="AD393" s="28">
        <f>SUM(AD262:AD392)</f>
        <v>12.069901384300712</v>
      </c>
      <c r="AE393" s="28">
        <f ca="1">SUM(AE262:AE392)</f>
        <v>1</v>
      </c>
      <c r="AF393" s="28" t="s">
        <v>113</v>
      </c>
      <c r="AN393" s="5">
        <f ca="1">SUM(AN262:AN392)</f>
        <v>1206.7463997183131</v>
      </c>
    </row>
    <row r="394" spans="1:40" s="28" customFormat="1" ht="17" thickBot="1" x14ac:dyDescent="0.25">
      <c r="A394" s="1"/>
      <c r="B394" s="1"/>
      <c r="C394" s="1"/>
      <c r="D394" s="1"/>
      <c r="E394" s="36"/>
      <c r="F394" s="1"/>
      <c r="G394" s="1"/>
      <c r="H394" s="1"/>
      <c r="I394" s="4"/>
      <c r="J394" s="8"/>
      <c r="K394" s="1"/>
      <c r="L394" s="10"/>
      <c r="M394" s="5"/>
      <c r="N394" s="5"/>
      <c r="O394" s="1"/>
      <c r="P394" s="1"/>
      <c r="Q394" s="4"/>
      <c r="R394" s="8"/>
      <c r="S394" s="1"/>
      <c r="T394" s="5"/>
      <c r="U394" s="5"/>
      <c r="V394" s="5"/>
      <c r="W394" s="1"/>
      <c r="X394" s="1"/>
      <c r="Y394" s="5"/>
      <c r="Z394" s="5"/>
      <c r="AA394" s="1"/>
      <c r="AC394" s="168"/>
      <c r="AE394" s="48"/>
      <c r="AN394" s="320"/>
    </row>
    <row r="395" spans="1:40" ht="17" thickBot="1" x14ac:dyDescent="0.25">
      <c r="R395" s="191" t="s">
        <v>93</v>
      </c>
      <c r="S395" s="369" t="s">
        <v>92</v>
      </c>
      <c r="T395" s="370"/>
      <c r="U395" s="367" t="s">
        <v>89</v>
      </c>
      <c r="V395" s="368"/>
    </row>
    <row r="396" spans="1:40" ht="17" thickBot="1" x14ac:dyDescent="0.25">
      <c r="B396" s="1" t="s">
        <v>22</v>
      </c>
      <c r="S396" s="33" t="s">
        <v>32</v>
      </c>
      <c r="T396" s="21" t="s">
        <v>33</v>
      </c>
      <c r="U396" s="21" t="s">
        <v>90</v>
      </c>
      <c r="V396" s="21" t="s">
        <v>91</v>
      </c>
      <c r="Y396" s="1"/>
      <c r="Z396" s="1"/>
      <c r="AC396" s="361">
        <v>46108</v>
      </c>
      <c r="AD396" s="362"/>
      <c r="AE396" s="361">
        <f ca="1">TODAY()</f>
        <v>46140</v>
      </c>
      <c r="AF396" s="362"/>
      <c r="AH396" s="36" t="s">
        <v>45</v>
      </c>
    </row>
    <row r="397" spans="1:40" s="28" customFormat="1" x14ac:dyDescent="0.2">
      <c r="A397" s="1"/>
      <c r="B397" s="1"/>
      <c r="C397" s="1"/>
      <c r="D397" s="1"/>
      <c r="E397" s="1"/>
      <c r="F397" s="1"/>
      <c r="G397" s="1" t="s">
        <v>26</v>
      </c>
      <c r="H397" s="1"/>
      <c r="I397" s="4">
        <v>45138</v>
      </c>
      <c r="J397" s="34">
        <v>9013.8799999999992</v>
      </c>
      <c r="K397" s="1" t="s">
        <v>23</v>
      </c>
      <c r="L397" s="10" t="s">
        <v>25</v>
      </c>
      <c r="M397" s="10">
        <v>1.1093999999999999</v>
      </c>
      <c r="N397" s="5"/>
      <c r="O397" s="1"/>
      <c r="P397" s="1"/>
      <c r="Q397" s="4"/>
      <c r="R397" s="363">
        <f ca="1">SUM(N262:N379)</f>
        <v>244456.24523080001</v>
      </c>
      <c r="S397" s="185">
        <f ca="1">+Y393</f>
        <v>87587.883508900006</v>
      </c>
      <c r="T397" s="185">
        <f ca="1">+Z393</f>
        <v>69209.53236732207</v>
      </c>
      <c r="U397" s="186">
        <f ca="1">+S397/$R$397</f>
        <v>0.35829677178509023</v>
      </c>
      <c r="V397" s="187">
        <f ca="1">+T397/$R$397</f>
        <v>0.28311623743536946</v>
      </c>
      <c r="W397" s="309" t="s">
        <v>94</v>
      </c>
      <c r="X397"/>
      <c r="AA397" s="1"/>
      <c r="AC397" s="351" t="s">
        <v>32</v>
      </c>
      <c r="AD397" s="352" t="s">
        <v>33</v>
      </c>
      <c r="AE397" s="351" t="s">
        <v>32</v>
      </c>
      <c r="AF397" s="352" t="s">
        <v>33</v>
      </c>
      <c r="AH397" s="28" t="s">
        <v>33</v>
      </c>
    </row>
    <row r="398" spans="1:40" s="28" customFormat="1" ht="17" thickBot="1" x14ac:dyDescent="0.25">
      <c r="A398" s="1"/>
      <c r="B398" s="1"/>
      <c r="C398" s="1"/>
      <c r="D398" s="1"/>
      <c r="E398" s="1"/>
      <c r="F398" s="1"/>
      <c r="G398" s="1"/>
      <c r="H398" s="1"/>
      <c r="I398" s="4"/>
      <c r="J398" s="34">
        <f>+J397*M397</f>
        <v>9999.9984719999993</v>
      </c>
      <c r="K398" s="1" t="s">
        <v>24</v>
      </c>
      <c r="L398" s="10"/>
      <c r="M398" s="5"/>
      <c r="N398" s="5"/>
      <c r="O398" s="1"/>
      <c r="P398" s="1"/>
      <c r="Q398" s="4"/>
      <c r="R398" s="364"/>
      <c r="S398" s="188">
        <f ca="1">+S397+S407</f>
        <v>97645.851717900005</v>
      </c>
      <c r="T398" s="188">
        <f ca="1">+T397+U407</f>
        <v>76838.513389340864</v>
      </c>
      <c r="U398" s="189">
        <f ca="1">+S398/$R$397</f>
        <v>0.3994410190899767</v>
      </c>
      <c r="V398" s="190">
        <f ca="1">+T398/$R$397</f>
        <v>0.31432419865892497</v>
      </c>
      <c r="W398" s="308" t="s">
        <v>154</v>
      </c>
      <c r="X398"/>
      <c r="Y398" s="5"/>
      <c r="Z398" s="5"/>
      <c r="AA398" s="1"/>
      <c r="AB398" s="350" t="s">
        <v>410</v>
      </c>
      <c r="AC398" s="343">
        <f ca="1">64505-Y292-Y301</f>
        <v>52834.09</v>
      </c>
      <c r="AD398" s="344">
        <f ca="1">52249-Z292-Z301</f>
        <v>43026.968469588304</v>
      </c>
      <c r="AE398" s="347">
        <f ca="1">+AB301+AB188+AB189+AB190+AB191+AB44+AB65+AB197+AB219</f>
        <v>47373.683061999996</v>
      </c>
      <c r="AF398" s="347">
        <f ca="1">+AC301+AC188+AC189+AC190+AC191+AC44+AC65+AC197+AC219</f>
        <v>37433.379137487544</v>
      </c>
      <c r="AH398" s="5">
        <f ca="1">+AF398-AD398</f>
        <v>-5593.5893321007607</v>
      </c>
    </row>
    <row r="399" spans="1:40" s="28" customFormat="1" ht="22" thickBot="1" x14ac:dyDescent="0.3">
      <c r="A399" s="1"/>
      <c r="B399" s="1"/>
      <c r="C399" s="1"/>
      <c r="D399" s="1"/>
      <c r="E399" s="1"/>
      <c r="F399" s="1"/>
      <c r="G399" s="1"/>
      <c r="H399" s="1"/>
      <c r="I399" s="4"/>
      <c r="J399" s="34"/>
      <c r="K399" s="1"/>
      <c r="L399" s="10"/>
      <c r="M399" s="5"/>
      <c r="N399" s="5"/>
      <c r="O399" s="1"/>
      <c r="P399" s="1"/>
      <c r="Q399" s="4"/>
      <c r="R399" s="180">
        <f ca="1">+N393</f>
        <v>2383849.4326992431</v>
      </c>
      <c r="S399" s="181">
        <f ca="1">+S415</f>
        <v>89616.306568998029</v>
      </c>
      <c r="T399" s="182">
        <f ca="1">+U415</f>
        <v>72163.078039043525</v>
      </c>
      <c r="U399" s="183">
        <f ca="1">+S415/R399</f>
        <v>3.7593106905046893E-2</v>
      </c>
      <c r="V399" s="184">
        <f ca="1">+U415/R399</f>
        <v>3.0271659379650064E-2</v>
      </c>
      <c r="W399" s="1" t="s">
        <v>66</v>
      </c>
      <c r="X399"/>
      <c r="Y399" s="5"/>
      <c r="Z399" s="107" t="s">
        <v>100</v>
      </c>
      <c r="AA399" s="1"/>
      <c r="AB399" s="350" t="s">
        <v>411</v>
      </c>
      <c r="AC399" s="343">
        <v>53034</v>
      </c>
      <c r="AD399" s="344">
        <v>42957</v>
      </c>
      <c r="AE399" s="347">
        <f ca="1">+AB125+AB84+AB86+AB87+AB88+AB219+AB206</f>
        <v>55734.04</v>
      </c>
      <c r="AF399" s="342">
        <f ca="1">+AC125+AC84+AC86+AC87+AC88+AC219+AC206</f>
        <v>44039.502849154596</v>
      </c>
      <c r="AH399" s="5">
        <f ca="1">+AF399-AD399</f>
        <v>1082.5028491545963</v>
      </c>
    </row>
    <row r="400" spans="1:40" s="28" customFormat="1" ht="22" thickBot="1" x14ac:dyDescent="0.3">
      <c r="A400" s="1"/>
      <c r="B400" s="1"/>
      <c r="C400" s="1"/>
      <c r="D400" s="1"/>
      <c r="E400" s="1"/>
      <c r="F400" s="1"/>
      <c r="G400" s="1" t="s">
        <v>26</v>
      </c>
      <c r="H400" s="1"/>
      <c r="I400" s="4">
        <v>45169</v>
      </c>
      <c r="J400" s="34">
        <v>9309</v>
      </c>
      <c r="K400" s="1" t="s">
        <v>23</v>
      </c>
      <c r="L400" s="10" t="s">
        <v>25</v>
      </c>
      <c r="M400" s="10">
        <v>1.07423</v>
      </c>
      <c r="R400" s="180">
        <f ca="1">+R399</f>
        <v>2383849.4326992431</v>
      </c>
      <c r="S400" s="181">
        <f ca="1">+S399</f>
        <v>89616.306568998029</v>
      </c>
      <c r="T400" s="182">
        <f ca="1">+T399</f>
        <v>72163.078039043525</v>
      </c>
      <c r="U400" s="183">
        <f ca="1">+S415/R400</f>
        <v>3.7593106905046893E-2</v>
      </c>
      <c r="V400" s="184">
        <f ca="1">+U415/R400</f>
        <v>3.0271659379650064E-2</v>
      </c>
      <c r="W400" s="1"/>
      <c r="X400"/>
      <c r="Y400" s="177" t="s">
        <v>105</v>
      </c>
      <c r="Z400" s="178">
        <f ca="1">+IRPF!D35</f>
        <v>20488.789984378</v>
      </c>
      <c r="AA400" s="1"/>
      <c r="AB400" s="350" t="s">
        <v>413</v>
      </c>
      <c r="AC400" s="345">
        <v>14800</v>
      </c>
      <c r="AD400" s="346">
        <v>11950</v>
      </c>
      <c r="AE400" s="348">
        <f ca="1">+$AB$8+$AB$9+$AB$18+$AB$27+$AB$244</f>
        <v>16745.019999999997</v>
      </c>
      <c r="AF400" s="349">
        <f ca="1">+$AC$8+$AC$9+$AC$18+$AC$27+$AC$244</f>
        <v>13231.45345284768</v>
      </c>
      <c r="AH400" s="5">
        <f ca="1">+AF400-AD400</f>
        <v>1281.4534528476797</v>
      </c>
    </row>
    <row r="401" spans="1:34" s="28" customFormat="1" ht="22" thickBot="1" x14ac:dyDescent="0.3">
      <c r="A401" s="1"/>
      <c r="B401" s="1"/>
      <c r="C401" s="1"/>
      <c r="D401" s="1"/>
      <c r="E401" s="1"/>
      <c r="F401" s="1"/>
      <c r="G401" s="1"/>
      <c r="H401" s="1"/>
      <c r="I401" s="4"/>
      <c r="J401" s="34">
        <f>+J400*M400</f>
        <v>10000.00707</v>
      </c>
      <c r="K401" s="1" t="s">
        <v>24</v>
      </c>
      <c r="L401" s="10"/>
      <c r="M401" s="5"/>
      <c r="N401" s="5"/>
      <c r="O401" s="1"/>
      <c r="P401" s="1"/>
      <c r="Q401" s="4"/>
      <c r="V401" s="5"/>
      <c r="W401" s="1"/>
      <c r="X401"/>
      <c r="Y401" s="176" t="s">
        <v>151</v>
      </c>
      <c r="Z401" s="175">
        <f>+'dividendos 26'!K276</f>
        <v>1669.2900000000004</v>
      </c>
      <c r="AA401" s="1"/>
      <c r="AB401" s="168"/>
      <c r="AC401" s="168"/>
      <c r="AE401" s="48"/>
    </row>
    <row r="402" spans="1:34" s="28" customFormat="1" ht="17" thickBot="1" x14ac:dyDescent="0.25">
      <c r="A402" s="1"/>
      <c r="B402" s="1"/>
      <c r="C402" s="1"/>
      <c r="D402" s="1"/>
      <c r="E402" s="1"/>
      <c r="F402" s="1"/>
      <c r="G402" s="1"/>
      <c r="H402" s="1"/>
      <c r="I402" s="4"/>
      <c r="J402" s="34"/>
      <c r="K402" s="1"/>
      <c r="L402" s="10"/>
      <c r="M402" s="5"/>
      <c r="N402" s="5"/>
      <c r="O402" s="1"/>
      <c r="P402" s="1"/>
      <c r="Q402" s="4"/>
      <c r="V402" s="5"/>
      <c r="W402" s="1"/>
      <c r="X402"/>
      <c r="Y402" s="5"/>
      <c r="Z402" s="5"/>
      <c r="AA402" s="1"/>
      <c r="AB402" s="168"/>
      <c r="AC402" s="168"/>
      <c r="AE402" s="48"/>
      <c r="AH402" s="20">
        <f ca="1">SUM(AH398:AH401)</f>
        <v>-3229.6330300984846</v>
      </c>
    </row>
    <row r="403" spans="1:34" s="28" customFormat="1" ht="22" thickBot="1" x14ac:dyDescent="0.3">
      <c r="A403" s="1"/>
      <c r="B403" s="1"/>
      <c r="C403" s="1"/>
      <c r="D403" s="1"/>
      <c r="E403" s="1"/>
      <c r="F403" s="24"/>
      <c r="G403" s="1" t="s">
        <v>26</v>
      </c>
      <c r="H403" s="1"/>
      <c r="I403" s="4">
        <v>45169</v>
      </c>
      <c r="J403" s="34">
        <v>9266.98</v>
      </c>
      <c r="K403" s="1" t="s">
        <v>23</v>
      </c>
      <c r="L403" s="10" t="s">
        <v>25</v>
      </c>
      <c r="M403" s="10">
        <v>1.0790999999999999</v>
      </c>
      <c r="O403" s="1"/>
      <c r="P403" s="1"/>
      <c r="Q403" s="4"/>
      <c r="R403" s="294" t="s">
        <v>205</v>
      </c>
      <c r="S403" s="295">
        <f ca="1">+J557</f>
        <v>-28972.197328799637</v>
      </c>
      <c r="T403" s="296">
        <f ca="1">+M551/M547-1</f>
        <v>-7.6176685609479322E-2</v>
      </c>
      <c r="U403" s="293" t="e" vm="219">
        <f>+L550</f>
        <v>#VALUE!</v>
      </c>
      <c r="V403" s="327">
        <f ca="1">+M550</f>
        <v>1.1719999999999999</v>
      </c>
      <c r="W403" s="1"/>
      <c r="X403"/>
      <c r="Y403" s="108" t="s">
        <v>152</v>
      </c>
      <c r="Z403" s="109">
        <f ca="1">+Z400-Z401</f>
        <v>18819.499984377999</v>
      </c>
      <c r="AA403" s="1"/>
      <c r="AB403" s="168"/>
      <c r="AC403" s="168"/>
      <c r="AE403" s="48"/>
    </row>
    <row r="404" spans="1:34" s="28" customFormat="1" x14ac:dyDescent="0.2">
      <c r="A404" s="1"/>
      <c r="B404" s="1"/>
      <c r="C404" s="1"/>
      <c r="D404" s="1"/>
      <c r="E404" s="1"/>
      <c r="F404" s="24"/>
      <c r="G404" s="1"/>
      <c r="H404" s="1"/>
      <c r="I404" s="4"/>
      <c r="J404" s="34">
        <f>+J403*M403</f>
        <v>9999.9981179999995</v>
      </c>
      <c r="K404" s="1" t="s">
        <v>24</v>
      </c>
      <c r="L404" s="10"/>
      <c r="M404" s="5"/>
      <c r="N404" s="5"/>
      <c r="O404" s="1"/>
      <c r="P404" s="1"/>
      <c r="Q404" s="4"/>
      <c r="R404" s="8"/>
      <c r="S404" s="1"/>
      <c r="T404" s="5"/>
      <c r="U404" s="5"/>
      <c r="V404" s="5"/>
      <c r="W404" s="24"/>
      <c r="X404"/>
      <c r="Y404" s="5"/>
      <c r="Z404" s="5"/>
      <c r="AA404" s="1"/>
      <c r="AB404" s="168"/>
      <c r="AC404" s="168"/>
      <c r="AE404" s="48"/>
    </row>
    <row r="405" spans="1:34" s="28" customFormat="1" x14ac:dyDescent="0.2">
      <c r="A405" s="1"/>
      <c r="B405" s="1"/>
      <c r="C405" s="1"/>
      <c r="D405" s="1"/>
      <c r="E405" s="1"/>
      <c r="F405" s="1"/>
      <c r="G405" s="1"/>
      <c r="H405" s="1"/>
      <c r="I405" s="1"/>
      <c r="J405" s="34"/>
      <c r="K405" s="1"/>
      <c r="L405" s="1"/>
      <c r="M405" s="1"/>
      <c r="N405" s="5"/>
      <c r="O405" s="1"/>
      <c r="P405" s="1"/>
      <c r="Q405" s="4"/>
      <c r="R405" s="5"/>
      <c r="S405" s="21" t="s">
        <v>32</v>
      </c>
      <c r="T405" s="1"/>
      <c r="U405" s="21" t="s">
        <v>33</v>
      </c>
      <c r="V405" s="5"/>
      <c r="W405" s="24"/>
      <c r="X405"/>
      <c r="Y405" s="5"/>
      <c r="Z405" s="5"/>
      <c r="AA405" s="1"/>
      <c r="AB405" s="168"/>
      <c r="AC405" s="168"/>
      <c r="AE405" s="48"/>
    </row>
    <row r="406" spans="1:34" s="5" customFormat="1" x14ac:dyDescent="0.2">
      <c r="A406" s="1"/>
      <c r="B406" s="1"/>
      <c r="C406" s="1"/>
      <c r="D406" s="1"/>
      <c r="E406" s="1"/>
      <c r="F406" s="1"/>
      <c r="G406" s="1" t="s">
        <v>26</v>
      </c>
      <c r="H406" s="1"/>
      <c r="I406" s="4">
        <v>45258</v>
      </c>
      <c r="J406" s="34">
        <v>9205.56</v>
      </c>
      <c r="K406" s="1" t="s">
        <v>23</v>
      </c>
      <c r="L406" s="10" t="s">
        <v>25</v>
      </c>
      <c r="M406" s="10">
        <v>1.0863</v>
      </c>
      <c r="O406" s="1"/>
      <c r="P406" s="1"/>
      <c r="Q406" s="4"/>
      <c r="R406" s="5" t="s">
        <v>30</v>
      </c>
      <c r="S406" s="5">
        <f ca="1">+Y393</f>
        <v>87587.883508900006</v>
      </c>
      <c r="T406" s="1"/>
      <c r="U406" s="5">
        <f ca="1">+Z393</f>
        <v>69209.53236732207</v>
      </c>
      <c r="W406" s="24"/>
      <c r="X406"/>
      <c r="AA406" s="1"/>
      <c r="AB406" s="168"/>
      <c r="AC406" s="168"/>
      <c r="AD406" s="28"/>
      <c r="AE406" s="48"/>
    </row>
    <row r="407" spans="1:34" s="5" customFormat="1" x14ac:dyDescent="0.2">
      <c r="A407" s="1"/>
      <c r="B407" s="1"/>
      <c r="C407" s="1"/>
      <c r="D407" s="1"/>
      <c r="E407" s="1"/>
      <c r="F407" s="1"/>
      <c r="G407" s="1"/>
      <c r="H407" s="1"/>
      <c r="I407" s="4"/>
      <c r="J407" s="34">
        <f>+J406*M406</f>
        <v>9999.999828</v>
      </c>
      <c r="K407" s="1" t="s">
        <v>24</v>
      </c>
      <c r="L407" s="10"/>
      <c r="O407" s="1"/>
      <c r="P407" s="1"/>
      <c r="Q407" s="4"/>
      <c r="R407" s="5" t="s">
        <v>34</v>
      </c>
      <c r="S407" s="5">
        <f>+'dividendos 26'!H276</f>
        <v>10057.968208999999</v>
      </c>
      <c r="T407" s="1"/>
      <c r="U407" s="5">
        <f>+'dividendos 26'!I276</f>
        <v>7628.981022018801</v>
      </c>
      <c r="W407" s="1"/>
      <c r="X407"/>
      <c r="AA407" s="1"/>
      <c r="AB407" s="168"/>
      <c r="AC407" s="168"/>
      <c r="AD407" s="28"/>
      <c r="AE407" s="48"/>
    </row>
    <row r="408" spans="1:34" s="5" customFormat="1" x14ac:dyDescent="0.2">
      <c r="A408" s="1"/>
      <c r="B408" s="1"/>
      <c r="C408" s="1"/>
      <c r="D408" s="1"/>
      <c r="E408" s="1"/>
      <c r="F408" s="1"/>
      <c r="G408" s="1"/>
      <c r="H408" s="1"/>
      <c r="I408" s="4"/>
      <c r="J408" s="34"/>
      <c r="K408" s="1"/>
      <c r="L408" s="10"/>
      <c r="O408" s="1"/>
      <c r="P408" s="1"/>
      <c r="Q408" s="4"/>
      <c r="R408" s="5" t="s">
        <v>100</v>
      </c>
      <c r="U408" s="5">
        <f>+Z401</f>
        <v>1669.2900000000004</v>
      </c>
      <c r="W408" s="1"/>
      <c r="X408"/>
      <c r="AA408" s="1"/>
      <c r="AB408" s="168"/>
      <c r="AC408" s="168"/>
      <c r="AD408" s="28"/>
      <c r="AE408" s="48"/>
    </row>
    <row r="409" spans="1:34" s="5" customFormat="1" x14ac:dyDescent="0.2">
      <c r="A409" s="1"/>
      <c r="B409" s="1"/>
      <c r="C409" s="1"/>
      <c r="D409" s="1"/>
      <c r="E409" s="1"/>
      <c r="F409" s="1"/>
      <c r="G409" s="1" t="s">
        <v>26</v>
      </c>
      <c r="H409" s="1"/>
      <c r="I409" s="4">
        <v>45288</v>
      </c>
      <c r="J409" s="34">
        <v>9035.8700000000008</v>
      </c>
      <c r="K409" s="1" t="s">
        <v>23</v>
      </c>
      <c r="L409" s="10" t="s">
        <v>25</v>
      </c>
      <c r="M409" s="31">
        <v>1.1067</v>
      </c>
      <c r="O409" s="1"/>
      <c r="P409" s="1"/>
      <c r="Q409" s="4"/>
      <c r="R409" s="20" t="s">
        <v>31</v>
      </c>
      <c r="S409" s="22">
        <f ca="1">SUM(S406:S407)</f>
        <v>97645.851717900005</v>
      </c>
      <c r="T409" s="1"/>
      <c r="U409" s="22">
        <f ca="1">SUM(U406:U408)</f>
        <v>78507.803389340857</v>
      </c>
      <c r="W409" s="1"/>
      <c r="X409"/>
      <c r="AA409" s="1"/>
      <c r="AB409" s="168"/>
      <c r="AC409" s="168"/>
      <c r="AD409" s="28"/>
      <c r="AE409" s="48"/>
    </row>
    <row r="410" spans="1:34" s="5" customFormat="1" x14ac:dyDescent="0.2">
      <c r="A410" s="1"/>
      <c r="B410" s="1"/>
      <c r="C410" s="1"/>
      <c r="D410" s="1"/>
      <c r="E410" s="1"/>
      <c r="F410" s="1"/>
      <c r="G410" s="1"/>
      <c r="H410" s="1"/>
      <c r="I410" s="4"/>
      <c r="J410" s="34">
        <f>+J409*M409</f>
        <v>9999.9973290000016</v>
      </c>
      <c r="K410" s="1" t="s">
        <v>24</v>
      </c>
      <c r="L410" s="10"/>
      <c r="O410" s="1"/>
      <c r="P410" s="1"/>
      <c r="Q410" s="4"/>
      <c r="T410" s="1"/>
      <c r="W410" s="1"/>
      <c r="X410"/>
      <c r="AA410" s="1"/>
      <c r="AB410" s="168"/>
      <c r="AC410" s="168"/>
      <c r="AD410" s="28"/>
      <c r="AE410" s="48"/>
    </row>
    <row r="411" spans="1:34" s="5" customFormat="1" x14ac:dyDescent="0.2">
      <c r="A411" s="1"/>
      <c r="B411" s="1" t="s">
        <v>27</v>
      </c>
      <c r="C411" s="1"/>
      <c r="D411" s="1"/>
      <c r="E411" s="1"/>
      <c r="F411" s="1"/>
      <c r="G411" s="1"/>
      <c r="H411" s="1"/>
      <c r="I411" s="4"/>
      <c r="J411" s="34"/>
      <c r="K411" s="1"/>
      <c r="L411" s="10"/>
      <c r="O411" s="1"/>
      <c r="P411" s="1"/>
      <c r="Q411" s="4"/>
      <c r="S411" s="21" t="s">
        <v>35</v>
      </c>
      <c r="T411" s="1"/>
      <c r="U411" s="21" t="s">
        <v>36</v>
      </c>
      <c r="W411" s="1"/>
      <c r="X411"/>
      <c r="Z411" s="302"/>
      <c r="AA411" s="1"/>
      <c r="AB411" s="168"/>
      <c r="AC411" s="168"/>
      <c r="AD411" s="28"/>
      <c r="AE411" s="48"/>
    </row>
    <row r="412" spans="1:34" s="5" customFormat="1" x14ac:dyDescent="0.2">
      <c r="A412" s="1"/>
      <c r="B412" s="1"/>
      <c r="C412" s="1"/>
      <c r="D412" s="1"/>
      <c r="E412" s="1"/>
      <c r="F412" s="1"/>
      <c r="G412" s="1" t="s">
        <v>88</v>
      </c>
      <c r="H412" s="1"/>
      <c r="I412" s="4">
        <v>45317</v>
      </c>
      <c r="J412" s="34">
        <v>14990</v>
      </c>
      <c r="K412" s="1" t="s">
        <v>23</v>
      </c>
      <c r="L412" s="10" t="s">
        <v>25</v>
      </c>
      <c r="M412" s="31">
        <v>1.08965</v>
      </c>
      <c r="O412" s="1"/>
      <c r="P412" s="1"/>
      <c r="Q412" s="4"/>
      <c r="R412" s="5" t="s">
        <v>185</v>
      </c>
      <c r="S412" s="5">
        <f ca="1">+AB393</f>
        <v>-8029.5451489019688</v>
      </c>
      <c r="T412" s="1"/>
      <c r="U412" s="13">
        <f ca="1">+AC393</f>
        <v>-6344.7253502973308</v>
      </c>
      <c r="W412" s="1"/>
      <c r="X412"/>
      <c r="AA412" s="1"/>
      <c r="AB412" s="168"/>
      <c r="AC412" s="168"/>
      <c r="AD412" s="28"/>
      <c r="AE412" s="48"/>
    </row>
    <row r="413" spans="1:34" s="5" customFormat="1" x14ac:dyDescent="0.2">
      <c r="A413" s="1"/>
      <c r="B413" s="1"/>
      <c r="C413" s="1"/>
      <c r="D413" s="1"/>
      <c r="E413" s="1"/>
      <c r="F413" s="1"/>
      <c r="G413" s="1"/>
      <c r="H413" s="1"/>
      <c r="I413" s="4"/>
      <c r="J413" s="34">
        <f>+J412*M412</f>
        <v>16333.853499999999</v>
      </c>
      <c r="K413" s="1" t="s">
        <v>24</v>
      </c>
      <c r="L413" s="10"/>
      <c r="O413" s="1"/>
      <c r="P413" s="1"/>
      <c r="Q413" s="4"/>
      <c r="T413" s="1"/>
      <c r="U413" s="4"/>
      <c r="W413" s="1"/>
      <c r="X413"/>
      <c r="AA413" s="1"/>
      <c r="AB413" s="168"/>
      <c r="AC413" s="168"/>
      <c r="AD413" s="28"/>
      <c r="AE413" s="48"/>
    </row>
    <row r="414" spans="1:34" s="5" customFormat="1" x14ac:dyDescent="0.2">
      <c r="A414" s="1"/>
      <c r="B414" s="1"/>
      <c r="C414" s="1"/>
      <c r="D414" s="1"/>
      <c r="E414" s="1"/>
      <c r="F414" s="1"/>
      <c r="G414" s="1"/>
      <c r="H414" s="1"/>
      <c r="I414" s="4"/>
      <c r="J414" s="34"/>
      <c r="K414" s="1"/>
      <c r="L414" s="10"/>
      <c r="O414" s="1"/>
      <c r="P414" s="1"/>
      <c r="Q414" s="4"/>
      <c r="S414" s="21" t="s">
        <v>35</v>
      </c>
      <c r="T414" s="1"/>
      <c r="U414" s="21" t="s">
        <v>36</v>
      </c>
      <c r="W414" s="1"/>
      <c r="X414"/>
      <c r="AA414" s="1"/>
      <c r="AB414" s="168"/>
      <c r="AC414" s="168"/>
      <c r="AD414" s="28"/>
      <c r="AE414" s="48"/>
    </row>
    <row r="415" spans="1:34" s="5" customFormat="1" x14ac:dyDescent="0.2">
      <c r="A415" s="1"/>
      <c r="B415" s="1"/>
      <c r="C415" s="1"/>
      <c r="D415" s="1"/>
      <c r="E415" s="1"/>
      <c r="F415" s="1"/>
      <c r="G415" s="1" t="s">
        <v>88</v>
      </c>
      <c r="H415" s="1"/>
      <c r="I415" s="4">
        <v>45317</v>
      </c>
      <c r="J415" s="34">
        <v>15000</v>
      </c>
      <c r="K415" s="1" t="s">
        <v>23</v>
      </c>
      <c r="L415" s="10" t="s">
        <v>25</v>
      </c>
      <c r="M415" s="31">
        <v>1.08195</v>
      </c>
      <c r="O415" s="1"/>
      <c r="P415" s="1"/>
      <c r="Q415" s="4"/>
      <c r="R415" s="20" t="s">
        <v>37</v>
      </c>
      <c r="S415" s="23">
        <f ca="1">+S409+S412</f>
        <v>89616.306568998029</v>
      </c>
      <c r="T415" s="1"/>
      <c r="U415" s="23">
        <f ca="1">+U409+U412</f>
        <v>72163.078039043525</v>
      </c>
      <c r="W415" s="1"/>
      <c r="X415"/>
      <c r="AA415" s="1"/>
      <c r="AB415" s="168"/>
      <c r="AC415" s="168"/>
      <c r="AD415" s="28"/>
      <c r="AE415" s="48"/>
    </row>
    <row r="416" spans="1:34" s="5" customFormat="1" x14ac:dyDescent="0.2">
      <c r="A416" s="1"/>
      <c r="B416" s="1"/>
      <c r="C416" s="1"/>
      <c r="D416" s="1"/>
      <c r="E416" s="1"/>
      <c r="F416" s="1"/>
      <c r="G416" s="1"/>
      <c r="H416" s="1"/>
      <c r="I416" s="4"/>
      <c r="J416" s="34">
        <f>+J415*M415</f>
        <v>16229.25</v>
      </c>
      <c r="K416" s="1" t="s">
        <v>24</v>
      </c>
      <c r="L416" s="10"/>
      <c r="O416" s="1"/>
      <c r="P416" s="1"/>
      <c r="Q416" s="4"/>
      <c r="R416" s="8"/>
      <c r="S416" s="1"/>
      <c r="W416" s="1"/>
      <c r="X416"/>
      <c r="AA416" s="1"/>
      <c r="AB416" s="168"/>
      <c r="AC416" s="168"/>
      <c r="AD416" s="28"/>
      <c r="AE416" s="48"/>
    </row>
    <row r="417" spans="1:31" s="5" customFormat="1" x14ac:dyDescent="0.2">
      <c r="A417" s="1"/>
      <c r="B417" s="1"/>
      <c r="C417" s="1"/>
      <c r="D417" s="1"/>
      <c r="E417" s="1"/>
      <c r="F417" s="1"/>
      <c r="O417" s="1"/>
      <c r="P417" s="1"/>
      <c r="Q417" s="4"/>
      <c r="R417" s="8"/>
      <c r="S417" s="1"/>
      <c r="W417" s="1"/>
      <c r="X417"/>
      <c r="AA417" s="1"/>
      <c r="AB417" s="168"/>
      <c r="AC417" s="168"/>
      <c r="AD417" s="28"/>
      <c r="AE417" s="48"/>
    </row>
    <row r="418" spans="1:31" s="5" customFormat="1" x14ac:dyDescent="0.2">
      <c r="A418" s="1"/>
      <c r="B418" s="1"/>
      <c r="C418" s="1"/>
      <c r="D418" s="1"/>
      <c r="E418" s="1"/>
      <c r="F418" s="1"/>
      <c r="G418" s="1" t="s">
        <v>26</v>
      </c>
      <c r="H418" s="1"/>
      <c r="I418" s="4">
        <v>45336</v>
      </c>
      <c r="J418" s="34">
        <v>10000</v>
      </c>
      <c r="K418" s="1" t="s">
        <v>23</v>
      </c>
      <c r="L418" s="10" t="s">
        <v>25</v>
      </c>
      <c r="M418" s="31">
        <v>1.07115</v>
      </c>
      <c r="O418" s="1"/>
      <c r="P418" s="1"/>
      <c r="Q418" s="4"/>
      <c r="R418" s="8"/>
      <c r="S418" s="1"/>
      <c r="W418" s="1"/>
      <c r="X418"/>
      <c r="AA418" s="1"/>
      <c r="AB418" s="168"/>
      <c r="AC418" s="168"/>
      <c r="AD418" s="28"/>
      <c r="AE418" s="48"/>
    </row>
    <row r="419" spans="1:31" s="5" customFormat="1" x14ac:dyDescent="0.2">
      <c r="A419" s="1"/>
      <c r="B419" s="1"/>
      <c r="C419" s="1"/>
      <c r="D419" s="1"/>
      <c r="E419" s="1"/>
      <c r="F419" s="1"/>
      <c r="G419" s="1"/>
      <c r="H419" s="1"/>
      <c r="I419" s="4"/>
      <c r="J419" s="34">
        <f>+J418*M418</f>
        <v>10711.5</v>
      </c>
      <c r="K419" s="1" t="s">
        <v>24</v>
      </c>
      <c r="L419" s="10"/>
      <c r="O419" s="1"/>
      <c r="P419" s="1"/>
      <c r="Q419" s="4"/>
      <c r="R419" s="8"/>
      <c r="S419" s="1"/>
      <c r="W419" s="1"/>
      <c r="X419"/>
      <c r="AA419" s="1"/>
      <c r="AB419" s="168"/>
      <c r="AC419" s="168"/>
      <c r="AD419" s="28"/>
      <c r="AE419" s="48"/>
    </row>
    <row r="420" spans="1:31" s="5" customFormat="1" x14ac:dyDescent="0.2">
      <c r="A420" s="1"/>
      <c r="B420" s="1"/>
      <c r="C420" s="1"/>
      <c r="D420" s="1"/>
      <c r="E420" s="1"/>
      <c r="F420" s="1"/>
      <c r="O420" s="1"/>
      <c r="P420" s="1"/>
      <c r="Q420" s="4"/>
      <c r="R420" s="8"/>
      <c r="S420" s="1"/>
      <c r="W420" s="1"/>
      <c r="X420"/>
      <c r="AA420" s="1"/>
      <c r="AB420" s="168"/>
      <c r="AC420" s="168"/>
      <c r="AD420" s="28"/>
      <c r="AE420" s="48"/>
    </row>
    <row r="421" spans="1:31" s="5" customFormat="1" x14ac:dyDescent="0.2">
      <c r="A421" s="1"/>
      <c r="B421" s="1"/>
      <c r="C421" s="1"/>
      <c r="D421" s="1"/>
      <c r="E421" s="1"/>
      <c r="F421" s="1"/>
      <c r="G421" s="5" t="s">
        <v>26</v>
      </c>
      <c r="I421" s="4">
        <v>45345</v>
      </c>
      <c r="J421" s="34">
        <v>8357.7099999999991</v>
      </c>
      <c r="K421" s="1" t="s">
        <v>23</v>
      </c>
      <c r="L421" s="10" t="s">
        <v>25</v>
      </c>
      <c r="M421" s="31">
        <v>1.0768500000000001</v>
      </c>
      <c r="O421" s="1"/>
      <c r="P421" s="1"/>
      <c r="Q421" s="4"/>
      <c r="R421" s="8" t="b">
        <f ca="1">ISNUMBER(FIND("!",_xlfn.FORMULATEXT(L191)))</f>
        <v>0</v>
      </c>
      <c r="S421" s="1"/>
      <c r="W421" s="1"/>
      <c r="X421"/>
      <c r="AA421" s="1"/>
      <c r="AB421" s="168"/>
      <c r="AC421" s="168"/>
      <c r="AD421" s="28"/>
      <c r="AE421" s="48"/>
    </row>
    <row r="422" spans="1:31" x14ac:dyDescent="0.2">
      <c r="G422" s="5"/>
      <c r="H422" s="5"/>
      <c r="J422" s="34">
        <f>+J421*M421</f>
        <v>9000.0000134999991</v>
      </c>
      <c r="K422" s="1" t="s">
        <v>24</v>
      </c>
    </row>
    <row r="424" spans="1:31" x14ac:dyDescent="0.2">
      <c r="G424" s="1" t="s">
        <v>26</v>
      </c>
      <c r="I424" s="4">
        <v>45345</v>
      </c>
      <c r="J424" s="34">
        <v>712</v>
      </c>
      <c r="K424" s="1" t="s">
        <v>23</v>
      </c>
      <c r="L424" s="10" t="s">
        <v>25</v>
      </c>
      <c r="M424" s="31">
        <v>1.07694</v>
      </c>
    </row>
    <row r="425" spans="1:31" x14ac:dyDescent="0.2">
      <c r="J425" s="34">
        <f>+J424*M424</f>
        <v>766.78128000000004</v>
      </c>
      <c r="K425" s="1" t="s">
        <v>24</v>
      </c>
    </row>
    <row r="427" spans="1:31" x14ac:dyDescent="0.2">
      <c r="G427" s="1" t="s">
        <v>26</v>
      </c>
      <c r="I427" s="4">
        <v>45348</v>
      </c>
      <c r="J427" s="34">
        <v>10000</v>
      </c>
      <c r="K427" s="1" t="s">
        <v>23</v>
      </c>
      <c r="L427" s="10" t="s">
        <v>25</v>
      </c>
      <c r="M427" s="31">
        <v>1.0804</v>
      </c>
    </row>
    <row r="428" spans="1:31" x14ac:dyDescent="0.2">
      <c r="J428" s="34">
        <f>+J427*M427</f>
        <v>10804</v>
      </c>
      <c r="K428" s="1" t="s">
        <v>24</v>
      </c>
    </row>
    <row r="430" spans="1:31" x14ac:dyDescent="0.2">
      <c r="G430" s="1" t="s">
        <v>88</v>
      </c>
      <c r="I430" s="4">
        <v>45355</v>
      </c>
      <c r="J430" s="34">
        <v>15000</v>
      </c>
      <c r="K430" s="1" t="s">
        <v>23</v>
      </c>
      <c r="L430" s="10" t="s">
        <v>25</v>
      </c>
      <c r="M430" s="31">
        <v>1.0844</v>
      </c>
    </row>
    <row r="431" spans="1:31" x14ac:dyDescent="0.2">
      <c r="J431" s="34">
        <f>+J430*M430</f>
        <v>16266</v>
      </c>
      <c r="K431" s="1" t="s">
        <v>24</v>
      </c>
    </row>
    <row r="432" spans="1:31" x14ac:dyDescent="0.2">
      <c r="J432" s="34"/>
    </row>
    <row r="433" spans="7:13" x14ac:dyDescent="0.2">
      <c r="G433" s="1" t="s">
        <v>26</v>
      </c>
      <c r="I433" s="4">
        <v>45348</v>
      </c>
      <c r="J433" s="34">
        <v>10000</v>
      </c>
      <c r="K433" s="1" t="s">
        <v>23</v>
      </c>
      <c r="L433" s="10" t="s">
        <v>25</v>
      </c>
      <c r="M433" s="31">
        <v>1.0585</v>
      </c>
    </row>
    <row r="434" spans="7:13" x14ac:dyDescent="0.2">
      <c r="J434" s="34">
        <f>+J433*M433</f>
        <v>10585</v>
      </c>
      <c r="K434" s="1" t="s">
        <v>24</v>
      </c>
    </row>
    <row r="436" spans="7:13" x14ac:dyDescent="0.2">
      <c r="G436" s="103" t="s">
        <v>26</v>
      </c>
      <c r="H436" s="103"/>
      <c r="I436" s="104">
        <v>45411</v>
      </c>
      <c r="J436" s="34">
        <v>10000</v>
      </c>
      <c r="K436" s="1" t="s">
        <v>23</v>
      </c>
      <c r="L436" s="10" t="s">
        <v>25</v>
      </c>
      <c r="M436" s="31">
        <v>1.0661499999999999</v>
      </c>
    </row>
    <row r="437" spans="7:13" x14ac:dyDescent="0.2">
      <c r="J437" s="34">
        <f>+J436*M436</f>
        <v>10661.5</v>
      </c>
      <c r="K437" s="1" t="s">
        <v>24</v>
      </c>
    </row>
    <row r="439" spans="7:13" x14ac:dyDescent="0.2">
      <c r="G439" s="103" t="s">
        <v>26</v>
      </c>
      <c r="H439" s="103"/>
      <c r="I439" s="104">
        <v>45418</v>
      </c>
      <c r="J439" s="34">
        <v>10000</v>
      </c>
      <c r="K439" s="1" t="s">
        <v>23</v>
      </c>
      <c r="L439" s="10" t="s">
        <v>25</v>
      </c>
      <c r="M439" s="31">
        <v>1.0728</v>
      </c>
    </row>
    <row r="440" spans="7:13" x14ac:dyDescent="0.2">
      <c r="J440" s="34">
        <f>+J439*M439</f>
        <v>10728</v>
      </c>
      <c r="K440" s="1" t="s">
        <v>24</v>
      </c>
    </row>
    <row r="442" spans="7:13" x14ac:dyDescent="0.2">
      <c r="G442" s="103" t="s">
        <v>26</v>
      </c>
      <c r="H442" s="103"/>
      <c r="I442" s="104">
        <v>45435</v>
      </c>
      <c r="J442" s="34">
        <v>10000</v>
      </c>
      <c r="K442" s="1" t="s">
        <v>23</v>
      </c>
      <c r="L442" s="10" t="s">
        <v>25</v>
      </c>
      <c r="M442" s="31">
        <v>1.0808500000000001</v>
      </c>
    </row>
    <row r="443" spans="7:13" x14ac:dyDescent="0.2">
      <c r="J443" s="34">
        <f>+J442*M442</f>
        <v>10808.5</v>
      </c>
      <c r="K443" s="1" t="s">
        <v>24</v>
      </c>
    </row>
    <row r="444" spans="7:13" x14ac:dyDescent="0.2">
      <c r="J444" s="34"/>
    </row>
    <row r="445" spans="7:13" x14ac:dyDescent="0.2">
      <c r="G445" s="103" t="s">
        <v>26</v>
      </c>
      <c r="H445" s="103"/>
      <c r="I445" s="104">
        <v>45446</v>
      </c>
      <c r="J445" s="34">
        <v>10000</v>
      </c>
      <c r="K445" s="1" t="s">
        <v>23</v>
      </c>
      <c r="L445" s="10" t="s">
        <v>25</v>
      </c>
      <c r="M445" s="31">
        <v>1.07965</v>
      </c>
    </row>
    <row r="446" spans="7:13" x14ac:dyDescent="0.2">
      <c r="J446" s="34">
        <f>+J445*M445</f>
        <v>10796.5</v>
      </c>
      <c r="K446" s="1" t="s">
        <v>24</v>
      </c>
    </row>
    <row r="448" spans="7:13" x14ac:dyDescent="0.2">
      <c r="G448" s="103" t="s">
        <v>88</v>
      </c>
      <c r="H448" s="103"/>
      <c r="I448" s="104">
        <v>45483</v>
      </c>
      <c r="J448" s="34">
        <v>15000</v>
      </c>
      <c r="K448" s="1" t="s">
        <v>23</v>
      </c>
      <c r="L448" s="10" t="s">
        <v>25</v>
      </c>
      <c r="M448" s="31">
        <v>1.0824</v>
      </c>
    </row>
    <row r="449" spans="7:13" x14ac:dyDescent="0.2">
      <c r="J449" s="34">
        <f>+J448*M448</f>
        <v>16236</v>
      </c>
      <c r="K449" s="1" t="s">
        <v>24</v>
      </c>
    </row>
    <row r="451" spans="7:13" x14ac:dyDescent="0.2">
      <c r="G451" s="103" t="s">
        <v>88</v>
      </c>
      <c r="H451" s="103"/>
      <c r="I451" s="104">
        <v>45509</v>
      </c>
      <c r="J451" s="34">
        <v>7752.41</v>
      </c>
      <c r="K451" s="1" t="s">
        <v>23</v>
      </c>
      <c r="L451" s="10" t="s">
        <v>25</v>
      </c>
      <c r="M451" s="31">
        <v>1.09975</v>
      </c>
    </row>
    <row r="452" spans="7:13" x14ac:dyDescent="0.2">
      <c r="J452" s="34">
        <f>+J451*M451</f>
        <v>8525.7128974999996</v>
      </c>
      <c r="K452" s="1" t="s">
        <v>24</v>
      </c>
    </row>
    <row r="454" spans="7:13" x14ac:dyDescent="0.2">
      <c r="G454" s="103" t="s">
        <v>88</v>
      </c>
      <c r="H454" s="103"/>
      <c r="I454" s="104">
        <v>45522</v>
      </c>
      <c r="J454" s="34">
        <v>7248</v>
      </c>
      <c r="K454" s="1" t="s">
        <v>23</v>
      </c>
      <c r="L454" s="10" t="s">
        <v>25</v>
      </c>
      <c r="M454" s="31">
        <v>1.1032999999999999</v>
      </c>
    </row>
    <row r="455" spans="7:13" x14ac:dyDescent="0.2">
      <c r="J455" s="34">
        <f>+J454*M454</f>
        <v>7996.7183999999997</v>
      </c>
      <c r="K455" s="1" t="s">
        <v>24</v>
      </c>
    </row>
    <row r="457" spans="7:13" x14ac:dyDescent="0.2">
      <c r="G457" s="103" t="s">
        <v>88</v>
      </c>
      <c r="H457" s="103"/>
      <c r="I457" s="104">
        <v>45539</v>
      </c>
      <c r="J457" s="34">
        <f>4878.68+10111.32</f>
        <v>14990</v>
      </c>
      <c r="K457" s="1" t="s">
        <v>23</v>
      </c>
      <c r="L457" s="10" t="s">
        <v>25</v>
      </c>
      <c r="M457" s="31">
        <v>1.1056999999999999</v>
      </c>
    </row>
    <row r="458" spans="7:13" x14ac:dyDescent="0.2">
      <c r="J458" s="34">
        <f>+J457*M457</f>
        <v>16574.442999999999</v>
      </c>
      <c r="K458" s="1" t="s">
        <v>24</v>
      </c>
    </row>
    <row r="460" spans="7:13" x14ac:dyDescent="0.2">
      <c r="G460" s="103" t="s">
        <v>88</v>
      </c>
      <c r="H460" s="103"/>
      <c r="I460" s="104">
        <v>45603</v>
      </c>
      <c r="J460" s="34">
        <f>5422.53+1.53</f>
        <v>5424.0599999999995</v>
      </c>
      <c r="K460" s="1" t="s">
        <v>23</v>
      </c>
      <c r="L460" s="10" t="s">
        <v>25</v>
      </c>
      <c r="M460" s="31">
        <v>1.079</v>
      </c>
    </row>
    <row r="461" spans="7:13" x14ac:dyDescent="0.2">
      <c r="J461" s="34">
        <f>+J460*M460</f>
        <v>5852.560739999999</v>
      </c>
      <c r="K461" s="1" t="s">
        <v>24</v>
      </c>
    </row>
    <row r="463" spans="7:13" x14ac:dyDescent="0.2">
      <c r="G463" s="103" t="s">
        <v>88</v>
      </c>
      <c r="H463" s="103"/>
      <c r="I463" s="104">
        <v>45607</v>
      </c>
      <c r="J463" s="34">
        <f>3.8+0.47+2902.61</f>
        <v>2906.88</v>
      </c>
      <c r="K463" s="1" t="s">
        <v>23</v>
      </c>
      <c r="L463" s="10" t="s">
        <v>25</v>
      </c>
      <c r="M463" s="31">
        <v>1.0637000000000001</v>
      </c>
    </row>
    <row r="464" spans="7:13" x14ac:dyDescent="0.2">
      <c r="J464" s="34">
        <f>+J463*M463</f>
        <v>3092.0482560000005</v>
      </c>
      <c r="K464" s="1" t="s">
        <v>24</v>
      </c>
    </row>
    <row r="466" spans="1:33" x14ac:dyDescent="0.2">
      <c r="G466" s="103" t="s">
        <v>88</v>
      </c>
      <c r="H466" s="103"/>
      <c r="I466" s="104">
        <v>45607</v>
      </c>
      <c r="J466" s="34">
        <f>0.34+4636.82+0.94</f>
        <v>4638.0999999999995</v>
      </c>
      <c r="K466" s="1" t="s">
        <v>23</v>
      </c>
      <c r="L466" s="10" t="s">
        <v>25</v>
      </c>
      <c r="M466" s="31">
        <v>1.0651999999999999</v>
      </c>
    </row>
    <row r="467" spans="1:33" x14ac:dyDescent="0.2">
      <c r="J467" s="34">
        <f>+J466*M466</f>
        <v>4940.5041199999987</v>
      </c>
      <c r="K467" s="1" t="s">
        <v>24</v>
      </c>
    </row>
    <row r="469" spans="1:33" x14ac:dyDescent="0.2">
      <c r="G469" s="103" t="s">
        <v>26</v>
      </c>
      <c r="H469" s="103"/>
      <c r="I469" s="104">
        <v>45609</v>
      </c>
      <c r="J469" s="34">
        <v>15000</v>
      </c>
      <c r="K469" s="1" t="s">
        <v>23</v>
      </c>
      <c r="L469" s="10" t="s">
        <v>25</v>
      </c>
      <c r="M469" s="31">
        <v>1.0563499999999999</v>
      </c>
    </row>
    <row r="470" spans="1:33" x14ac:dyDescent="0.2">
      <c r="J470" s="34">
        <f>+J469*M469</f>
        <v>15845.249999999998</v>
      </c>
      <c r="K470" s="1" t="s">
        <v>24</v>
      </c>
    </row>
    <row r="471" spans="1:33" x14ac:dyDescent="0.2">
      <c r="J471" s="34"/>
    </row>
    <row r="472" spans="1:33" x14ac:dyDescent="0.2">
      <c r="G472" s="103" t="s">
        <v>26</v>
      </c>
      <c r="H472" s="103"/>
      <c r="I472" s="104">
        <v>45630</v>
      </c>
      <c r="J472" s="34">
        <v>20000</v>
      </c>
      <c r="K472" s="1" t="s">
        <v>23</v>
      </c>
      <c r="L472" s="10" t="s">
        <v>25</v>
      </c>
      <c r="M472" s="31">
        <v>1.0443499999999999</v>
      </c>
    </row>
    <row r="473" spans="1:33" x14ac:dyDescent="0.2">
      <c r="J473" s="34">
        <f>+J472*M472</f>
        <v>20886.999999999996</v>
      </c>
      <c r="K473" s="1" t="s">
        <v>24</v>
      </c>
      <c r="O473" s="5"/>
      <c r="P473" s="5"/>
      <c r="Q473" s="1"/>
    </row>
    <row r="474" spans="1:33" x14ac:dyDescent="0.2">
      <c r="J474" s="34"/>
      <c r="O474" s="5"/>
      <c r="P474" s="5"/>
      <c r="Q474" s="1"/>
    </row>
    <row r="475" spans="1:33" x14ac:dyDescent="0.2">
      <c r="A475" s="14"/>
      <c r="B475" s="14"/>
      <c r="C475" s="14"/>
      <c r="D475" s="14"/>
      <c r="E475" s="14"/>
      <c r="G475" s="103" t="s">
        <v>88</v>
      </c>
      <c r="H475" s="103"/>
      <c r="I475" s="104">
        <v>45630</v>
      </c>
      <c r="J475" s="34">
        <v>1804.96</v>
      </c>
      <c r="K475" s="14" t="s">
        <v>23</v>
      </c>
      <c r="L475" s="19" t="s">
        <v>167</v>
      </c>
      <c r="M475" s="207">
        <v>1.0486</v>
      </c>
      <c r="N475" s="14"/>
      <c r="O475" s="212"/>
      <c r="P475" s="16"/>
      <c r="Q475" s="18"/>
      <c r="R475" s="14"/>
      <c r="S475" s="208"/>
      <c r="T475" s="208"/>
      <c r="U475" s="208"/>
      <c r="V475" s="14"/>
      <c r="W475" s="17"/>
      <c r="X475" s="208"/>
      <c r="Y475" s="208"/>
      <c r="Z475" s="14"/>
      <c r="AA475" s="209"/>
      <c r="AB475" s="209"/>
      <c r="AC475" s="210"/>
      <c r="AD475" s="211"/>
      <c r="AE475" s="14"/>
      <c r="AF475" s="14"/>
      <c r="AG475" s="14"/>
    </row>
    <row r="476" spans="1:33" x14ac:dyDescent="0.2">
      <c r="A476" s="14"/>
      <c r="B476" s="14"/>
      <c r="C476" s="14"/>
      <c r="D476" s="14"/>
      <c r="E476" s="14"/>
      <c r="G476" s="14"/>
      <c r="H476" s="14"/>
      <c r="I476" s="16"/>
      <c r="J476" s="34">
        <f>+J475*M475</f>
        <v>1892.6810559999999</v>
      </c>
      <c r="K476" s="14" t="s">
        <v>24</v>
      </c>
      <c r="L476" s="19"/>
      <c r="M476" s="208"/>
      <c r="N476" s="14"/>
      <c r="O476" s="14"/>
      <c r="P476" s="16"/>
      <c r="Q476" s="18"/>
      <c r="R476" s="14"/>
      <c r="S476" s="208"/>
      <c r="T476" s="208"/>
      <c r="U476" s="208"/>
      <c r="V476" s="14"/>
      <c r="W476" s="17"/>
      <c r="X476" s="208"/>
      <c r="Y476" s="208"/>
      <c r="Z476" s="14"/>
      <c r="AA476" s="209"/>
      <c r="AB476" s="209"/>
      <c r="AC476" s="210"/>
      <c r="AD476" s="211"/>
      <c r="AE476" s="14"/>
      <c r="AF476" s="14"/>
      <c r="AG476" s="14"/>
    </row>
    <row r="477" spans="1:33" x14ac:dyDescent="0.2">
      <c r="J477" s="34"/>
      <c r="O477" s="5"/>
      <c r="P477" s="5"/>
      <c r="Q477" s="1"/>
    </row>
    <row r="478" spans="1:33" x14ac:dyDescent="0.2">
      <c r="A478" s="14"/>
      <c r="B478" s="14"/>
      <c r="C478" s="14"/>
      <c r="D478" s="14"/>
      <c r="E478" s="14"/>
      <c r="G478" s="103" t="s">
        <v>88</v>
      </c>
      <c r="H478" s="103"/>
      <c r="I478" s="104">
        <v>45644</v>
      </c>
      <c r="J478" s="34">
        <v>2948.76</v>
      </c>
      <c r="K478" s="14" t="s">
        <v>23</v>
      </c>
      <c r="L478" s="19" t="s">
        <v>167</v>
      </c>
      <c r="M478" s="207">
        <v>1.0371999999999999</v>
      </c>
      <c r="N478" s="14"/>
      <c r="O478" s="212"/>
      <c r="P478" s="16"/>
      <c r="Q478" s="18"/>
      <c r="R478" s="14"/>
      <c r="S478" s="208"/>
      <c r="T478" s="208"/>
      <c r="U478" s="208"/>
      <c r="V478" s="14"/>
      <c r="W478" s="17"/>
      <c r="X478" s="208"/>
      <c r="Y478" s="208"/>
      <c r="Z478" s="14"/>
      <c r="AA478" s="209"/>
      <c r="AB478" s="209"/>
      <c r="AC478" s="210"/>
      <c r="AD478" s="211"/>
      <c r="AE478" s="14"/>
      <c r="AF478" s="14"/>
      <c r="AG478" s="14"/>
    </row>
    <row r="479" spans="1:33" x14ac:dyDescent="0.2">
      <c r="A479" s="14"/>
      <c r="B479" s="14"/>
      <c r="C479" s="14"/>
      <c r="D479" s="14"/>
      <c r="E479" s="14"/>
      <c r="G479" s="14"/>
      <c r="H479" s="14"/>
      <c r="I479" s="16"/>
      <c r="J479" s="34">
        <f>+J478*M478</f>
        <v>3058.453872</v>
      </c>
      <c r="K479" s="14" t="s">
        <v>24</v>
      </c>
      <c r="L479" s="19"/>
      <c r="M479" s="208"/>
      <c r="N479" s="14"/>
      <c r="O479" s="14"/>
      <c r="P479" s="16"/>
      <c r="Q479" s="18"/>
      <c r="R479" s="14"/>
      <c r="S479" s="208"/>
      <c r="T479" s="208"/>
      <c r="U479" s="208"/>
      <c r="V479" s="14"/>
      <c r="W479" s="17"/>
      <c r="X479" s="208"/>
      <c r="Y479" s="208"/>
      <c r="Z479" s="14"/>
      <c r="AA479" s="209"/>
      <c r="AB479" s="209"/>
      <c r="AC479" s="210"/>
      <c r="AD479" s="211"/>
      <c r="AE479" s="14"/>
      <c r="AF479" s="14"/>
      <c r="AG479" s="14"/>
    </row>
    <row r="480" spans="1:33" x14ac:dyDescent="0.2">
      <c r="A480" s="14"/>
      <c r="B480" s="14"/>
      <c r="C480" s="14"/>
      <c r="D480" s="14"/>
      <c r="E480" s="14"/>
      <c r="G480" s="14"/>
      <c r="H480" s="14"/>
      <c r="I480" s="16"/>
      <c r="J480" s="34"/>
      <c r="K480" s="14"/>
      <c r="L480" s="19"/>
      <c r="M480" s="208"/>
      <c r="N480" s="14"/>
      <c r="O480" s="14"/>
      <c r="P480" s="16"/>
      <c r="Q480" s="18"/>
      <c r="R480" s="14"/>
      <c r="S480" s="208"/>
      <c r="T480" s="208"/>
      <c r="U480" s="208"/>
      <c r="V480" s="14"/>
      <c r="W480" s="17"/>
      <c r="X480" s="208"/>
      <c r="Y480" s="208"/>
      <c r="Z480" s="14"/>
      <c r="AA480" s="209"/>
      <c r="AB480" s="209"/>
      <c r="AC480" s="210"/>
      <c r="AD480" s="211"/>
      <c r="AE480" s="14"/>
      <c r="AF480" s="14"/>
      <c r="AG480" s="14"/>
    </row>
    <row r="481" spans="1:33" x14ac:dyDescent="0.2">
      <c r="A481" s="14"/>
      <c r="B481" s="14"/>
      <c r="C481" s="14"/>
      <c r="D481" s="14"/>
      <c r="E481" s="14"/>
      <c r="G481" s="103" t="s">
        <v>88</v>
      </c>
      <c r="H481" s="103"/>
      <c r="I481" s="104">
        <v>45644</v>
      </c>
      <c r="J481" s="34">
        <f>3600.84+2316.23+2418.98</f>
        <v>8336.0499999999993</v>
      </c>
      <c r="K481" s="14" t="s">
        <v>23</v>
      </c>
      <c r="L481" s="19" t="s">
        <v>167</v>
      </c>
      <c r="M481" s="207">
        <v>1.0412999999999999</v>
      </c>
      <c r="N481" s="14"/>
      <c r="O481" s="212"/>
      <c r="P481" s="16"/>
      <c r="Q481" s="18"/>
      <c r="R481" s="14"/>
      <c r="S481" s="208"/>
      <c r="T481" s="208"/>
      <c r="U481" s="208"/>
      <c r="V481" s="14"/>
      <c r="W481" s="17"/>
      <c r="X481" s="208"/>
      <c r="Y481" s="208"/>
      <c r="Z481" s="14"/>
      <c r="AA481" s="209"/>
      <c r="AB481" s="209"/>
      <c r="AC481" s="210"/>
      <c r="AD481" s="211"/>
      <c r="AE481" s="14"/>
      <c r="AF481" s="14"/>
      <c r="AG481" s="14"/>
    </row>
    <row r="482" spans="1:33" x14ac:dyDescent="0.2">
      <c r="A482" s="14"/>
      <c r="B482" s="14"/>
      <c r="C482" s="14"/>
      <c r="D482" s="14"/>
      <c r="E482" s="14"/>
      <c r="G482" s="14"/>
      <c r="H482" s="14"/>
      <c r="I482" s="16"/>
      <c r="J482" s="34">
        <f>+J481*M481</f>
        <v>8680.3288649999977</v>
      </c>
      <c r="K482" s="14" t="s">
        <v>24</v>
      </c>
      <c r="L482" s="19"/>
      <c r="M482" s="208"/>
      <c r="N482" s="14"/>
      <c r="O482" s="14"/>
      <c r="P482" s="16"/>
      <c r="Q482" s="18"/>
      <c r="R482" s="14"/>
      <c r="S482" s="208"/>
      <c r="T482" s="208"/>
      <c r="U482" s="208"/>
      <c r="V482" s="14"/>
      <c r="W482" s="17"/>
      <c r="X482" s="208"/>
      <c r="Y482" s="208"/>
      <c r="Z482" s="14"/>
      <c r="AA482" s="209"/>
      <c r="AB482" s="209"/>
      <c r="AC482" s="210"/>
      <c r="AD482" s="211"/>
      <c r="AE482" s="14"/>
      <c r="AF482" s="14"/>
      <c r="AG482" s="14"/>
    </row>
    <row r="483" spans="1:33" x14ac:dyDescent="0.2">
      <c r="J483" s="34"/>
      <c r="O483" s="5"/>
      <c r="P483" s="5"/>
      <c r="Q483" s="1"/>
    </row>
    <row r="484" spans="1:33" x14ac:dyDescent="0.2">
      <c r="A484" s="14"/>
      <c r="B484" s="14"/>
      <c r="C484" s="14"/>
      <c r="D484" s="14"/>
      <c r="E484" s="14"/>
      <c r="G484" s="103" t="s">
        <v>88</v>
      </c>
      <c r="H484" s="103"/>
      <c r="I484" s="104">
        <v>45652</v>
      </c>
      <c r="J484" s="34">
        <v>3652.55</v>
      </c>
      <c r="K484" s="14" t="s">
        <v>23</v>
      </c>
      <c r="L484" s="19" t="s">
        <v>167</v>
      </c>
      <c r="M484" s="207">
        <v>1.042</v>
      </c>
      <c r="N484" s="14"/>
      <c r="O484" s="212"/>
      <c r="P484" s="16"/>
      <c r="Q484" s="18"/>
      <c r="R484" s="14"/>
      <c r="S484" s="208"/>
      <c r="T484" s="208"/>
      <c r="U484" s="208"/>
      <c r="V484" s="14"/>
      <c r="W484" s="17"/>
      <c r="X484" s="208"/>
      <c r="Y484" s="208"/>
      <c r="Z484" s="14"/>
      <c r="AA484" s="209"/>
      <c r="AB484" s="209"/>
      <c r="AC484" s="210"/>
      <c r="AD484" s="211"/>
      <c r="AE484" s="14"/>
      <c r="AF484" s="14"/>
      <c r="AG484" s="14"/>
    </row>
    <row r="485" spans="1:33" x14ac:dyDescent="0.2">
      <c r="A485" s="14"/>
      <c r="B485" s="14"/>
      <c r="C485" s="14"/>
      <c r="D485" s="14"/>
      <c r="E485" s="14"/>
      <c r="G485" s="14"/>
      <c r="H485" s="14"/>
      <c r="I485" s="16"/>
      <c r="J485" s="34">
        <f>+J484*M484</f>
        <v>3805.9571000000005</v>
      </c>
      <c r="K485" s="14" t="s">
        <v>24</v>
      </c>
      <c r="L485" s="19"/>
      <c r="M485" s="208"/>
      <c r="N485" s="14"/>
      <c r="O485" s="14"/>
      <c r="P485" s="16"/>
      <c r="Q485" s="18"/>
      <c r="R485" s="14"/>
      <c r="S485" s="208"/>
      <c r="T485" s="208"/>
      <c r="U485" s="208"/>
      <c r="V485" s="14"/>
      <c r="W485" s="17"/>
      <c r="X485" s="208"/>
      <c r="Y485" s="208"/>
      <c r="Z485" s="14"/>
      <c r="AA485" s="209"/>
      <c r="AB485" s="209"/>
      <c r="AC485" s="210"/>
      <c r="AD485" s="211"/>
      <c r="AE485" s="14"/>
      <c r="AF485" s="14"/>
      <c r="AG485" s="14"/>
    </row>
    <row r="487" spans="1:33" x14ac:dyDescent="0.2">
      <c r="A487" s="14"/>
      <c r="B487" s="14"/>
      <c r="C487" s="14"/>
      <c r="D487" s="14"/>
      <c r="E487" s="14"/>
      <c r="G487" s="103" t="s">
        <v>88</v>
      </c>
      <c r="H487" s="103"/>
      <c r="I487" s="104">
        <v>45652</v>
      </c>
      <c r="J487" s="34">
        <f>2456.34+323.12</f>
        <v>2779.46</v>
      </c>
      <c r="K487" s="14" t="s">
        <v>23</v>
      </c>
      <c r="L487" s="19" t="s">
        <v>167</v>
      </c>
      <c r="M487" s="207">
        <v>1.0412999999999999</v>
      </c>
      <c r="N487" s="14"/>
      <c r="O487" s="212"/>
      <c r="P487" s="16"/>
      <c r="Q487" s="18"/>
      <c r="R487" s="14"/>
      <c r="S487" s="208"/>
      <c r="T487" s="208"/>
      <c r="U487" s="208"/>
      <c r="V487" s="14"/>
      <c r="W487" s="17"/>
      <c r="X487" s="208"/>
      <c r="Y487" s="208"/>
      <c r="Z487" s="14"/>
      <c r="AA487" s="209"/>
      <c r="AB487" s="209"/>
      <c r="AC487" s="210"/>
      <c r="AD487" s="211"/>
      <c r="AE487" s="14"/>
      <c r="AF487" s="14"/>
      <c r="AG487" s="14"/>
    </row>
    <row r="488" spans="1:33" x14ac:dyDescent="0.2">
      <c r="A488" s="14"/>
      <c r="B488" s="14"/>
      <c r="C488" s="14"/>
      <c r="D488" s="14"/>
      <c r="E488" s="14"/>
      <c r="G488" s="14"/>
      <c r="H488" s="14"/>
      <c r="I488" s="16"/>
      <c r="J488" s="34">
        <f>+J487*M487</f>
        <v>2894.2516979999996</v>
      </c>
      <c r="K488" s="14" t="s">
        <v>24</v>
      </c>
      <c r="L488" s="19"/>
      <c r="M488" s="208"/>
      <c r="N488" s="14"/>
      <c r="O488" s="14"/>
      <c r="P488" s="16"/>
      <c r="Q488" s="18"/>
      <c r="R488" s="14"/>
      <c r="S488" s="208"/>
      <c r="T488" s="208"/>
      <c r="U488" s="208"/>
      <c r="V488" s="14"/>
      <c r="W488" s="17"/>
      <c r="X488" s="208"/>
      <c r="Y488" s="208"/>
      <c r="Z488" s="14"/>
      <c r="AA488" s="209"/>
      <c r="AB488" s="209"/>
      <c r="AC488" s="210"/>
      <c r="AD488" s="211"/>
      <c r="AE488" s="14"/>
      <c r="AF488" s="14"/>
      <c r="AG488" s="14"/>
    </row>
    <row r="489" spans="1:33" x14ac:dyDescent="0.2">
      <c r="A489" s="14"/>
      <c r="B489" s="14"/>
      <c r="C489" s="14"/>
      <c r="D489" s="14"/>
      <c r="E489" s="14"/>
      <c r="M489" s="208"/>
      <c r="N489" s="14"/>
      <c r="O489" s="14"/>
      <c r="P489" s="16"/>
      <c r="Q489" s="18"/>
      <c r="R489" s="14"/>
      <c r="S489" s="208"/>
      <c r="T489" s="208"/>
      <c r="U489" s="208"/>
      <c r="V489" s="14"/>
      <c r="W489" s="17"/>
      <c r="X489" s="208"/>
      <c r="Y489" s="208"/>
      <c r="Z489" s="14"/>
      <c r="AA489" s="209"/>
      <c r="AB489" s="209"/>
      <c r="AC489" s="210"/>
      <c r="AD489" s="211"/>
      <c r="AE489" s="14"/>
      <c r="AF489" s="14"/>
      <c r="AG489" s="14"/>
    </row>
    <row r="490" spans="1:33" x14ac:dyDescent="0.2">
      <c r="A490" s="14"/>
      <c r="B490" s="14"/>
      <c r="C490" s="14"/>
      <c r="D490" s="14"/>
      <c r="E490" s="14"/>
      <c r="G490" s="103" t="s">
        <v>88</v>
      </c>
      <c r="H490" s="103"/>
      <c r="I490" s="104">
        <v>45653</v>
      </c>
      <c r="J490" s="34">
        <v>2090.08</v>
      </c>
      <c r="K490" s="14" t="s">
        <v>23</v>
      </c>
      <c r="L490" s="19" t="s">
        <v>167</v>
      </c>
      <c r="M490" s="207">
        <v>1.0429999999999999</v>
      </c>
      <c r="N490" s="14"/>
      <c r="O490" s="212"/>
      <c r="P490" s="16"/>
      <c r="Q490" s="18"/>
      <c r="R490" s="14"/>
      <c r="S490" s="208"/>
      <c r="T490" s="208"/>
      <c r="U490" s="208"/>
      <c r="V490" s="14"/>
      <c r="W490" s="17"/>
      <c r="X490" s="208"/>
      <c r="Y490" s="208"/>
      <c r="Z490" s="14"/>
      <c r="AA490" s="209"/>
      <c r="AB490" s="209"/>
      <c r="AC490" s="210"/>
      <c r="AD490" s="211"/>
      <c r="AE490" s="14"/>
      <c r="AF490" s="14"/>
      <c r="AG490" s="14"/>
    </row>
    <row r="491" spans="1:33" x14ac:dyDescent="0.2">
      <c r="A491" s="14"/>
      <c r="B491" s="14"/>
      <c r="C491" s="14"/>
      <c r="D491" s="14"/>
      <c r="E491" s="14"/>
      <c r="G491" s="14"/>
      <c r="H491" s="14"/>
      <c r="I491" s="16"/>
      <c r="J491" s="34">
        <f>+J490*M490</f>
        <v>2179.9534399999998</v>
      </c>
      <c r="K491" s="14" t="s">
        <v>24</v>
      </c>
      <c r="L491" s="19"/>
      <c r="M491" s="208"/>
      <c r="N491" s="14"/>
      <c r="O491" s="14"/>
      <c r="P491" s="16"/>
      <c r="Q491" s="18"/>
      <c r="R491" s="14"/>
      <c r="S491" s="208"/>
      <c r="T491" s="208"/>
      <c r="U491" s="208"/>
      <c r="V491" s="14"/>
      <c r="W491" s="17"/>
      <c r="X491" s="208"/>
      <c r="Y491" s="208"/>
      <c r="Z491" s="14"/>
      <c r="AA491" s="209"/>
      <c r="AB491" s="209"/>
      <c r="AC491" s="210"/>
      <c r="AD491" s="211"/>
      <c r="AE491" s="14"/>
      <c r="AF491" s="14"/>
      <c r="AG491" s="14"/>
    </row>
    <row r="492" spans="1:33" x14ac:dyDescent="0.2">
      <c r="G492" s="14"/>
      <c r="H492" s="14"/>
      <c r="I492" s="16"/>
      <c r="J492" s="206"/>
      <c r="K492" s="14"/>
      <c r="L492" s="19"/>
      <c r="M492" s="208"/>
      <c r="O492" s="5"/>
      <c r="P492" s="5"/>
      <c r="Q492" s="1"/>
    </row>
    <row r="493" spans="1:33" x14ac:dyDescent="0.2">
      <c r="G493" s="103" t="s">
        <v>26</v>
      </c>
      <c r="H493" s="103"/>
      <c r="I493" s="104">
        <v>45659</v>
      </c>
      <c r="J493" s="34">
        <v>14612.76</v>
      </c>
      <c r="K493" s="1" t="s">
        <v>23</v>
      </c>
      <c r="L493" s="10" t="s">
        <v>25</v>
      </c>
      <c r="M493" s="31">
        <v>1.0265</v>
      </c>
      <c r="O493" s="5"/>
      <c r="P493" s="5"/>
      <c r="Q493" s="1"/>
    </row>
    <row r="494" spans="1:33" x14ac:dyDescent="0.2">
      <c r="J494" s="34">
        <f>+J493*M493</f>
        <v>14999.99814</v>
      </c>
      <c r="K494" s="1" t="s">
        <v>24</v>
      </c>
    </row>
    <row r="495" spans="1:33" x14ac:dyDescent="0.2">
      <c r="J495" s="34"/>
    </row>
    <row r="496" spans="1:33" x14ac:dyDescent="0.2">
      <c r="G496" s="103" t="s">
        <v>88</v>
      </c>
      <c r="H496" s="103"/>
      <c r="I496" s="104">
        <v>45663</v>
      </c>
      <c r="J496" s="34">
        <v>2411.3000000000002</v>
      </c>
      <c r="K496" s="1" t="s">
        <v>23</v>
      </c>
      <c r="L496" s="10" t="s">
        <v>25</v>
      </c>
      <c r="M496" s="31">
        <v>1.0374000000000001</v>
      </c>
    </row>
    <row r="497" spans="7:13" x14ac:dyDescent="0.2">
      <c r="J497" s="34">
        <f>+J496*M496</f>
        <v>2501.4826200000002</v>
      </c>
      <c r="K497" s="1" t="s">
        <v>24</v>
      </c>
    </row>
    <row r="498" spans="7:13" x14ac:dyDescent="0.2">
      <c r="J498" s="34"/>
    </row>
    <row r="499" spans="7:13" x14ac:dyDescent="0.2">
      <c r="G499" s="103" t="s">
        <v>88</v>
      </c>
      <c r="H499" s="103"/>
      <c r="I499" s="104">
        <v>45663</v>
      </c>
      <c r="J499" s="34">
        <v>4718.74</v>
      </c>
      <c r="K499" s="1" t="s">
        <v>23</v>
      </c>
      <c r="L499" s="10" t="s">
        <v>25</v>
      </c>
      <c r="M499" s="31">
        <v>1.0370999999999999</v>
      </c>
    </row>
    <row r="500" spans="7:13" x14ac:dyDescent="0.2">
      <c r="J500" s="34">
        <f>+J499*M499</f>
        <v>4893.805253999999</v>
      </c>
      <c r="K500" s="1" t="s">
        <v>24</v>
      </c>
    </row>
    <row r="501" spans="7:13" x14ac:dyDescent="0.2">
      <c r="J501" s="34"/>
    </row>
    <row r="502" spans="7:13" x14ac:dyDescent="0.2">
      <c r="G502" s="103" t="s">
        <v>88</v>
      </c>
      <c r="H502" s="103"/>
      <c r="I502" s="104">
        <v>45663</v>
      </c>
      <c r="J502" s="34">
        <v>2272.96</v>
      </c>
      <c r="K502" s="1" t="s">
        <v>23</v>
      </c>
      <c r="L502" s="10" t="s">
        <v>25</v>
      </c>
      <c r="M502" s="31">
        <v>1.0387</v>
      </c>
    </row>
    <row r="503" spans="7:13" x14ac:dyDescent="0.2">
      <c r="J503" s="34">
        <f>+J502*M502</f>
        <v>2360.9235519999997</v>
      </c>
      <c r="K503" s="1" t="s">
        <v>24</v>
      </c>
    </row>
    <row r="504" spans="7:13" x14ac:dyDescent="0.2">
      <c r="J504" s="34"/>
    </row>
    <row r="505" spans="7:13" x14ac:dyDescent="0.2">
      <c r="G505" s="103" t="s">
        <v>88</v>
      </c>
      <c r="H505" s="103"/>
      <c r="I505" s="104">
        <v>45671</v>
      </c>
      <c r="J505" s="34">
        <v>7735.33</v>
      </c>
      <c r="K505" s="1" t="s">
        <v>23</v>
      </c>
      <c r="L505" s="10" t="s">
        <v>25</v>
      </c>
      <c r="M505" s="31">
        <v>1.0284800000000001</v>
      </c>
    </row>
    <row r="506" spans="7:13" x14ac:dyDescent="0.2">
      <c r="J506" s="34">
        <f>+J505*M505</f>
        <v>7955.6321984000006</v>
      </c>
      <c r="K506" s="1" t="s">
        <v>24</v>
      </c>
    </row>
    <row r="507" spans="7:13" x14ac:dyDescent="0.2">
      <c r="J507" s="34"/>
    </row>
    <row r="508" spans="7:13" x14ac:dyDescent="0.2">
      <c r="G508" s="103" t="s">
        <v>88</v>
      </c>
      <c r="H508" s="103"/>
      <c r="I508" s="104">
        <v>45671</v>
      </c>
      <c r="J508" s="34">
        <v>7791.26</v>
      </c>
      <c r="K508" s="1" t="s">
        <v>23</v>
      </c>
      <c r="L508" s="10" t="s">
        <v>25</v>
      </c>
      <c r="M508" s="31">
        <v>1.03844</v>
      </c>
    </row>
    <row r="509" spans="7:13" x14ac:dyDescent="0.2">
      <c r="J509" s="34">
        <f>+J508*M508</f>
        <v>8090.7560344000003</v>
      </c>
      <c r="K509" s="1" t="s">
        <v>24</v>
      </c>
    </row>
    <row r="510" spans="7:13" x14ac:dyDescent="0.2">
      <c r="J510" s="34"/>
    </row>
    <row r="511" spans="7:13" x14ac:dyDescent="0.2">
      <c r="G511" s="103" t="s">
        <v>199</v>
      </c>
      <c r="H511" s="103"/>
      <c r="I511" s="104">
        <v>45785</v>
      </c>
      <c r="J511" s="34">
        <v>5277.32</v>
      </c>
      <c r="K511" s="1" t="s">
        <v>23</v>
      </c>
      <c r="L511" s="10" t="s">
        <v>25</v>
      </c>
      <c r="M511" s="31">
        <v>1.1276999999999999</v>
      </c>
    </row>
    <row r="512" spans="7:13" x14ac:dyDescent="0.2">
      <c r="J512" s="34">
        <f>+J511*M511</f>
        <v>5951.2337639999996</v>
      </c>
      <c r="K512" s="1" t="s">
        <v>24</v>
      </c>
    </row>
    <row r="514" spans="7:13" x14ac:dyDescent="0.2">
      <c r="G514" s="103" t="s">
        <v>199</v>
      </c>
      <c r="H514" s="103"/>
      <c r="I514" s="104">
        <v>45786</v>
      </c>
      <c r="J514" s="34">
        <v>5342.45</v>
      </c>
      <c r="K514" s="1" t="s">
        <v>23</v>
      </c>
      <c r="L514" s="10" t="s">
        <v>25</v>
      </c>
      <c r="M514" s="31">
        <v>1.1231</v>
      </c>
    </row>
    <row r="515" spans="7:13" x14ac:dyDescent="0.2">
      <c r="J515" s="34">
        <f>+J514*M514</f>
        <v>6000.105595</v>
      </c>
      <c r="K515" s="1" t="s">
        <v>24</v>
      </c>
    </row>
    <row r="517" spans="7:13" x14ac:dyDescent="0.2">
      <c r="G517" s="103" t="s">
        <v>199</v>
      </c>
      <c r="H517" s="103"/>
      <c r="I517" s="104">
        <v>45672</v>
      </c>
      <c r="J517" s="34">
        <v>8940</v>
      </c>
      <c r="K517" s="1" t="s">
        <v>23</v>
      </c>
      <c r="L517" s="10" t="s">
        <v>25</v>
      </c>
      <c r="M517" s="31">
        <v>1.1186</v>
      </c>
    </row>
    <row r="518" spans="7:13" x14ac:dyDescent="0.2">
      <c r="J518" s="34">
        <f>+J517*M517</f>
        <v>10000.284</v>
      </c>
      <c r="K518" s="1" t="s">
        <v>24</v>
      </c>
    </row>
    <row r="520" spans="7:13" x14ac:dyDescent="0.2">
      <c r="G520" s="103" t="s">
        <v>199</v>
      </c>
      <c r="H520" s="103"/>
      <c r="I520" s="104">
        <v>45840</v>
      </c>
      <c r="J520" s="34">
        <v>11081.78</v>
      </c>
      <c r="K520" s="1" t="s">
        <v>23</v>
      </c>
      <c r="L520" s="10" t="s">
        <v>25</v>
      </c>
      <c r="M520" s="31">
        <v>1.1730970000000001</v>
      </c>
    </row>
    <row r="521" spans="7:13" x14ac:dyDescent="0.2">
      <c r="J521" s="34">
        <f>+J520*M520</f>
        <v>13000.002872660001</v>
      </c>
      <c r="K521" s="1" t="s">
        <v>24</v>
      </c>
    </row>
    <row r="523" spans="7:13" x14ac:dyDescent="0.2">
      <c r="G523" s="103" t="s">
        <v>199</v>
      </c>
      <c r="H523" s="103"/>
      <c r="I523" s="104">
        <v>45840</v>
      </c>
      <c r="J523" s="34">
        <v>2130.6999999999998</v>
      </c>
      <c r="K523" s="1" t="s">
        <v>23</v>
      </c>
      <c r="L523" s="10" t="s">
        <v>25</v>
      </c>
      <c r="M523" s="31">
        <v>1.1733260000000001</v>
      </c>
    </row>
    <row r="524" spans="7:13" x14ac:dyDescent="0.2">
      <c r="J524" s="34">
        <f>+J523*M523</f>
        <v>2500.0057081999998</v>
      </c>
      <c r="K524" s="1" t="s">
        <v>24</v>
      </c>
    </row>
    <row r="526" spans="7:13" x14ac:dyDescent="0.2">
      <c r="G526" s="103" t="s">
        <v>199</v>
      </c>
      <c r="H526" s="103"/>
      <c r="I526" s="104">
        <v>46029</v>
      </c>
      <c r="J526" s="34">
        <v>10278.42</v>
      </c>
      <c r="K526" s="1" t="s">
        <v>23</v>
      </c>
      <c r="L526" s="10" t="s">
        <v>25</v>
      </c>
      <c r="M526" s="31">
        <v>1.1674960000000001</v>
      </c>
    </row>
    <row r="527" spans="7:13" x14ac:dyDescent="0.2">
      <c r="J527" s="34">
        <f>+J526*M526</f>
        <v>12000.014236320001</v>
      </c>
      <c r="K527" s="1" t="s">
        <v>24</v>
      </c>
    </row>
    <row r="529" spans="7:15" x14ac:dyDescent="0.2">
      <c r="G529" s="103" t="s">
        <v>199</v>
      </c>
      <c r="H529" s="103"/>
      <c r="I529" s="104">
        <v>45840</v>
      </c>
      <c r="J529" s="34">
        <v>3869.7</v>
      </c>
      <c r="K529" s="1" t="s">
        <v>23</v>
      </c>
      <c r="L529" s="10" t="s">
        <v>25</v>
      </c>
      <c r="M529" s="31">
        <v>1.1629</v>
      </c>
    </row>
    <row r="530" spans="7:15" x14ac:dyDescent="0.2">
      <c r="J530" s="34">
        <f>+J529*M529</f>
        <v>4500.07413</v>
      </c>
      <c r="K530" s="1" t="s">
        <v>24</v>
      </c>
    </row>
    <row r="532" spans="7:15" x14ac:dyDescent="0.2">
      <c r="G532" s="103" t="s">
        <v>199</v>
      </c>
      <c r="H532" s="103"/>
      <c r="I532" s="104">
        <v>45679</v>
      </c>
      <c r="J532" s="34">
        <v>9403.9</v>
      </c>
      <c r="K532" s="1" t="s">
        <v>23</v>
      </c>
      <c r="L532" s="10" t="s">
        <v>25</v>
      </c>
      <c r="M532" s="31">
        <v>1.1697280000000001</v>
      </c>
    </row>
    <row r="533" spans="7:15" x14ac:dyDescent="0.2">
      <c r="J533" s="34">
        <f>+J532*M532</f>
        <v>11000.0051392</v>
      </c>
      <c r="K533" s="1" t="s">
        <v>24</v>
      </c>
    </row>
    <row r="537" spans="7:15" x14ac:dyDescent="0.2">
      <c r="I537" s="35" t="s">
        <v>49</v>
      </c>
      <c r="J537" s="34">
        <f>+J431+J428+J425+J422+J419+J416+J413+J410+J407+J404+J401+J398+J434+J437+J440+J443+J446+J449+J530+J533+J452+J455+J458+J461+J464+J467+J470+J473+J494+J527+J497+J500+J506+J491+J488+J485+J482+J479+J476+J503+J509+J512+J515+J518+J521+J524</f>
        <v>411907.07229917997</v>
      </c>
      <c r="K537" s="1" t="s">
        <v>28</v>
      </c>
      <c r="L537" s="22" t="e" vm="220">
        <v>#VALUE!</v>
      </c>
      <c r="M537" s="199" cm="1">
        <f t="array" aca="1" ref="M537" ca="1">_FV(L537,"Price")</f>
        <v>0.85299999999999998</v>
      </c>
    </row>
    <row r="538" spans="7:15" x14ac:dyDescent="0.2">
      <c r="J538" s="34">
        <f>++J397+J400+J403+J406+J409+J412+J415+J418+J421+J424+J427+J430+J433+J436+J439+J442+J445+J448+J451+J532+J454+J529+J457+J526+J460+J463+J466+J469+J472+J493+J496+J499+J505+J490+J487+J484+J481+J478+J475+J502+J508+J511+J514+J517+J520+J523</f>
        <v>380328.93000000017</v>
      </c>
      <c r="K538" s="1" t="s">
        <v>29</v>
      </c>
      <c r="N538" s="1"/>
    </row>
    <row r="539" spans="7:15" x14ac:dyDescent="0.2">
      <c r="N539" s="1"/>
    </row>
    <row r="540" spans="7:15" x14ac:dyDescent="0.2">
      <c r="N540" s="174"/>
      <c r="O540" s="48"/>
    </row>
    <row r="543" spans="7:15" ht="17" thickBot="1" x14ac:dyDescent="0.25"/>
    <row r="544" spans="7:15" x14ac:dyDescent="0.2">
      <c r="N544" s="166" t="s">
        <v>143</v>
      </c>
      <c r="O544" s="164"/>
    </row>
    <row r="545" spans="7:15" ht="17" thickBot="1" x14ac:dyDescent="0.25">
      <c r="N545" s="167" t="s">
        <v>162</v>
      </c>
      <c r="O545" s="165">
        <f>AVERAGE(M397,M400,M403,M406,M409,M412,M418,M415,M421,M424,M427,M526,M430,M433,M436,M439,M442,M445,M532,M448,M529,M451,M454,M457,M511,M514,M517,M460,M463,M466,M469,M502,M472,M493,M496,M499,M505,M490,M487,M508,M484,M481,M478,M475,M520,M523)</f>
        <v>1.0815377608695655</v>
      </c>
    </row>
    <row r="546" spans="7:15" x14ac:dyDescent="0.2">
      <c r="J546" s="34"/>
      <c r="L546" s="166" t="s">
        <v>143</v>
      </c>
      <c r="M546" s="164"/>
    </row>
    <row r="547" spans="7:15" ht="17" thickBot="1" x14ac:dyDescent="0.25">
      <c r="J547" s="34"/>
      <c r="L547" s="167" t="s">
        <v>144</v>
      </c>
      <c r="M547" s="165">
        <f>+J538/J537</f>
        <v>0.92333673194073329</v>
      </c>
    </row>
    <row r="548" spans="7:15" x14ac:dyDescent="0.2">
      <c r="J548" s="34"/>
    </row>
    <row r="549" spans="7:15" x14ac:dyDescent="0.2">
      <c r="J549" s="34"/>
    </row>
    <row r="550" spans="7:15" x14ac:dyDescent="0.2">
      <c r="J550" s="34"/>
      <c r="L550" s="261" t="e" vm="219">
        <v>#VALUE!</v>
      </c>
      <c r="M550" s="262" cm="1">
        <f t="array" aca="1" ref="M550" ca="1">_FV(L550,"Price")</f>
        <v>1.1719999999999999</v>
      </c>
    </row>
    <row r="551" spans="7:15" x14ac:dyDescent="0.2">
      <c r="G551" s="1" t="s">
        <v>42</v>
      </c>
      <c r="J551" s="34">
        <f>+J537</f>
        <v>411907.07229917997</v>
      </c>
      <c r="L551" s="261" t="e" vm="220">
        <v>#VALUE!</v>
      </c>
      <c r="M551" s="263" cm="1">
        <f t="array" aca="1" ref="M551" ca="1">_FV(L551,"Price")</f>
        <v>0.85299999999999998</v>
      </c>
    </row>
    <row r="552" spans="7:15" x14ac:dyDescent="0.2">
      <c r="G552" s="1" t="s">
        <v>44</v>
      </c>
      <c r="J552" s="34">
        <f>+J538</f>
        <v>380328.93000000017</v>
      </c>
    </row>
    <row r="553" spans="7:15" x14ac:dyDescent="0.2">
      <c r="J553" s="34"/>
    </row>
    <row r="554" spans="7:15" x14ac:dyDescent="0.2">
      <c r="G554" s="1" t="s">
        <v>43</v>
      </c>
      <c r="J554" s="34"/>
    </row>
    <row r="555" spans="7:15" x14ac:dyDescent="0.2">
      <c r="J555" s="34"/>
    </row>
    <row r="556" spans="7:15" x14ac:dyDescent="0.2">
      <c r="G556" s="1" t="s">
        <v>44</v>
      </c>
      <c r="J556" s="34">
        <f ca="1">+J551*M537</f>
        <v>351356.73267120053</v>
      </c>
    </row>
    <row r="557" spans="7:15" x14ac:dyDescent="0.2">
      <c r="G557" s="1" t="s">
        <v>45</v>
      </c>
      <c r="J557" s="173">
        <f ca="1">+J556-J552</f>
        <v>-28972.197328799637</v>
      </c>
    </row>
    <row r="560" spans="7:15" x14ac:dyDescent="0.2">
      <c r="G560" s="338" t="s">
        <v>361</v>
      </c>
      <c r="I560" s="4">
        <v>46060</v>
      </c>
      <c r="J560" s="5">
        <v>653013</v>
      </c>
      <c r="K560" s="1" t="s">
        <v>363</v>
      </c>
      <c r="L560" s="336">
        <f ca="1">+J560*M551</f>
        <v>557020.08900000004</v>
      </c>
    </row>
    <row r="561" spans="7:12" x14ac:dyDescent="0.2">
      <c r="J561" s="337" t="s">
        <v>172</v>
      </c>
      <c r="L561" s="337" t="s">
        <v>173</v>
      </c>
    </row>
    <row r="562" spans="7:12" x14ac:dyDescent="0.2">
      <c r="G562" s="1" t="s">
        <v>362</v>
      </c>
      <c r="J562" s="5">
        <f>+J560-J551</f>
        <v>241105.92770082003</v>
      </c>
      <c r="L562" s="336">
        <f ca="1">+L560-J552</f>
        <v>176691.15899999987</v>
      </c>
    </row>
  </sheetData>
  <autoFilter ref="A4:AH257" xr:uid="{0CD416CA-1C99-4E44-9D6D-F7113250109A}"/>
  <sortState xmlns:xlrd2="http://schemas.microsoft.com/office/spreadsheetml/2017/richdata2" ref="A5:AI255">
    <sortCondition ref="Q5:Q255"/>
    <sortCondition ref="B5:B255"/>
  </sortState>
  <mergeCells count="10">
    <mergeCell ref="AE396:AF396"/>
    <mergeCell ref="R397:R398"/>
    <mergeCell ref="I3:O3"/>
    <mergeCell ref="Q3:W3"/>
    <mergeCell ref="AB3:AC3"/>
    <mergeCell ref="U395:V395"/>
    <mergeCell ref="S395:T395"/>
    <mergeCell ref="M391:N391"/>
    <mergeCell ref="U391:V391"/>
    <mergeCell ref="AC396:AD396"/>
  </mergeCells>
  <phoneticPr fontId="6" type="noConversion"/>
  <conditionalFormatting sqref="A1:F4 AD3:XFD3 C95:C103 S95:T103 G546:J546 S222:U222 A222:C222 AJ222:XFD222 U94:U103 T94 O222:P222 K222:M222 B324:P328 M23:M24 E47:H48 G548:K548 C397:T397 C398:Q398 W397 X398 C399:X399 C400:M400 N423 N473:P474 M387:N388 J387:J388 E387:H388 A388:P390 G498:M498 G495:M495 C456:F474 A392:A474 B411:B474 N492:P494 AH487:XFD491 A483:F483 N483:P483 A477:F477 I477:P477 E222 E158:P159 A158:C159 A93:C94 T93:U93 E16:P16 AF220:AF221 O270:P278 E181 A181:C181 AJ181:XFD181 G21:M22 N21:P24 G17:P17 M25:P27 D16:D17 A391:M391 O391:P391 R391:U391 D295:H295 M295:N295 J295 AH202:AH203 AJ202:XFD203 D93:P103 AJ45:XFD45 J23:J27 O413:Q419 R409:U421 A297:B302 AE324:AJ324 A320:B328 G510:M510 G537:M538 A492:F510 A513:F1048576 A10:C12 A310:P323 C401:Q402 R400:X400 AI200:AI203 AG200:AG203 AJ200:XFD200 AH200 AE334:AJ334 V401:X403 R403:U407 D18:P18 G547:M547 G181:P181 G222:I222 G197:P200 A197:E200 AG182:AG184 AI182:AI184 A202:E204 F197:F204 R93:R103 S93:S94 U223 M223 Y223:Z223 AE222:AF223 J220:J223 R220:R223 N220:N223 V220:V223 AG220:AI223 D220:D223 AF180:AI181 D180:D181 AC324:AD328 W222:AA222 O468:AA468 N540:AA1048576 P538:AA539 O425:AA438 R423:AA424 N469:AA472 R473:AA474 R181:AA181 AD181:AE181 R492:AA494 R483:XFD483 R477:XFD477 AD202:AF203 W391:AA391 V93:AA103 R272:AA278 A309:AA309 AD45:AF45 O420:AA422 N495:AA510 AB492:XFD510 N513:AA537 AB513:XFD1048576 AD200:AF200 AC333:AD334 AC338:AI338 AC339:AJ340 AC341:AI342 AD182:AD184 R104:AA105 T287:AA287 N439:AA467 R308:AA308 F351:AA353 N307:AA307 W286:AA286 F309:AA316 Y392:AA395 V404:AA419 AB404:AD474 F320:AA323 R297:AA297 R288:AA291 T271:AA271 R242:AA242 W270:AA270 AD46 AD220:AD223 AD180 AD241 AD201 F392:AB392 AB395 AB393 AD242:XFD242 D49:H49 F362:AA362 AD150:XFD150 A371:J371 M371:N371 D29:P35 A242:J242 R375:AJ377 M242:N242 R29:AI35 R310:AA366 AC342:AJ366 AC372:AJ381 R372:AB390 A243:P243 AD179:XFD179 R179:AA179 R224:AA227 AD224:XFD227 A224:E227 G224:P227 F220:F227 A372:P386 AC313:AJ323 R382:AJ385 AO339:XFD340 AC335:AJ337 AC325:AJ333 M244:N251 A244:J251 M47:N49 K262:P265 D46:D48 AF46:AF48 AJ47:XFD48 AG45:AI48 R47:AA48 AD47:AE48 J47:J49 T262:XFD265 R155:AA159 AJ20:XFD26 G20:P20 A262:J268 R20:AI27 E20:H22 D263:P265 AC266:AK278 A325:P370 R367:AJ371 AK313:AK385 AO342:XFD385 AL269:XFD278 R147:AC150 AD147:AI149 R201 R45:AA45 AB45:AC48 A264:P269 A85 C85:P85 R164:AA165 G549:M1048576 R151:XFD154 D10:P15 A13:B18 AD185:XFD191 R185:AA191 A28:P28 R28:XFD28 R263:XFD268 R273:XFD278 R282:AA285 AB282:XFD291 O282:P286 R279:AI281 G202:P204 A272:P285 R280:XFD281 AB220:AC227 AB93:XFD105 R142:AI146 Y160:Z163 J160:J163 U160:V163 R160:R163 D158:D163 M160:N163 AB155:XFD165 M240:N240 AG241 AI241 F241 A240:J240 AB241:AC242 AC386:XFD395 AC396 AD397 AE396 AF397 AH396:XFD397 AB398:AB400 AG398:XFD400 AE401:XFD474 D54:H54 M54:N54 J54 R294:AA295 W294:AA296 AB294:XFD302 R36:XFD44 R289:XFD293 M36:N45 J36:J45 D36:H45 A288:P294 F180:F184 AD204:XFD204 R202:AA204 AB179:AC191 A252:P255 A50:P53 A86:P92 A298:AA302 AB307:AB366 AO307:XFD337 AC307:AK312 AL307:AN385 A307:B308 A303:J306 M303:N306 AB194:AC204 R194:AA200 AD194:XFD199 A185:P196 R192:XFD193 A20:B22 M19:P19 J19 D19:D27 A55:P84 R49:XFD92 A257:N257 AC257:XFD265 AB257:AB278 R257:AA269 O257:P268 M256:N256 A256:J256 R243:XFD256 R205:XFD219 A5:P9 R5:XFD19 A168:P179 A205:P219 A227:P239 R227:XFD240 R166:XFD178 A164:F167 H164:P167 A95:A108 C104:P108 A304:P306 A109:P157 R106:XFD141 R299:XFD306">
    <cfRule type="cellIs" dxfId="196" priority="329" operator="lessThan">
      <formula>0</formula>
    </cfRule>
  </conditionalFormatting>
  <conditionalFormatting sqref="A258:N258 A271:N271 A283:I286 K283:M286 A270:I270 K270:M270 A260:N265 A259:L259">
    <cfRule type="cellIs" dxfId="195" priority="222" operator="lessThan">
      <formula>0</formula>
    </cfRule>
  </conditionalFormatting>
  <conditionalFormatting sqref="I13 B23:C24 C95:C103 B392:B401 C393:H402 B222:C222 B392:D392 F392:H392 G546:H1048576 E387:H388 E23:H24 B388:H391 G498:H498 G495:H495 B411:B474 C412:F474 B483:F483 B477:F477 E222 E158:H159 B158:C159 B93:C94 E181 B181:C181 D21:D24 E21:I22 B25:H26 D93:H103 G510:H510 G537:H538 B492:F510 B513:F1048576 B10:C12 D10:H13 G181:H181 G222:H222 G197:H200 B197:E200 G202:H204 B202:E204 F197:F204 D220:D223 D180:D181 D49:H49 D27:H27 F220:F227 G224:H227 B224:E227 E47:H48 D46:D48 D263:I265 C85:H85 B13:B18 D14:I18 B28:H28 D158:D163 F241 D54:H54 D29:H45 F180:F184 B50:H53 B86:H92 B185:H196 D20:I20 B20:B22 B19:H19 B55:H84 B1:H9 B168:H179 B205:H219 B227:H240 B164:F167 H164:H167 C104:H108 B242:H386 B109:H157">
    <cfRule type="cellIs" dxfId="194" priority="328" operator="lessThan">
      <formula>0</formula>
    </cfRule>
  </conditionalFormatting>
  <conditionalFormatting sqref="Y288:Y291 E17:H17 A23:C26 K23:L26 E23:I26 Y294:Y296">
    <cfRule type="cellIs" dxfId="193" priority="285" operator="lessThan">
      <formula>0</formula>
    </cfRule>
  </conditionalFormatting>
  <conditionalFormatting sqref="G403:H404">
    <cfRule type="cellIs" dxfId="192" priority="322" operator="lessThan">
      <formula>0</formula>
    </cfRule>
  </conditionalFormatting>
  <conditionalFormatting sqref="G406:H407">
    <cfRule type="cellIs" dxfId="191" priority="320" operator="lessThan">
      <formula>0</formula>
    </cfRule>
  </conditionalFormatting>
  <conditionalFormatting sqref="G409:H410">
    <cfRule type="cellIs" dxfId="190" priority="318" operator="lessThan">
      <formula>0</formula>
    </cfRule>
  </conditionalFormatting>
  <conditionalFormatting sqref="G412:H413">
    <cfRule type="cellIs" dxfId="189" priority="311" operator="lessThan">
      <formula>0</formula>
    </cfRule>
  </conditionalFormatting>
  <conditionalFormatting sqref="G415:H416">
    <cfRule type="cellIs" dxfId="188" priority="305" operator="lessThan">
      <formula>0</formula>
    </cfRule>
  </conditionalFormatting>
  <conditionalFormatting sqref="G418:H419">
    <cfRule type="cellIs" dxfId="187" priority="307" operator="lessThan">
      <formula>0</formula>
    </cfRule>
  </conditionalFormatting>
  <conditionalFormatting sqref="G430:H430">
    <cfRule type="cellIs" dxfId="186" priority="295" operator="lessThan">
      <formula>0</formula>
    </cfRule>
    <cfRule type="cellIs" dxfId="185" priority="296" operator="lessThan">
      <formula>0</formula>
    </cfRule>
  </conditionalFormatting>
  <conditionalFormatting sqref="G415:M416">
    <cfRule type="cellIs" dxfId="184" priority="306" operator="lessThan">
      <formula>0</formula>
    </cfRule>
  </conditionalFormatting>
  <conditionalFormatting sqref="G418:M419">
    <cfRule type="cellIs" dxfId="183" priority="308" operator="lessThan">
      <formula>0</formula>
    </cfRule>
  </conditionalFormatting>
  <conditionalFormatting sqref="G1:XFD2 G3:AB3 G4:XFD4 R286:S287 C297:P297 B308:P308 A309:D316 C395:S395 C396:V396 N404:N407 N409:N437 C412:F455 A351:D353 AE325:AE328 R284:U286 A307:I307 O295:U296 V288:V291 V272:V278 K307:M307 A392:D392 A287:P291 C393:X394 R270:S278 A320:D323 AE333 R282:S283 V282:V286 AB398:AB400 AC401:AD403 A294:P296 V294:V296">
    <cfRule type="cellIs" dxfId="182" priority="288" operator="lessThan">
      <formula>0</formula>
    </cfRule>
  </conditionalFormatting>
  <conditionalFormatting sqref="I421:M422">
    <cfRule type="cellIs" dxfId="181" priority="304" operator="lessThan">
      <formula>0</formula>
    </cfRule>
  </conditionalFormatting>
  <conditionalFormatting sqref="I424:M425">
    <cfRule type="cellIs" dxfId="180" priority="303" operator="lessThan">
      <formula>0</formula>
    </cfRule>
  </conditionalFormatting>
  <conditionalFormatting sqref="I427:M428">
    <cfRule type="cellIs" dxfId="179" priority="302" operator="lessThan">
      <formula>0</formula>
    </cfRule>
  </conditionalFormatting>
  <conditionalFormatting sqref="I430:M434">
    <cfRule type="cellIs" dxfId="178" priority="270" operator="lessThan">
      <formula>0</formula>
    </cfRule>
  </conditionalFormatting>
  <conditionalFormatting sqref="I436:M437">
    <cfRule type="cellIs" dxfId="177" priority="269" operator="lessThan">
      <formula>0</formula>
    </cfRule>
  </conditionalFormatting>
  <conditionalFormatting sqref="I439:M440">
    <cfRule type="cellIs" dxfId="176" priority="193" operator="lessThan">
      <formula>0</formula>
    </cfRule>
  </conditionalFormatting>
  <conditionalFormatting sqref="M288:N291 G409:M410 N296 M294:N294">
    <cfRule type="cellIs" dxfId="175" priority="319" operator="lessThan">
      <formula>0</formula>
    </cfRule>
  </conditionalFormatting>
  <conditionalFormatting sqref="G406:M407">
    <cfRule type="cellIs" dxfId="174" priority="321" operator="lessThan">
      <formula>0</formula>
    </cfRule>
  </conditionalFormatting>
  <conditionalFormatting sqref="S316 S325:S328 S320:S323 S333">
    <cfRule type="cellIs" dxfId="173" priority="324" operator="lessThan">
      <formula>0</formula>
    </cfRule>
  </conditionalFormatting>
  <conditionalFormatting sqref="R351:S353 U395 W395:X395 X396:X397 G403:M404">
    <cfRule type="cellIs" dxfId="172" priority="323" operator="lessThan">
      <formula>0</formula>
    </cfRule>
  </conditionalFormatting>
  <conditionalFormatting sqref="R288:U291 R294:U296">
    <cfRule type="cellIs" dxfId="171" priority="186" operator="lessThan">
      <formula>0</formula>
    </cfRule>
  </conditionalFormatting>
  <conditionalFormatting sqref="S262:S265 B392:B401 G412:M413">
    <cfRule type="cellIs" dxfId="170" priority="312" operator="lessThan">
      <formula>0</formula>
    </cfRule>
  </conditionalFormatting>
  <conditionalFormatting sqref="T272:X278 T282:U283 W282:X283">
    <cfRule type="cellIs" dxfId="169" priority="251" operator="lessThan">
      <formula>0</formula>
    </cfRule>
  </conditionalFormatting>
  <conditionalFormatting sqref="T270:U270">
    <cfRule type="cellIs" dxfId="168" priority="198" operator="lessThan">
      <formula>0</formula>
    </cfRule>
  </conditionalFormatting>
  <conditionalFormatting sqref="U284:U286">
    <cfRule type="cellIs" dxfId="167" priority="259" operator="lessThan">
      <formula>0</formula>
    </cfRule>
  </conditionalFormatting>
  <conditionalFormatting sqref="U288:U291 U294:U296">
    <cfRule type="cellIs" dxfId="166" priority="263" operator="lessThan">
      <formula>0</formula>
    </cfRule>
  </conditionalFormatting>
  <conditionalFormatting sqref="V272:V278">
    <cfRule type="cellIs" dxfId="165" priority="250" operator="lessThan">
      <formula>0</formula>
    </cfRule>
  </conditionalFormatting>
  <conditionalFormatting sqref="Y272:Y278 Y282:Y286">
    <cfRule type="cellIs" dxfId="164" priority="212" operator="lessThan">
      <formula>0</formula>
    </cfRule>
  </conditionalFormatting>
  <conditionalFormatting sqref="I442:M446">
    <cfRule type="cellIs" dxfId="163" priority="179" operator="lessThan">
      <formula>0</formula>
    </cfRule>
  </conditionalFormatting>
  <conditionalFormatting sqref="I448:M449">
    <cfRule type="cellIs" dxfId="162" priority="177" operator="lessThan">
      <formula>0</formula>
    </cfRule>
  </conditionalFormatting>
  <conditionalFormatting sqref="I451:M452">
    <cfRule type="cellIs" dxfId="161" priority="176" operator="lessThan">
      <formula>0</formula>
    </cfRule>
  </conditionalFormatting>
  <conditionalFormatting sqref="I454:M455">
    <cfRule type="cellIs" dxfId="160" priority="175" operator="lessThan">
      <formula>0</formula>
    </cfRule>
  </conditionalFormatting>
  <conditionalFormatting sqref="I457:M458">
    <cfRule type="cellIs" dxfId="159" priority="172" operator="lessThan">
      <formula>0</formula>
    </cfRule>
  </conditionalFormatting>
  <conditionalFormatting sqref="V272:V278">
    <cfRule type="cellIs" dxfId="158" priority="167" operator="lessThan">
      <formula>0</formula>
    </cfRule>
  </conditionalFormatting>
  <conditionalFormatting sqref="V272:V278">
    <cfRule type="cellIs" dxfId="157" priority="166" operator="lessThan">
      <formula>0</formula>
    </cfRule>
  </conditionalFormatting>
  <conditionalFormatting sqref="V272:V278">
    <cfRule type="cellIs" dxfId="156" priority="165" operator="lessThan">
      <formula>0</formula>
    </cfRule>
  </conditionalFormatting>
  <conditionalFormatting sqref="N335:N337 N344:N345">
    <cfRule type="cellIs" dxfId="155" priority="158" operator="lessThan">
      <formula>0</formula>
    </cfRule>
  </conditionalFormatting>
  <conditionalFormatting sqref="N323">
    <cfRule type="cellIs" dxfId="154" priority="156" operator="lessThan">
      <formula>0</formula>
    </cfRule>
  </conditionalFormatting>
  <conditionalFormatting sqref="N288:N291 N294:N296">
    <cfRule type="cellIs" dxfId="153" priority="153" operator="lessThan">
      <formula>0</formula>
    </cfRule>
  </conditionalFormatting>
  <conditionalFormatting sqref="V354">
    <cfRule type="cellIs" dxfId="152" priority="143" operator="lessThan">
      <formula>0</formula>
    </cfRule>
  </conditionalFormatting>
  <conditionalFormatting sqref="V356">
    <cfRule type="cellIs" dxfId="151" priority="142" operator="lessThan">
      <formula>0</formula>
    </cfRule>
  </conditionalFormatting>
  <conditionalFormatting sqref="V361">
    <cfRule type="cellIs" dxfId="150" priority="139" operator="lessThan">
      <formula>0</formula>
    </cfRule>
  </conditionalFormatting>
  <conditionalFormatting sqref="V347:V350">
    <cfRule type="cellIs" dxfId="149" priority="137" operator="lessThan">
      <formula>0</formula>
    </cfRule>
  </conditionalFormatting>
  <conditionalFormatting sqref="V351:V353">
    <cfRule type="cellIs" dxfId="148" priority="136" operator="lessThan">
      <formula>0</formula>
    </cfRule>
  </conditionalFormatting>
  <conditionalFormatting sqref="V354">
    <cfRule type="cellIs" dxfId="147" priority="135" operator="lessThan">
      <formula>0</formula>
    </cfRule>
  </conditionalFormatting>
  <conditionalFormatting sqref="V335">
    <cfRule type="cellIs" dxfId="146" priority="134" operator="lessThan">
      <formula>0</formula>
    </cfRule>
  </conditionalFormatting>
  <conditionalFormatting sqref="V344">
    <cfRule type="cellIs" dxfId="145" priority="133" operator="lessThan">
      <formula>0</formula>
    </cfRule>
  </conditionalFormatting>
  <conditionalFormatting sqref="V345">
    <cfRule type="cellIs" dxfId="144" priority="132" operator="lessThan">
      <formula>0</formula>
    </cfRule>
  </conditionalFormatting>
  <conditionalFormatting sqref="V333">
    <cfRule type="cellIs" dxfId="143" priority="131" operator="lessThan">
      <formula>0</formula>
    </cfRule>
  </conditionalFormatting>
  <conditionalFormatting sqref="V323 V314:V315">
    <cfRule type="cellIs" dxfId="142" priority="128" operator="lessThan">
      <formula>0</formula>
    </cfRule>
  </conditionalFormatting>
  <conditionalFormatting sqref="V322">
    <cfRule type="cellIs" dxfId="141" priority="126" operator="lessThan">
      <formula>0</formula>
    </cfRule>
  </conditionalFormatting>
  <conditionalFormatting sqref="V307">
    <cfRule type="cellIs" dxfId="140" priority="124" operator="lessThan">
      <formula>0</formula>
    </cfRule>
  </conditionalFormatting>
  <conditionalFormatting sqref="V288:V291 V294">
    <cfRule type="cellIs" dxfId="139" priority="121" operator="lessThan">
      <formula>0</formula>
    </cfRule>
  </conditionalFormatting>
  <conditionalFormatting sqref="V288:V291 V294">
    <cfRule type="cellIs" dxfId="138" priority="120" operator="lessThan">
      <formula>0</formula>
    </cfRule>
  </conditionalFormatting>
  <conditionalFormatting sqref="V288:V291 V294:V296">
    <cfRule type="cellIs" dxfId="137" priority="119" operator="lessThan">
      <formula>0</formula>
    </cfRule>
  </conditionalFormatting>
  <conditionalFormatting sqref="V296">
    <cfRule type="cellIs" dxfId="136" priority="117" operator="lessThan">
      <formula>0</formula>
    </cfRule>
  </conditionalFormatting>
  <conditionalFormatting sqref="V272:V278 V282:V283">
    <cfRule type="cellIs" dxfId="135" priority="116" operator="lessThan">
      <formula>0</formula>
    </cfRule>
  </conditionalFormatting>
  <conditionalFormatting sqref="V272:V278 V282:V283">
    <cfRule type="cellIs" dxfId="134" priority="115" operator="lessThan">
      <formula>0</formula>
    </cfRule>
  </conditionalFormatting>
  <conditionalFormatting sqref="V272:V278 V282:V286">
    <cfRule type="cellIs" dxfId="133" priority="114" operator="lessThan">
      <formula>0</formula>
    </cfRule>
  </conditionalFormatting>
  <conditionalFormatting sqref="V286">
    <cfRule type="cellIs" dxfId="132" priority="112" operator="lessThan">
      <formula>0</formula>
    </cfRule>
  </conditionalFormatting>
  <conditionalFormatting sqref="V270">
    <cfRule type="cellIs" dxfId="131" priority="111" operator="lessThan">
      <formula>0</formula>
    </cfRule>
  </conditionalFormatting>
  <conditionalFormatting sqref="V270">
    <cfRule type="cellIs" dxfId="130" priority="110" operator="lessThan">
      <formula>0</formula>
    </cfRule>
  </conditionalFormatting>
  <conditionalFormatting sqref="V270">
    <cfRule type="cellIs" dxfId="129" priority="109" operator="lessThan">
      <formula>0</formula>
    </cfRule>
  </conditionalFormatting>
  <conditionalFormatting sqref="V270">
    <cfRule type="cellIs" dxfId="128" priority="108" operator="lessThan">
      <formula>0</formula>
    </cfRule>
  </conditionalFormatting>
  <conditionalFormatting sqref="V270">
    <cfRule type="cellIs" dxfId="127" priority="107" operator="lessThan">
      <formula>0</formula>
    </cfRule>
  </conditionalFormatting>
  <conditionalFormatting sqref="V270">
    <cfRule type="cellIs" dxfId="126" priority="106" operator="lessThan">
      <formula>0</formula>
    </cfRule>
  </conditionalFormatting>
  <conditionalFormatting sqref="V270">
    <cfRule type="cellIs" dxfId="125" priority="105" operator="lessThan">
      <formula>0</formula>
    </cfRule>
  </conditionalFormatting>
  <conditionalFormatting sqref="V270">
    <cfRule type="cellIs" dxfId="124" priority="104" operator="lessThan">
      <formula>0</formula>
    </cfRule>
  </conditionalFormatting>
  <conditionalFormatting sqref="V270">
    <cfRule type="cellIs" dxfId="123" priority="103" operator="lessThan">
      <formula>0</formula>
    </cfRule>
  </conditionalFormatting>
  <conditionalFormatting sqref="V270">
    <cfRule type="cellIs" dxfId="122" priority="102" operator="lessThan">
      <formula>0</formula>
    </cfRule>
  </conditionalFormatting>
  <conditionalFormatting sqref="J307">
    <cfRule type="cellIs" dxfId="121" priority="99" operator="lessThan">
      <formula>0</formula>
    </cfRule>
  </conditionalFormatting>
  <conditionalFormatting sqref="J286">
    <cfRule type="cellIs" dxfId="120" priority="96" operator="lessThan">
      <formula>0</formula>
    </cfRule>
  </conditionalFormatting>
  <conditionalFormatting sqref="J270">
    <cfRule type="cellIs" dxfId="119" priority="94" operator="lessThan">
      <formula>0</formula>
    </cfRule>
  </conditionalFormatting>
  <conditionalFormatting sqref="N351:N354">
    <cfRule type="cellIs" dxfId="118" priority="89" operator="lessThan">
      <formula>0</formula>
    </cfRule>
  </conditionalFormatting>
  <conditionalFormatting sqref="N357:N360">
    <cfRule type="cellIs" dxfId="117" priority="88" operator="lessThan">
      <formula>0</formula>
    </cfRule>
  </conditionalFormatting>
  <conditionalFormatting sqref="N325:N328">
    <cfRule type="cellIs" dxfId="116" priority="87" operator="lessThan">
      <formula>0</formula>
    </cfRule>
  </conditionalFormatting>
  <conditionalFormatting sqref="N309:N313 N315:N316 N322:N323">
    <cfRule type="cellIs" dxfId="115" priority="86" operator="lessThan">
      <formula>0</formula>
    </cfRule>
  </conditionalFormatting>
  <conditionalFormatting sqref="N307">
    <cfRule type="cellIs" dxfId="114" priority="84" operator="lessThan">
      <formula>0</formula>
    </cfRule>
  </conditionalFormatting>
  <conditionalFormatting sqref="N288:N291 N294:N296">
    <cfRule type="cellIs" dxfId="113" priority="82" operator="lessThan">
      <formula>0</formula>
    </cfRule>
  </conditionalFormatting>
  <conditionalFormatting sqref="N288:N291 N294:N295">
    <cfRule type="cellIs" dxfId="112" priority="80" operator="lessThan">
      <formula>0</formula>
    </cfRule>
  </conditionalFormatting>
  <conditionalFormatting sqref="N272:N278 N282:N286">
    <cfRule type="cellIs" dxfId="111" priority="79" operator="lessThan">
      <formula>0</formula>
    </cfRule>
  </conditionalFormatting>
  <conditionalFormatting sqref="N272:N278 N282:N286">
    <cfRule type="cellIs" dxfId="110" priority="78" operator="lessThan">
      <formula>0</formula>
    </cfRule>
  </conditionalFormatting>
  <conditionalFormatting sqref="N272:N278 N282:N286">
    <cfRule type="cellIs" dxfId="109" priority="76" operator="lessThan">
      <formula>0</formula>
    </cfRule>
  </conditionalFormatting>
  <conditionalFormatting sqref="N270">
    <cfRule type="cellIs" dxfId="108" priority="75" operator="lessThan">
      <formula>0</formula>
    </cfRule>
  </conditionalFormatting>
  <conditionalFormatting sqref="N270">
    <cfRule type="cellIs" dxfId="107" priority="74" operator="lessThan">
      <formula>0</formula>
    </cfRule>
  </conditionalFormatting>
  <conditionalFormatting sqref="N270">
    <cfRule type="cellIs" dxfId="106" priority="72" operator="lessThan">
      <formula>0</formula>
    </cfRule>
  </conditionalFormatting>
  <conditionalFormatting sqref="N8 N11 N22 N26 N312:N313 N262:N265 N65 N330:N332 N95 N98 N101 N119 N134 N196 N375:N378 N223 N325 N233 N291 N130:N131 N71:N74 N242 N42 N244:N248 N37:N40 N294:N295 N192:N194">
    <cfRule type="cellIs" dxfId="105" priority="71" operator="lessThan">
      <formula>0</formula>
    </cfRule>
  </conditionalFormatting>
  <conditionalFormatting sqref="N125">
    <cfRule type="cellIs" dxfId="104" priority="70" operator="lessThan">
      <formula>0</formula>
    </cfRule>
  </conditionalFormatting>
  <conditionalFormatting sqref="I460:M461">
    <cfRule type="cellIs" dxfId="103" priority="69" operator="lessThan">
      <formula>0</formula>
    </cfRule>
  </conditionalFormatting>
  <conditionalFormatting sqref="I463:M464">
    <cfRule type="cellIs" dxfId="102" priority="68" operator="lessThan">
      <formula>0</formula>
    </cfRule>
  </conditionalFormatting>
  <conditionalFormatting sqref="I466:M467">
    <cfRule type="cellIs" dxfId="101" priority="67" operator="lessThan">
      <formula>0</formula>
    </cfRule>
  </conditionalFormatting>
  <conditionalFormatting sqref="I469:M474 I493:M494 I483:M483">
    <cfRule type="cellIs" dxfId="100" priority="66" operator="lessThan">
      <formula>0</formula>
    </cfRule>
  </conditionalFormatting>
  <conditionalFormatting sqref="S398:T398">
    <cfRule type="cellIs" dxfId="99" priority="65" operator="lessThan">
      <formula>0</formula>
    </cfRule>
  </conditionalFormatting>
  <conditionalFormatting sqref="N389:N390">
    <cfRule type="cellIs" dxfId="98" priority="64" operator="lessThan">
      <formula>0</formula>
    </cfRule>
  </conditionalFormatting>
  <conditionalFormatting sqref="N387:N388">
    <cfRule type="cellIs" dxfId="97" priority="63" operator="lessThan">
      <formula>0</formula>
    </cfRule>
  </conditionalFormatting>
  <conditionalFormatting sqref="M259:N259">
    <cfRule type="cellIs" dxfId="96" priority="62" operator="lessThan">
      <formula>0</formula>
    </cfRule>
  </conditionalFormatting>
  <conditionalFormatting sqref="I496:M497">
    <cfRule type="cellIs" dxfId="95" priority="61" operator="lessThan">
      <formula>0</formula>
    </cfRule>
  </conditionalFormatting>
  <conditionalFormatting sqref="I499:M509">
    <cfRule type="cellIs" dxfId="94" priority="60" operator="lessThan">
      <formula>0</formula>
    </cfRule>
  </conditionalFormatting>
  <conditionalFormatting sqref="J490">
    <cfRule type="cellIs" dxfId="93" priority="59" operator="lessThan">
      <formula>0</formula>
    </cfRule>
  </conditionalFormatting>
  <conditionalFormatting sqref="J491">
    <cfRule type="cellIs" dxfId="92" priority="58" operator="lessThan">
      <formula>0</formula>
    </cfRule>
  </conditionalFormatting>
  <conditionalFormatting sqref="J487">
    <cfRule type="cellIs" dxfId="91" priority="57" operator="lessThan">
      <formula>0</formula>
    </cfRule>
  </conditionalFormatting>
  <conditionalFormatting sqref="J488">
    <cfRule type="cellIs" dxfId="90" priority="56" operator="lessThan">
      <formula>0</formula>
    </cfRule>
  </conditionalFormatting>
  <conditionalFormatting sqref="AH484:XFD485">
    <cfRule type="cellIs" dxfId="89" priority="55" operator="lessThan">
      <formula>0</formula>
    </cfRule>
  </conditionalFormatting>
  <conditionalFormatting sqref="J484">
    <cfRule type="cellIs" dxfId="88" priority="54" operator="lessThan">
      <formula>0</formula>
    </cfRule>
  </conditionalFormatting>
  <conditionalFormatting sqref="J485">
    <cfRule type="cellIs" dxfId="87" priority="53" operator="lessThan">
      <formula>0</formula>
    </cfRule>
  </conditionalFormatting>
  <conditionalFormatting sqref="AH478:XFD480">
    <cfRule type="cellIs" dxfId="86" priority="52" operator="lessThan">
      <formula>0</formula>
    </cfRule>
  </conditionalFormatting>
  <conditionalFormatting sqref="J478">
    <cfRule type="cellIs" dxfId="85" priority="51" operator="lessThan">
      <formula>0</formula>
    </cfRule>
  </conditionalFormatting>
  <conditionalFormatting sqref="J479:J480">
    <cfRule type="cellIs" dxfId="84" priority="50" operator="lessThan">
      <formula>0</formula>
    </cfRule>
  </conditionalFormatting>
  <conditionalFormatting sqref="AH481:XFD482">
    <cfRule type="cellIs" dxfId="83" priority="49" operator="lessThan">
      <formula>0</formula>
    </cfRule>
  </conditionalFormatting>
  <conditionalFormatting sqref="J481">
    <cfRule type="cellIs" dxfId="82" priority="48" operator="lessThan">
      <formula>0</formula>
    </cfRule>
  </conditionalFormatting>
  <conditionalFormatting sqref="J482">
    <cfRule type="cellIs" dxfId="81" priority="47" operator="lessThan">
      <formula>0</formula>
    </cfRule>
  </conditionalFormatting>
  <conditionalFormatting sqref="AH475:XFD476">
    <cfRule type="cellIs" dxfId="80" priority="46" operator="lessThan">
      <formula>0</formula>
    </cfRule>
  </conditionalFormatting>
  <conditionalFormatting sqref="J475">
    <cfRule type="cellIs" dxfId="79" priority="45" operator="lessThan">
      <formula>0</formula>
    </cfRule>
  </conditionalFormatting>
  <conditionalFormatting sqref="J476">
    <cfRule type="cellIs" dxfId="78" priority="44" operator="lessThan">
      <formula>0</formula>
    </cfRule>
  </conditionalFormatting>
  <conditionalFormatting sqref="E27:I27 K27:L27">
    <cfRule type="cellIs" dxfId="77" priority="37" operator="lessThan">
      <formula>0</formula>
    </cfRule>
  </conditionalFormatting>
  <conditionalFormatting sqref="I511:M512">
    <cfRule type="cellIs" dxfId="76" priority="32" operator="lessThan">
      <formula>0</formula>
    </cfRule>
  </conditionalFormatting>
  <conditionalFormatting sqref="I514:M515">
    <cfRule type="cellIs" dxfId="75" priority="31" operator="lessThan">
      <formula>0</formula>
    </cfRule>
  </conditionalFormatting>
  <conditionalFormatting sqref="I517:M518">
    <cfRule type="cellIs" dxfId="74" priority="30" operator="lessThan">
      <formula>0</formula>
    </cfRule>
  </conditionalFormatting>
  <conditionalFormatting sqref="N357:N359">
    <cfRule type="cellIs" dxfId="73" priority="29" operator="lessThan">
      <formula>0</formula>
    </cfRule>
  </conditionalFormatting>
  <conditionalFormatting sqref="N329:N332">
    <cfRule type="cellIs" dxfId="72" priority="28" operator="lessThan">
      <formula>0</formula>
    </cfRule>
  </conditionalFormatting>
  <conditionalFormatting sqref="I520:M521">
    <cfRule type="cellIs" dxfId="71" priority="27" operator="lessThan">
      <formula>0</formula>
    </cfRule>
  </conditionalFormatting>
  <conditionalFormatting sqref="I524:M524 I523:L523">
    <cfRule type="cellIs" dxfId="70" priority="26" operator="lessThan">
      <formula>0</formula>
    </cfRule>
  </conditionalFormatting>
  <conditionalFormatting sqref="M523">
    <cfRule type="cellIs" dxfId="69" priority="25" operator="lessThan">
      <formula>0</formula>
    </cfRule>
  </conditionalFormatting>
  <conditionalFormatting sqref="N343">
    <cfRule type="cellIs" dxfId="68" priority="24" operator="lessThan">
      <formula>0</formula>
    </cfRule>
  </conditionalFormatting>
  <conditionalFormatting sqref="Q388">
    <cfRule type="cellIs" dxfId="67" priority="23" operator="lessThan">
      <formula>0</formula>
    </cfRule>
  </conditionalFormatting>
  <conditionalFormatting sqref="Q390">
    <cfRule type="cellIs" dxfId="66" priority="22" operator="lessThan">
      <formula>0</formula>
    </cfRule>
  </conditionalFormatting>
  <conditionalFormatting sqref="I527:M527 I526:L526">
    <cfRule type="cellIs" dxfId="65" priority="20" operator="lessThan">
      <formula>0</formula>
    </cfRule>
  </conditionalFormatting>
  <conditionalFormatting sqref="M526">
    <cfRule type="cellIs" dxfId="64" priority="19" operator="lessThan">
      <formula>0</formula>
    </cfRule>
  </conditionalFormatting>
  <conditionalFormatting sqref="I530:M530 I529:L529">
    <cfRule type="cellIs" dxfId="63" priority="18" operator="lessThan">
      <formula>0</formula>
    </cfRule>
  </conditionalFormatting>
  <conditionalFormatting sqref="M529">
    <cfRule type="cellIs" dxfId="62" priority="17" operator="lessThan">
      <formula>0</formula>
    </cfRule>
  </conditionalFormatting>
  <conditionalFormatting sqref="I533:M533 I532:L532">
    <cfRule type="cellIs" dxfId="61" priority="16" operator="lessThan">
      <formula>0</formula>
    </cfRule>
  </conditionalFormatting>
  <conditionalFormatting sqref="M532">
    <cfRule type="cellIs" dxfId="60" priority="15" operator="lessThan">
      <formula>0</formula>
    </cfRule>
  </conditionalFormatting>
  <conditionalFormatting sqref="K560">
    <cfRule type="cellIs" dxfId="59" priority="14" operator="lessThan">
      <formula>0</formula>
    </cfRule>
  </conditionalFormatting>
  <conditionalFormatting sqref="N303:N306">
    <cfRule type="cellIs" dxfId="58" priority="4" operator="lessThan">
      <formula>0</formula>
    </cfRule>
  </conditionalFormatting>
  <conditionalFormatting sqref="A19:C19 K19:L19 E19:I19">
    <cfRule type="cellIs" dxfId="57" priority="3" operator="lessThan">
      <formula>0</formula>
    </cfRule>
  </conditionalFormatting>
  <conditionalFormatting sqref="N19">
    <cfRule type="cellIs" dxfId="56" priority="2" operator="lessThan">
      <formula>0</formula>
    </cfRule>
  </conditionalFormatting>
  <conditionalFormatting sqref="Z303">
    <cfRule type="cellIs" dxfId="55" priority="1" operator="lessThan">
      <formula>0</formula>
    </cfRule>
  </conditionalFormatting>
  <pageMargins left="0.7" right="0.7" top="0.75" bottom="0.75" header="0.3" footer="0.3"/>
  <ignoredErrors>
    <ignoredError sqref="V393" emptyCellReference="1"/>
  </ignoredErrors>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6CD09-ABD2-A449-8513-FEE1A9F2838F}">
  <sheetPr codeName="Hoja1">
    <tabColor theme="5" tint="0.39997558519241921"/>
  </sheetPr>
  <dimension ref="A1:AZ523"/>
  <sheetViews>
    <sheetView zoomScale="120" zoomScaleNormal="120" workbookViewId="0">
      <pane xSplit="4" ySplit="11" topLeftCell="E52" activePane="bottomRight" state="frozen"/>
      <selection pane="topRight" activeCell="E1" sqref="E1"/>
      <selection pane="bottomLeft" activeCell="A8" sqref="A8"/>
      <selection pane="bottomRight" activeCell="E44" sqref="E44"/>
    </sheetView>
  </sheetViews>
  <sheetFormatPr baseColWidth="10" defaultColWidth="10.83203125" defaultRowHeight="16" x14ac:dyDescent="0.2"/>
  <cols>
    <col min="1" max="1" width="45.5" style="75" customWidth="1"/>
    <col min="2" max="2" width="9.83203125" style="75" bestFit="1" customWidth="1"/>
    <col min="3" max="3" width="9.83203125" style="48" customWidth="1"/>
    <col min="4" max="4" width="12.33203125" style="75" customWidth="1"/>
    <col min="5" max="5" width="13" style="28" customWidth="1"/>
    <col min="6" max="8" width="12.1640625" style="28" customWidth="1"/>
    <col min="9" max="9" width="17" style="76" bestFit="1" customWidth="1"/>
    <col min="10" max="11" width="13.1640625" style="75" customWidth="1"/>
    <col min="12" max="14" width="13.33203125" style="75" bestFit="1" customWidth="1"/>
    <col min="15" max="15" width="13" style="75" bestFit="1" customWidth="1"/>
    <col min="16" max="16" width="13" style="75" customWidth="1"/>
    <col min="17" max="18" width="13" style="220" customWidth="1"/>
    <col min="19" max="19" width="10.6640625" style="75" customWidth="1"/>
    <col min="20" max="20" width="14.1640625" style="110" customWidth="1"/>
    <col min="21" max="21" width="9.6640625" style="110" customWidth="1"/>
    <col min="22" max="22" width="14.6640625" style="4" customWidth="1"/>
    <col min="23" max="23" width="13.1640625" style="4" customWidth="1"/>
    <col min="24" max="24" width="9.33203125" style="76" customWidth="1"/>
    <col min="25" max="25" width="14.83203125" style="75" customWidth="1"/>
    <col min="26" max="26" width="17.5" style="75" customWidth="1"/>
    <col min="27" max="27" width="18.6640625" style="75" customWidth="1"/>
    <col min="28" max="28" width="12.1640625" style="75" customWidth="1"/>
    <col min="29" max="29" width="17" style="76" bestFit="1" customWidth="1"/>
    <col min="30" max="30" width="19" style="76" customWidth="1"/>
    <col min="31" max="31" width="17" style="28" customWidth="1"/>
    <col min="32" max="32" width="17" style="76" bestFit="1" customWidth="1"/>
    <col min="33" max="33" width="17" style="48" customWidth="1"/>
    <col min="34" max="34" width="17.1640625" style="76" bestFit="1" customWidth="1"/>
    <col min="35" max="35" width="17.33203125" style="48" customWidth="1"/>
    <col min="36" max="36" width="18.1640625" style="48" customWidth="1"/>
    <col min="37" max="37" width="19.33203125" style="28" customWidth="1"/>
    <col min="38" max="38" width="15.6640625" style="75" customWidth="1"/>
    <col min="39" max="39" width="16" style="48" customWidth="1"/>
    <col min="40" max="40" width="24.1640625" style="75" bestFit="1" customWidth="1"/>
    <col min="42" max="42" width="14" style="5" bestFit="1" customWidth="1"/>
    <col min="43" max="43" width="10.83203125" style="5"/>
    <col min="44" max="44" width="12.33203125" style="75" customWidth="1"/>
    <col min="45" max="45" width="10.83203125" style="5"/>
    <col min="46" max="46" width="11.83203125" style="193" bestFit="1" customWidth="1"/>
    <col min="47" max="47" width="10.83203125" style="75"/>
    <col min="48" max="48" width="14" style="75" customWidth="1"/>
    <col min="49" max="49" width="11.5" style="75" bestFit="1" customWidth="1"/>
    <col min="50" max="16384" width="10.83203125" style="75"/>
  </cols>
  <sheetData>
    <row r="1" spans="1:52" x14ac:dyDescent="0.2">
      <c r="S1" s="75" t="s">
        <v>75</v>
      </c>
      <c r="T1" s="113" t="s">
        <v>77</v>
      </c>
      <c r="U1" s="113"/>
      <c r="V1" s="16" t="s">
        <v>26</v>
      </c>
      <c r="W1" s="16"/>
      <c r="AO1" s="75"/>
      <c r="AV1" s="75" t="s">
        <v>224</v>
      </c>
    </row>
    <row r="2" spans="1:52" x14ac:dyDescent="0.2">
      <c r="A2" s="242"/>
      <c r="S2" s="75" t="s">
        <v>76</v>
      </c>
      <c r="T2" s="113" t="s">
        <v>78</v>
      </c>
      <c r="U2" s="113"/>
      <c r="V2" s="16" t="s">
        <v>72</v>
      </c>
      <c r="W2" s="16"/>
      <c r="AN2" s="5">
        <v>112700</v>
      </c>
      <c r="AO2" s="75">
        <v>127</v>
      </c>
      <c r="AP2" s="5">
        <f>+AN2/AO2</f>
        <v>887.40157480314963</v>
      </c>
      <c r="AT2" s="193" t="s">
        <v>227</v>
      </c>
      <c r="AU2" s="75">
        <f>45000*1.21</f>
        <v>54450</v>
      </c>
      <c r="AV2" s="75">
        <f>+AU2/10</f>
        <v>5445</v>
      </c>
      <c r="AY2" s="75" t="s">
        <v>226</v>
      </c>
      <c r="AZ2" s="75" t="s">
        <v>224</v>
      </c>
    </row>
    <row r="3" spans="1:52" x14ac:dyDescent="0.2">
      <c r="A3" s="250"/>
      <c r="B3" s="305" t="s">
        <v>320</v>
      </c>
      <c r="I3" s="76">
        <f>+G3-F3</f>
        <v>0</v>
      </c>
      <c r="S3" s="75" t="s">
        <v>26</v>
      </c>
      <c r="T3" s="113" t="s">
        <v>26</v>
      </c>
      <c r="U3" s="113"/>
      <c r="V3" s="16" t="s">
        <v>108</v>
      </c>
      <c r="W3" s="16"/>
      <c r="Z3" s="75">
        <f>9712+48</f>
        <v>9760</v>
      </c>
      <c r="AA3" s="75">
        <v>9773</v>
      </c>
      <c r="AB3" s="258">
        <f>+AA3/Z3-1</f>
        <v>1.331967213114682E-3</v>
      </c>
      <c r="AC3" s="76">
        <f>+AA3-Z3</f>
        <v>13</v>
      </c>
      <c r="AN3" s="297">
        <v>130386</v>
      </c>
      <c r="AO3" s="75">
        <v>70</v>
      </c>
      <c r="AP3" s="5">
        <f>+AN3/AO3</f>
        <v>1862.6571428571428</v>
      </c>
      <c r="AT3" s="193" t="s">
        <v>228</v>
      </c>
      <c r="AU3" s="75">
        <v>200</v>
      </c>
      <c r="AV3" s="75">
        <f>+AU3</f>
        <v>200</v>
      </c>
      <c r="AX3" s="75" t="s">
        <v>225</v>
      </c>
      <c r="AY3" s="75">
        <v>900</v>
      </c>
      <c r="AZ3" s="75">
        <f>+AY3*12</f>
        <v>10800</v>
      </c>
    </row>
    <row r="4" spans="1:52" x14ac:dyDescent="0.2">
      <c r="A4" s="254"/>
      <c r="M4" s="28"/>
      <c r="S4" s="75" t="s">
        <v>181</v>
      </c>
      <c r="T4" s="113" t="s">
        <v>136</v>
      </c>
      <c r="U4" s="113"/>
      <c r="V4" s="16" t="s">
        <v>88</v>
      </c>
      <c r="W4" s="16"/>
      <c r="AM4" s="48" t="s">
        <v>229</v>
      </c>
      <c r="AN4" s="5">
        <v>148065</v>
      </c>
      <c r="AO4" s="75">
        <f>+AO3</f>
        <v>70</v>
      </c>
      <c r="AP4" s="5">
        <f>+AN4/AO4</f>
        <v>2115.2142857142858</v>
      </c>
      <c r="AR4" s="75">
        <f>+AN4*166.386</f>
        <v>24635943.09</v>
      </c>
      <c r="AU4" s="75">
        <v>130</v>
      </c>
      <c r="AV4" s="75">
        <f>130*4</f>
        <v>520</v>
      </c>
    </row>
    <row r="5" spans="1:52" x14ac:dyDescent="0.2">
      <c r="A5" s="151"/>
      <c r="B5" s="304" t="s">
        <v>426</v>
      </c>
      <c r="V5" s="4" t="s">
        <v>131</v>
      </c>
      <c r="AL5" s="75">
        <f>12*900</f>
        <v>10800</v>
      </c>
      <c r="AN5" s="5"/>
      <c r="AO5" s="75"/>
      <c r="AQ5" s="148">
        <f>+AP3/AP2-1</f>
        <v>1.0990013943465584</v>
      </c>
    </row>
    <row r="6" spans="1:52" x14ac:dyDescent="0.2">
      <c r="A6" s="179"/>
      <c r="B6" s="304" t="s">
        <v>321</v>
      </c>
      <c r="V6" s="4" t="s">
        <v>189</v>
      </c>
      <c r="AL6" s="75">
        <f>12*900</f>
        <v>10800</v>
      </c>
      <c r="AN6" s="5"/>
      <c r="AO6" s="75"/>
    </row>
    <row r="7" spans="1:52" x14ac:dyDescent="0.2">
      <c r="A7" s="241"/>
      <c r="V7" s="4" t="s">
        <v>190</v>
      </c>
      <c r="AN7" s="5">
        <f>+AN2*1.11</f>
        <v>125097.00000000001</v>
      </c>
      <c r="AO7" s="75">
        <v>78</v>
      </c>
      <c r="AP7" s="5">
        <f>+AN7/AO7</f>
        <v>1603.8076923076926</v>
      </c>
      <c r="AV7" s="75" t="s">
        <v>80</v>
      </c>
      <c r="AW7" s="5">
        <f>+AN9</f>
        <v>164352.15000000002</v>
      </c>
    </row>
    <row r="8" spans="1:52" x14ac:dyDescent="0.2">
      <c r="A8" s="243"/>
      <c r="B8" s="304" t="s">
        <v>322</v>
      </c>
      <c r="V8" s="4" t="s">
        <v>199</v>
      </c>
      <c r="AN8" s="5">
        <f>+AN3*1.11</f>
        <v>144728.46000000002</v>
      </c>
      <c r="AO8" s="75">
        <v>51</v>
      </c>
      <c r="AP8" s="5">
        <f>+AN8/AO8</f>
        <v>2837.8129411764712</v>
      </c>
      <c r="AS8" s="5" t="e">
        <f>+AL6/#REF!*100</f>
        <v>#REF!</v>
      </c>
      <c r="AV8" s="193" t="s">
        <v>221</v>
      </c>
      <c r="AW8" s="5">
        <f>+AU2</f>
        <v>54450</v>
      </c>
    </row>
    <row r="9" spans="1:52" x14ac:dyDescent="0.2">
      <c r="V9" s="4" t="s">
        <v>212</v>
      </c>
      <c r="AN9" s="5">
        <f>+AN4*1.11</f>
        <v>164352.15000000002</v>
      </c>
      <c r="AO9" s="75">
        <v>51</v>
      </c>
      <c r="AP9" s="5">
        <f>+AN9/AO9</f>
        <v>3222.5911764705888</v>
      </c>
      <c r="AQ9" s="148">
        <f>+AP8/AP7-1</f>
        <v>0.76942220366407432</v>
      </c>
      <c r="AV9" s="193" t="s">
        <v>222</v>
      </c>
      <c r="AW9" s="5">
        <f>+AV3</f>
        <v>200</v>
      </c>
    </row>
    <row r="10" spans="1:52" x14ac:dyDescent="0.2">
      <c r="I10" s="75"/>
      <c r="Z10" s="28" t="s">
        <v>111</v>
      </c>
      <c r="AA10" s="75" t="s">
        <v>112</v>
      </c>
      <c r="AC10" s="75"/>
      <c r="AD10" s="75"/>
      <c r="AF10" s="75"/>
      <c r="AH10" s="75"/>
      <c r="AJ10" s="28" t="s">
        <v>111</v>
      </c>
      <c r="AK10" s="28" t="s">
        <v>112</v>
      </c>
      <c r="AO10" s="75"/>
      <c r="AV10" s="193" t="s">
        <v>223</v>
      </c>
      <c r="AW10" s="5">
        <f>+AV4</f>
        <v>520</v>
      </c>
      <c r="AY10" s="75" t="s">
        <v>85</v>
      </c>
      <c r="AZ10" s="75" t="e">
        <f>+AZ3/#REF!*100</f>
        <v>#REF!</v>
      </c>
    </row>
    <row r="11" spans="1:52" s="77" customFormat="1" ht="19" x14ac:dyDescent="0.25">
      <c r="A11" s="77" t="s">
        <v>0</v>
      </c>
      <c r="B11" s="77" t="s">
        <v>20</v>
      </c>
      <c r="C11" s="50" t="s">
        <v>174</v>
      </c>
      <c r="D11" s="77" t="s">
        <v>40</v>
      </c>
      <c r="E11" s="264" t="s">
        <v>81</v>
      </c>
      <c r="F11" s="264" t="s">
        <v>211</v>
      </c>
      <c r="G11" s="264" t="s">
        <v>317</v>
      </c>
      <c r="H11" s="264" t="s">
        <v>187</v>
      </c>
      <c r="I11" s="129" t="s">
        <v>257</v>
      </c>
      <c r="J11" s="77" t="s">
        <v>125</v>
      </c>
      <c r="K11" s="77" t="s">
        <v>126</v>
      </c>
      <c r="L11" s="77" t="s">
        <v>129</v>
      </c>
      <c r="M11" s="234" t="s">
        <v>175</v>
      </c>
      <c r="N11" s="234" t="s">
        <v>176</v>
      </c>
      <c r="O11" s="77" t="s">
        <v>130</v>
      </c>
      <c r="P11" s="77" t="s">
        <v>207</v>
      </c>
      <c r="Q11" s="221" t="s">
        <v>178</v>
      </c>
      <c r="R11" s="221" t="s">
        <v>177</v>
      </c>
      <c r="S11" s="77" t="s">
        <v>75</v>
      </c>
      <c r="T11" s="111" t="s">
        <v>74</v>
      </c>
      <c r="U11" s="111" t="s">
        <v>71</v>
      </c>
      <c r="V11" s="3" t="s">
        <v>102</v>
      </c>
      <c r="W11" s="3" t="s">
        <v>103</v>
      </c>
      <c r="X11" s="78" t="s">
        <v>107</v>
      </c>
      <c r="Y11" s="77" t="s">
        <v>79</v>
      </c>
      <c r="Z11" s="77" t="s">
        <v>80</v>
      </c>
      <c r="AA11" s="77" t="s">
        <v>121</v>
      </c>
      <c r="AB11" s="77" t="s">
        <v>209</v>
      </c>
      <c r="AC11" s="129" t="s">
        <v>398</v>
      </c>
      <c r="AD11" s="129" t="s">
        <v>258</v>
      </c>
      <c r="AE11" s="130" t="s">
        <v>208</v>
      </c>
      <c r="AF11" s="332" t="s">
        <v>299</v>
      </c>
      <c r="AG11" s="131" t="s">
        <v>192</v>
      </c>
      <c r="AH11" s="132" t="s">
        <v>73</v>
      </c>
      <c r="AI11" s="131" t="s">
        <v>193</v>
      </c>
      <c r="AJ11" s="133" t="s">
        <v>87</v>
      </c>
      <c r="AK11" s="130" t="s">
        <v>194</v>
      </c>
      <c r="AL11" s="134" t="s">
        <v>84</v>
      </c>
      <c r="AM11" s="133" t="s">
        <v>85</v>
      </c>
      <c r="AN11" s="77" t="s">
        <v>127</v>
      </c>
      <c r="AO11" s="77" t="s">
        <v>169</v>
      </c>
      <c r="AP11" s="6" t="s">
        <v>171</v>
      </c>
      <c r="AQ11" s="6" t="s">
        <v>191</v>
      </c>
      <c r="AR11" s="77" t="s">
        <v>65</v>
      </c>
      <c r="AS11" s="6" t="s">
        <v>33</v>
      </c>
      <c r="AT11" s="194" t="s">
        <v>66</v>
      </c>
      <c r="AU11" s="77" t="s">
        <v>41</v>
      </c>
    </row>
    <row r="12" spans="1:52" ht="16" customHeight="1" x14ac:dyDescent="0.2">
      <c r="A12" s="75" t="e" vm="68">
        <v>#VALUE!</v>
      </c>
      <c r="B12" s="75" t="str" cm="1">
        <f t="array" aca="1" ref="B12" ca="1">_FV(A12,"Ticker symbol",TRUE)</f>
        <v>FAE</v>
      </c>
      <c r="C12" s="217" cm="1">
        <f t="array" aca="1" ref="C12" ca="1">_FV(A12,"Change (%)",TRUE)</f>
        <v>-3.1250000000000002E-3</v>
      </c>
      <c r="D12" s="144" cm="1">
        <f t="array" aca="1" ref="D12" ca="1">_FV(A12,"Price")</f>
        <v>4.7850000000000001</v>
      </c>
      <c r="E12" s="159">
        <f ca="1">AE12</f>
        <v>-4.9763845350052254</v>
      </c>
      <c r="F12" s="321">
        <f ca="1">+Tabla2[[#This Row],[Rentab. Parcial]]</f>
        <v>0.9530612244897958</v>
      </c>
      <c r="G12" s="321">
        <f ca="1">+Tabla2[[#This Row],[Rentab. Parcial2]]</f>
        <v>0.9530612244897958</v>
      </c>
      <c r="H12" s="253">
        <f ca="1">+Tabla2[[#This Row],[Difer. Investing]]</f>
        <v>0.14106583072100309</v>
      </c>
      <c r="I12" s="79">
        <f>+Tabla2[[#This Row],[Objetivo div2]]</f>
        <v>-19.027000000000001</v>
      </c>
      <c r="J12" s="75" cm="1">
        <f t="array" aca="1" ref="J12" ca="1">_FV(A12,"High")</f>
        <v>4.8449999999999998</v>
      </c>
      <c r="K12" s="75" cm="1">
        <f t="array" aca="1" ref="K12" ca="1">_FV(A12,"Low")</f>
        <v>4.78</v>
      </c>
      <c r="L12" s="75" cm="1">
        <f t="array" aca="1" ref="L12" ca="1">_FV(Tabla2[[#This Row],[valor]],"52 week high",TRUE)</f>
        <v>5.44</v>
      </c>
      <c r="M12" s="75">
        <f ca="1">+Tabla2[[#This Row],[52 high]]*0.9</f>
        <v>4.8960000000000008</v>
      </c>
      <c r="N12" s="75">
        <f ca="1">+Tabla2[[#This Row],[52 high]]*0.95</f>
        <v>5.1680000000000001</v>
      </c>
      <c r="O12" s="75" cm="1">
        <f t="array" aca="1" ref="O12" ca="1">_FV(Tabla2[[#This Row],[valor]],"52 week low",TRUE)</f>
        <v>4.0999999999999996</v>
      </c>
      <c r="P12" s="220">
        <f ca="1">+TODAY()-Tabla2[[#This Row],[F. compra]]</f>
        <v>733</v>
      </c>
      <c r="Q12" s="220">
        <f ca="1">GESTEP(Tabla2[[#This Row],[price]],Tabla2[[#This Row],[HIGH 10%]])</f>
        <v>0</v>
      </c>
      <c r="R12" s="220">
        <f ca="1">GESTEP(Tabla2[[#This Row],[price]],Tabla2[[#This Row],[HIGH 5%]])</f>
        <v>0</v>
      </c>
      <c r="S12" s="75" t="s">
        <v>75</v>
      </c>
      <c r="T12" s="110" t="s">
        <v>26</v>
      </c>
      <c r="U12" s="110" t="s">
        <v>72</v>
      </c>
      <c r="V12" s="16">
        <v>45407</v>
      </c>
      <c r="W12" s="16">
        <v>45407</v>
      </c>
      <c r="X12" s="80"/>
      <c r="Y12" s="79">
        <v>3.27</v>
      </c>
      <c r="Z12" s="79">
        <v>2.4500000000000002</v>
      </c>
      <c r="AA12" s="79">
        <v>2.4500000000000002</v>
      </c>
      <c r="AB12" s="96">
        <f>22.694+'dividendos 26'!E9</f>
        <v>22.734999999999999</v>
      </c>
      <c r="AC12" s="79">
        <f>3.708-Tabla2[[#This Row],[Div.]]</f>
        <v>-19.027000000000001</v>
      </c>
      <c r="AD12" s="79">
        <f>+Tabla2[[#This Row],[Objetivo div2]]+Tabla2[[#This Row],[Div.]]</f>
        <v>3.7079999999999984</v>
      </c>
      <c r="AE12" s="159">
        <f ca="1">IF(Z12="-",+AC12/Y12-1,AC12/D12-1)</f>
        <v>-4.9763845350052254</v>
      </c>
      <c r="AF12" s="81">
        <v>5.46</v>
      </c>
      <c r="AG12" s="253">
        <f ca="1">IF(Z12="-",+AF12/D12-1,AF12/D12-1)</f>
        <v>0.14106583072100309</v>
      </c>
      <c r="AH12" s="81">
        <f>2.8-Tabla2[[#This Row],[Div.]]</f>
        <v>-19.934999999999999</v>
      </c>
      <c r="AI12" s="147">
        <f ca="1">IF(Z12="-",AH12/Y12-1,+AH12/D12-1)</f>
        <v>-5.1661442006269587</v>
      </c>
      <c r="AJ12" s="121">
        <f ca="1">IF(Z12="-","-",+(D12/Z12)-1)</f>
        <v>0.9530612244897958</v>
      </c>
      <c r="AK12" s="120">
        <f ca="1">IF(AA12="-","-",+(D12/AA12)-1)</f>
        <v>0.9530612244897958</v>
      </c>
      <c r="AM12" s="49" t="str">
        <f>IF(AL12=0,"-",+AL12/Z12-1)</f>
        <v>-</v>
      </c>
      <c r="AN12" s="28">
        <f ca="1">+D12/Y12-1</f>
        <v>0.46330275229357798</v>
      </c>
      <c r="AO12" s="75">
        <f ca="1">VLOOKUP(Tabla2[[#This Row],[TCKR]],'2026'!$D$5:$AH$257,8,FALSE)</f>
        <v>3640</v>
      </c>
      <c r="AP12" s="193">
        <f ca="1">VLOOKUP(Tabla2[[#This Row],[TCKR]],'2026'!$D$5:$AH$257,26,FALSE)</f>
        <v>5456.5358428141444</v>
      </c>
      <c r="AQ12" s="5" cm="1">
        <f t="array" aca="1" ref="AQ12" ca="1">_FV(Tabla2[[#This Row],[valor]],"P/E",TRUE)</f>
        <v>18.764700000000001</v>
      </c>
      <c r="AR12" s="4" t="s">
        <v>11</v>
      </c>
      <c r="AT12" s="193">
        <f ca="1">+Tabla2[[#This Row],[Titulos2]]*Tabla2[[#This Row],[Neto]]</f>
        <v>0</v>
      </c>
      <c r="AU12" s="28">
        <f>+Tabla2[[#This Row],[Neto]]/Tabla2[[#This Row],[Precio compra2]]</f>
        <v>0</v>
      </c>
    </row>
    <row r="13" spans="1:52" ht="16" customHeight="1" x14ac:dyDescent="0.2">
      <c r="A13" s="75" t="e" vm="140">
        <v>#VALUE!</v>
      </c>
      <c r="B13" s="242" t="str" cm="1">
        <f t="array" aca="1" ref="B13" ca="1">_FV(A13,"Ticker symbol",TRUE)</f>
        <v>REP</v>
      </c>
      <c r="C13" s="217" cm="1">
        <f t="array" aca="1" ref="C13" ca="1">_FV(A13,"Change (%)",TRUE)</f>
        <v>1.5797000000000002E-2</v>
      </c>
      <c r="D13" s="144" cm="1">
        <f t="array" aca="1" ref="D13" ca="1">_FV(A13,"Price")</f>
        <v>21.22</v>
      </c>
      <c r="E13" s="159">
        <f ca="1">AE13</f>
        <v>-0.75574929311969841</v>
      </c>
      <c r="F13" s="321">
        <f ca="1">+Tabla2[[#This Row],[Rentab. Parcial]]</f>
        <v>18.850327408793248</v>
      </c>
      <c r="G13" s="321">
        <f ca="1">+Tabla2[[#This Row],[Rentab. Parcial2]]</f>
        <v>1.2136448988107653</v>
      </c>
      <c r="H13" s="253">
        <f ca="1">+Tabla2[[#This Row],[Difer. Investing]]</f>
        <v>-5.655042412818001E-3</v>
      </c>
      <c r="I13" s="79">
        <f>+Tabla2[[#This Row],[Objetivo div2]]</f>
        <v>5.1829999999999998</v>
      </c>
      <c r="J13" s="75" cm="1">
        <f t="array" aca="1" ref="J13" ca="1">_FV(A13,"High")</f>
        <v>21.54</v>
      </c>
      <c r="K13" s="75" cm="1">
        <f t="array" aca="1" ref="K13" ca="1">_FV(A13,"Low")</f>
        <v>20.97</v>
      </c>
      <c r="L13" s="75" cm="1">
        <f t="array" aca="1" ref="L13" ca="1">_FV(Tabla2[[#This Row],[valor]],"52 week high",TRUE)</f>
        <v>24.9</v>
      </c>
      <c r="M13" s="75">
        <f ca="1">+Tabla2[[#This Row],[52 high]]*0.9</f>
        <v>22.41</v>
      </c>
      <c r="N13" s="75">
        <f ca="1">+Tabla2[[#This Row],[52 high]]*0.95</f>
        <v>23.654999999999998</v>
      </c>
      <c r="O13" s="75" cm="1">
        <f t="array" aca="1" ref="O13" ca="1">_FV(Tabla2[[#This Row],[valor]],"52 week low",TRUE)</f>
        <v>10.42</v>
      </c>
      <c r="P13" s="220">
        <f ca="1">+TODAY()-Tabla2[[#This Row],[F. compra]]</f>
        <v>3435</v>
      </c>
      <c r="Q13" s="220">
        <f ca="1">GESTEP(Tabla2[[#This Row],[price]],Tabla2[[#This Row],[HIGH 10%]])</f>
        <v>0</v>
      </c>
      <c r="R13" s="220">
        <f ca="1">GESTEP(Tabla2[[#This Row],[price]],Tabla2[[#This Row],[HIGH 5%]])</f>
        <v>0</v>
      </c>
      <c r="S13" s="75" t="s">
        <v>75</v>
      </c>
      <c r="T13" s="110" t="s">
        <v>136</v>
      </c>
      <c r="U13" s="110" t="s">
        <v>72</v>
      </c>
      <c r="V13" s="16">
        <v>42705</v>
      </c>
      <c r="W13" s="16">
        <v>42705</v>
      </c>
      <c r="X13" s="80" t="s">
        <v>11</v>
      </c>
      <c r="Y13" s="79" t="s">
        <v>11</v>
      </c>
      <c r="Z13" s="79">
        <f>9.586-Tabla2[[#This Row],[Div.]]</f>
        <v>1.0690000000000008</v>
      </c>
      <c r="AA13" s="79">
        <v>9.5860000000000003</v>
      </c>
      <c r="AB13" s="96">
        <f>8.017+'dividendos 26'!E13</f>
        <v>8.5169999999999995</v>
      </c>
      <c r="AC13" s="79">
        <f>13.7-Tabla2[[#This Row],[Div.]]</f>
        <v>5.1829999999999998</v>
      </c>
      <c r="AD13" s="79">
        <f>+Tabla2[[#This Row],[Objetivo div2]]+Tabla2[[#This Row],[Div.]]</f>
        <v>13.7</v>
      </c>
      <c r="AE13" s="159">
        <f ca="1">IF(Z13="-",+AC13/Y13-1,AC13/D13-1)</f>
        <v>-0.75574929311969841</v>
      </c>
      <c r="AF13" s="81">
        <v>21.1</v>
      </c>
      <c r="AG13" s="253">
        <f ca="1">IF(Z13="-",+AF13/D13-1,AF13/D13-1)</f>
        <v>-5.655042412818001E-3</v>
      </c>
      <c r="AH13" s="81" t="s">
        <v>11</v>
      </c>
      <c r="AI13" s="147" t="e">
        <f ca="1">IF(Z13="-",AH13/Y13-1,+AH13/D13-1)</f>
        <v>#VALUE!</v>
      </c>
      <c r="AJ13" s="121">
        <f ca="1">IF(Z13="-","-",+(D13/Z13)-1)</f>
        <v>18.850327408793248</v>
      </c>
      <c r="AK13" s="120">
        <f ca="1">IF(AA13="-","-",+(D13/AA13)-1)</f>
        <v>1.2136448988107653</v>
      </c>
      <c r="AM13" s="49" t="str">
        <f>IF(AL13=0,"-",+AL13/Z13-1)</f>
        <v>-</v>
      </c>
      <c r="AN13" s="28" t="e">
        <f ca="1">+D13/Y13-1</f>
        <v>#VALUE!</v>
      </c>
      <c r="AO13" s="75">
        <f ca="1">VLOOKUP(Tabla2[[#This Row],[TCKR]],'2026'!$D$5:$AH$257,8,FALSE)</f>
        <v>1047</v>
      </c>
      <c r="AP13" s="193">
        <f ca="1">VLOOKUP(Tabla2[[#This Row],[TCKR]],'2026'!$D$5:$AH$257,26,FALSE)</f>
        <v>5238.3613280709069</v>
      </c>
      <c r="AQ13" s="5" cm="1">
        <f t="array" aca="1" ref="AQ13" ca="1">_FV(Tabla2[[#This Row],[valor]],"P/E",TRUE)</f>
        <v>12.9655</v>
      </c>
      <c r="AR13" s="4"/>
      <c r="AT13" s="193">
        <f ca="1">+Tabla2[[#This Row],[Titulos2]]*Tabla2[[#This Row],[Neto]]</f>
        <v>0</v>
      </c>
      <c r="AU13" s="28">
        <f>+Tabla2[[#This Row],[Neto]]/Tabla2[[#This Row],[Precio compra2]]</f>
        <v>0</v>
      </c>
    </row>
    <row r="14" spans="1:52" ht="16" customHeight="1" x14ac:dyDescent="0.2">
      <c r="A14" s="75" t="e" vm="37">
        <v>#VALUE!</v>
      </c>
      <c r="B14" s="75" t="str" cm="1">
        <f t="array" aca="1" ref="B14" ca="1">_FV(A14,"Ticker symbol",TRUE)</f>
        <v>CABK</v>
      </c>
      <c r="C14" s="217" cm="1">
        <f t="array" aca="1" ref="C14" ca="1">_FV(A14,"Change (%)",TRUE)</f>
        <v>-9.6429999999999997E-4</v>
      </c>
      <c r="D14" s="144" cm="1">
        <f t="array" aca="1" ref="D14" ca="1">_FV(A14,"Price")</f>
        <v>10.36</v>
      </c>
      <c r="E14" s="159">
        <f ca="1">AE14</f>
        <v>-0.64992283246535909</v>
      </c>
      <c r="F14" s="321">
        <f ca="1">+Tabla2[[#This Row],[Rentab. Parcial]]</f>
        <v>2.8964954569816084</v>
      </c>
      <c r="G14" s="321">
        <f ca="1">+Tabla2[[#This Row],[Rentab. Parcial2]]</f>
        <v>1.5990968389362767</v>
      </c>
      <c r="H14" s="253">
        <f ca="1">+Tabla2[[#This Row],[Difer. Investing]]</f>
        <v>4.3436293436293516E-2</v>
      </c>
      <c r="I14" s="79">
        <f>+Tabla2[[#This Row],[Objetivo div2]]</f>
        <v>3.6267994556588796</v>
      </c>
      <c r="J14" s="75" cm="1">
        <f t="array" aca="1" ref="J14" ca="1">_FV(A14,"High")</f>
        <v>10.445</v>
      </c>
      <c r="K14" s="75" cm="1">
        <f t="array" aca="1" ref="K14" ca="1">_FV(A14,"Low")</f>
        <v>10.324999999999999</v>
      </c>
      <c r="L14" s="75" cm="1">
        <f t="array" aca="1" ref="L14" ca="1">_FV(Tabla2[[#This Row],[valor]],"52 week high",TRUE)</f>
        <v>11.574999999999999</v>
      </c>
      <c r="M14" s="75">
        <f ca="1">+Tabla2[[#This Row],[52 high]]*0.9</f>
        <v>10.4175</v>
      </c>
      <c r="N14" s="75">
        <f ca="1">+Tabla2[[#This Row],[52 high]]*0.95</f>
        <v>10.996249999999998</v>
      </c>
      <c r="O14" s="75" cm="1">
        <f t="array" aca="1" ref="O14" ca="1">_FV(Tabla2[[#This Row],[valor]],"52 week low",TRUE)</f>
        <v>6.56</v>
      </c>
      <c r="P14" s="220">
        <f ca="1">+TODAY()-Tabla2[[#This Row],[F. compra]]</f>
        <v>524</v>
      </c>
      <c r="Q14" s="220">
        <f ca="1">GESTEP(Tabla2[[#This Row],[price]],Tabla2[[#This Row],[HIGH 10%]])</f>
        <v>0</v>
      </c>
      <c r="R14" s="220">
        <f ca="1">GESTEP(Tabla2[[#This Row],[price]],Tabla2[[#This Row],[HIGH 5%]])</f>
        <v>0</v>
      </c>
      <c r="S14" s="75" t="s">
        <v>75</v>
      </c>
      <c r="T14" s="110" t="s">
        <v>78</v>
      </c>
      <c r="U14" s="110" t="s">
        <v>72</v>
      </c>
      <c r="V14" s="16">
        <v>45616</v>
      </c>
      <c r="W14" s="16">
        <v>45616</v>
      </c>
      <c r="X14" s="80"/>
      <c r="Y14" s="79">
        <f>4.05</f>
        <v>4.05</v>
      </c>
      <c r="Z14" s="79">
        <f>3.986-AB14</f>
        <v>2.6587994556588801</v>
      </c>
      <c r="AA14" s="79">
        <v>3.9860000000000002</v>
      </c>
      <c r="AB14" s="96">
        <f>0.995100726933938+'dividendos 26'!E61</f>
        <v>1.3272005443411201</v>
      </c>
      <c r="AC14" s="79">
        <f>4.954-AB14</f>
        <v>3.6267994556588796</v>
      </c>
      <c r="AD14" s="79">
        <f>+Tabla2[[#This Row],[Objetivo div2]]+Tabla2[[#This Row],[Div.]]</f>
        <v>4.9539999999999997</v>
      </c>
      <c r="AE14" s="159">
        <f ca="1">IF(Z14="-",+AC14/Y14-1,AC14/D14-1)</f>
        <v>-0.64992283246535909</v>
      </c>
      <c r="AF14" s="81">
        <v>10.81</v>
      </c>
      <c r="AG14" s="253">
        <f ca="1">IF(Z14="-",+AF14/D14-1,AF14/D14-1)</f>
        <v>4.3436293436293516E-2</v>
      </c>
      <c r="AH14" s="81">
        <f>3.598-AB14</f>
        <v>2.2707994556588798</v>
      </c>
      <c r="AI14" s="147">
        <f ca="1">IF(Z14="-",AH14/Y14-1,+AH14/D14-1)</f>
        <v>-0.78081086335339001</v>
      </c>
      <c r="AJ14" s="121">
        <f ca="1">IF(Z14="-","-",+(D14/Z14)-1)</f>
        <v>2.8964954569816084</v>
      </c>
      <c r="AK14" s="120">
        <f ca="1">IF(AA14="-","-",+(D14/AA14)-1)</f>
        <v>1.5990968389362767</v>
      </c>
      <c r="AM14" s="49" t="str">
        <f>IF(AL14=0,"-",+AL14/Z14-1)</f>
        <v>-</v>
      </c>
      <c r="AN14" s="28">
        <f ca="1">+D14/Y14-1</f>
        <v>1.5580246913580247</v>
      </c>
      <c r="AO14" s="75">
        <f ca="1">VLOOKUP(Tabla2[[#This Row],[TCKR]],'2026'!$D$5:$AH$257,8,FALSE)</f>
        <v>6050</v>
      </c>
      <c r="AP14" s="193">
        <f ca="1">VLOOKUP(Tabla2[[#This Row],[TCKR]],'2026'!$D$5:$AH$257,26,FALSE)</f>
        <v>26117.253869842691</v>
      </c>
      <c r="AQ14" s="5" cm="1">
        <f t="array" aca="1" ref="AQ14" ca="1">_FV(Tabla2[[#This Row],[valor]],"P/E",TRUE)</f>
        <v>12.4415</v>
      </c>
      <c r="AR14" s="4" t="s">
        <v>11</v>
      </c>
      <c r="AT14" s="193">
        <f ca="1">+Tabla2[[#This Row],[Titulos2]]*Tabla2[[#This Row],[Neto]]</f>
        <v>0</v>
      </c>
      <c r="AU14" s="28">
        <f>+Tabla2[[#This Row],[Neto]]/Tabla2[[#This Row],[Precio compra2]]</f>
        <v>0</v>
      </c>
    </row>
    <row r="15" spans="1:52" ht="16" customHeight="1" x14ac:dyDescent="0.2">
      <c r="A15" s="75" t="e" vm="83">
        <v>#VALUE!</v>
      </c>
      <c r="B15" s="75" t="str" cm="1">
        <f t="array" aca="1" ref="B15" ca="1">_FV(A15,"Ticker symbol",TRUE)</f>
        <v>HAVAS</v>
      </c>
      <c r="C15" s="217" cm="1">
        <f t="array" aca="1" ref="C15" ca="1">_FV(A15,"Change (%)",TRUE)</f>
        <v>1.2500000000000001E-2</v>
      </c>
      <c r="D15" s="144" cm="1">
        <f t="array" aca="1" ref="D15" ca="1">_FV(A15,"Price")</f>
        <v>16.2</v>
      </c>
      <c r="E15" s="159">
        <f ca="1">AE15</f>
        <v>-0.58246915603465377</v>
      </c>
      <c r="F15" s="321">
        <f ca="1">+Tabla2[[#This Row],[Rentab. Parcial]]</f>
        <v>0.54080278723755582</v>
      </c>
      <c r="G15" s="321">
        <f ca="1">+Tabla2[[#This Row],[Rentab. Parcial2]]</f>
        <v>0.12266112266112272</v>
      </c>
      <c r="H15" s="253">
        <f ca="1">+Tabla2[[#This Row],[Difer. Investing]]</f>
        <v>0.52716049382716057</v>
      </c>
      <c r="I15" s="79">
        <f>+Tabla2[[#This Row],[Objetivo div2]]</f>
        <v>6.7639996722386098</v>
      </c>
      <c r="J15" s="75" cm="1">
        <f t="array" aca="1" ref="J15" ca="1">_FV(A15,"High")</f>
        <v>16.399999999999999</v>
      </c>
      <c r="K15" s="75" cm="1">
        <f t="array" aca="1" ref="K15" ca="1">_FV(A15,"Low")</f>
        <v>15.85</v>
      </c>
      <c r="L15" s="75" cm="1">
        <f t="array" aca="1" ref="L15" ca="1">_FV(A15,"52 week high",TRUE)</f>
        <v>18</v>
      </c>
      <c r="M15" s="75">
        <f ca="1">+L15*0.9</f>
        <v>16.2</v>
      </c>
      <c r="N15" s="75">
        <f ca="1">+L15*0.95</f>
        <v>17.099999999999998</v>
      </c>
      <c r="O15" s="75" cm="1">
        <f t="array" aca="1" ref="O15" ca="1">_FV(A15,"52 week low",TRUE)</f>
        <v>12.83</v>
      </c>
      <c r="P15" s="220">
        <f ca="1">+TODAY()-Tabla2[[#This Row],[F. compra]]</f>
        <v>348</v>
      </c>
      <c r="Q15" s="220">
        <f ca="1">GESTEP(D15,M15)</f>
        <v>1</v>
      </c>
      <c r="R15" s="220">
        <f ca="1">GESTEP(D15,N15)</f>
        <v>0</v>
      </c>
      <c r="S15" s="75" t="s">
        <v>166</v>
      </c>
      <c r="T15" s="110" t="s">
        <v>78</v>
      </c>
      <c r="U15" s="110" t="s">
        <v>72</v>
      </c>
      <c r="V15" s="16">
        <v>45792</v>
      </c>
      <c r="W15" s="16">
        <v>45792</v>
      </c>
      <c r="X15" s="80"/>
      <c r="Y15" s="79">
        <v>14.46</v>
      </c>
      <c r="Z15" s="79">
        <f>14.43-Tabla2[[#This Row],[Div.]]</f>
        <v>10.51399967223861</v>
      </c>
      <c r="AA15" s="79">
        <v>14.43</v>
      </c>
      <c r="AB15" s="96">
        <v>3.91600032776139</v>
      </c>
      <c r="AC15" s="79">
        <f>10.68-Tabla2[[#This Row],[Div.]]</f>
        <v>6.7639996722386098</v>
      </c>
      <c r="AD15" s="79">
        <f>+Tabla2[[#This Row],[Objetivo div2]]+Tabla2[[#This Row],[Div.]]</f>
        <v>10.68</v>
      </c>
      <c r="AE15" s="159">
        <f ca="1">IF(Z15="-",+AC15/Y15-1,AC15/D15-1)</f>
        <v>-0.58246915603465377</v>
      </c>
      <c r="AF15" s="81">
        <v>24.74</v>
      </c>
      <c r="AG15" s="253">
        <f ca="1">IF(Z15="-",+AF15/D15-1,AF15/D15-1)</f>
        <v>0.52716049382716057</v>
      </c>
      <c r="AH15" s="81">
        <f>10.35-Tabla2[[#This Row],[Div.]]</f>
        <v>6.4339996722386097</v>
      </c>
      <c r="AI15" s="147">
        <f ca="1">IF(Z15="-",AH15/Y15-1,+AH15/D15-1)</f>
        <v>-0.60283952640502414</v>
      </c>
      <c r="AJ15" s="121">
        <f ca="1">IF(Z15="-","-",+(D15/Z15)-1)</f>
        <v>0.54080278723755582</v>
      </c>
      <c r="AK15" s="120">
        <f ca="1">IF(AA15="-","-",+(D15/AA15)-1)</f>
        <v>0.12266112266112272</v>
      </c>
      <c r="AM15" s="49" t="str">
        <f>IF(AL15=0,"-",+AL15/Z15-1)</f>
        <v>-</v>
      </c>
      <c r="AN15" s="28">
        <f ca="1">+D15/Y15-1</f>
        <v>0.12033195020746867</v>
      </c>
      <c r="AO15" s="75">
        <f ca="1">VLOOKUP(Tabla2[[#This Row],[TCKR]],'2026'!$D$5:$AH$257,8,FALSE)</f>
        <v>452</v>
      </c>
      <c r="AP15" s="193">
        <f ca="1">VLOOKUP(Tabla2[[#This Row],[TCKR]],'2026'!$D$5:$AH$257,26,FALSE)</f>
        <v>608.82787153548566</v>
      </c>
      <c r="AQ15" s="5" cm="1">
        <f t="array" aca="1" ref="AQ15" ca="1">_FV(Tabla2[[#This Row],[valor]],"P/E",TRUE)</f>
        <v>8.1135999999999999</v>
      </c>
      <c r="AR15" s="4"/>
      <c r="AT15" s="193">
        <f ca="1">+Tabla2[[#This Row],[Titulos2]]*Tabla2[[#This Row],[Neto]]</f>
        <v>0</v>
      </c>
      <c r="AU15" s="28">
        <f>+Tabla2[[#This Row],[Neto]]/Tabla2[[#This Row],[Precio compra2]]</f>
        <v>0</v>
      </c>
    </row>
    <row r="16" spans="1:52" ht="16" customHeight="1" x14ac:dyDescent="0.2">
      <c r="A16" s="75" t="e" vm="5">
        <v>#VALUE!</v>
      </c>
      <c r="B16" s="75" t="str" cm="1">
        <f t="array" aca="1" ref="B16" ca="1">_FV(A16,"Ticker symbol",TRUE)</f>
        <v>ACX</v>
      </c>
      <c r="C16" s="217" cm="1">
        <f t="array" aca="1" ref="C16" ca="1">_FV(A16,"Change (%)",TRUE)</f>
        <v>2.2799999999999999E-3</v>
      </c>
      <c r="D16" s="144" cm="1">
        <f t="array" aca="1" ref="D16" ca="1">_FV(A16,"Price")</f>
        <v>13.19</v>
      </c>
      <c r="E16" s="159">
        <f ca="1">AE16</f>
        <v>-0.52539802880970421</v>
      </c>
      <c r="F16" s="321">
        <f ca="1">+Tabla2[[#This Row],[Rentab. Parcial]]</f>
        <v>2.2942057942057938</v>
      </c>
      <c r="G16" s="321">
        <f ca="1">+Tabla2[[#This Row],[Rentab. Parcial2]]</f>
        <v>0.50846294602012798</v>
      </c>
      <c r="H16" s="253">
        <f ca="1">+Tabla2[[#This Row],[Difer. Investing]]</f>
        <v>5.5344958301743796E-2</v>
      </c>
      <c r="I16" s="79">
        <f>+Tabla2[[#This Row],[Objetivo div2]]</f>
        <v>6.2600000000000007</v>
      </c>
      <c r="J16" s="75" cm="1">
        <f t="array" aca="1" ref="J16" ca="1">_FV(A16,"High")</f>
        <v>13.46</v>
      </c>
      <c r="K16" s="75" cm="1">
        <f t="array" aca="1" ref="K16" ca="1">_FV(A16,"Low")</f>
        <v>13.18</v>
      </c>
      <c r="L16" s="75" cm="1">
        <f t="array" aca="1" ref="L16" ca="1">_FV(Tabla2[[#This Row],[valor]],"52 week high",TRUE)</f>
        <v>14.1</v>
      </c>
      <c r="M16" s="75">
        <f ca="1">+Tabla2[[#This Row],[52 high]]*0.9</f>
        <v>12.69</v>
      </c>
      <c r="N16" s="75">
        <f ca="1">+Tabla2[[#This Row],[52 high]]*0.95</f>
        <v>13.395</v>
      </c>
      <c r="O16" s="75" cm="1">
        <f t="array" aca="1" ref="O16" ca="1">_FV(Tabla2[[#This Row],[valor]],"52 week low",TRUE)</f>
        <v>9.7550000000000008</v>
      </c>
      <c r="P16" s="220">
        <f ca="1">+TODAY()-Tabla2[[#This Row],[F. compra]]</f>
        <v>3277</v>
      </c>
      <c r="Q16" s="220">
        <f ca="1">GESTEP(Tabla2[[#This Row],[price]],Tabla2[[#This Row],[HIGH 10%]])</f>
        <v>1</v>
      </c>
      <c r="R16" s="220">
        <f ca="1">GESTEP(Tabla2[[#This Row],[price]],Tabla2[[#This Row],[HIGH 5%]])</f>
        <v>0</v>
      </c>
      <c r="S16" s="75" t="s">
        <v>76</v>
      </c>
      <c r="T16" s="110" t="s">
        <v>136</v>
      </c>
      <c r="U16" s="110" t="s">
        <v>72</v>
      </c>
      <c r="V16" s="16">
        <v>42863</v>
      </c>
      <c r="W16" s="16">
        <v>42863</v>
      </c>
      <c r="X16" s="80" t="s">
        <v>11</v>
      </c>
      <c r="Y16" s="79" t="s">
        <v>11</v>
      </c>
      <c r="Z16" s="79">
        <f>8.744-Tabla2[[#This Row],[Div.]]</f>
        <v>4.0040000000000004</v>
      </c>
      <c r="AA16" s="79">
        <v>8.7439999999999998</v>
      </c>
      <c r="AB16" s="96">
        <f>4.43+'dividendos 26'!E18</f>
        <v>4.7399999999999993</v>
      </c>
      <c r="AC16" s="79">
        <f>11-Tabla2[[#This Row],[Div.]]</f>
        <v>6.2600000000000007</v>
      </c>
      <c r="AD16" s="79">
        <f>+Tabla2[[#This Row],[Objetivo div2]]+Tabla2[[#This Row],[Div.]]</f>
        <v>11</v>
      </c>
      <c r="AE16" s="159">
        <f ca="1">IF(Z16="-",+AC16/Y16-1,AC16/D16-1)</f>
        <v>-0.52539802880970421</v>
      </c>
      <c r="AF16" s="81">
        <v>13.92</v>
      </c>
      <c r="AG16" s="253">
        <f ca="1">IF(Z16="-",+AF16/D16-1,AF16/D16-1)</f>
        <v>5.5344958301743796E-2</v>
      </c>
      <c r="AH16" s="81" t="s">
        <v>11</v>
      </c>
      <c r="AI16" s="147" t="e">
        <f ca="1">IF(Z16="-",AH16/Y16-1,+AH16/D16-1)</f>
        <v>#VALUE!</v>
      </c>
      <c r="AJ16" s="121">
        <f ca="1">IF(Z16="-","-",+(D16/Z16)-1)</f>
        <v>2.2942057942057938</v>
      </c>
      <c r="AK16" s="120">
        <f ca="1">IF(AA16="-","-",+(D16/AA16)-1)</f>
        <v>0.50846294602012798</v>
      </c>
      <c r="AM16" s="49" t="str">
        <f>IF(AL16=0,"-",+AL16/Z16-1)</f>
        <v>-</v>
      </c>
      <c r="AN16" s="28" t="e">
        <f ca="1">+D16/Y16-1</f>
        <v>#VALUE!</v>
      </c>
      <c r="AO16" s="75">
        <f ca="1">VLOOKUP(Tabla2[[#This Row],[TCKR]],'2026'!$D$5:$AH$257,8,FALSE)</f>
        <v>1199</v>
      </c>
      <c r="AP16" s="193">
        <f ca="1">VLOOKUP(Tabla2[[#This Row],[TCKR]],'2026'!$D$5:$AH$257,26,FALSE)</f>
        <v>635.88337617062507</v>
      </c>
      <c r="AQ16" s="5" t="e" cm="1" vm="221">
        <f t="array" ref="AQ16">_FV(Tabla2[[#This Row],[valor]],"P/E",TRUE)</f>
        <v>#VALUE!</v>
      </c>
      <c r="AR16" s="4">
        <v>45854</v>
      </c>
      <c r="AS16" s="5">
        <v>0.25</v>
      </c>
      <c r="AT16" s="193">
        <f ca="1">+Tabla2[[#This Row],[Titulos2]]*Tabla2[[#This Row],[Neto]]</f>
        <v>299.75</v>
      </c>
      <c r="AU16" s="28">
        <f>+Tabla2[[#This Row],[Neto]]/Tabla2[[#This Row],[Precio compra2]]</f>
        <v>2.8591033851784083E-2</v>
      </c>
    </row>
    <row r="17" spans="1:47" ht="16" customHeight="1" x14ac:dyDescent="0.2">
      <c r="A17" s="75" t="e" vm="134">
        <v>#VALUE!</v>
      </c>
      <c r="B17" s="75" t="str" cm="1">
        <f t="array" aca="1" ref="B17" ca="1">_FV(A17,"Ticker symbol",TRUE)</f>
        <v>PHM</v>
      </c>
      <c r="C17" s="217" cm="1">
        <f t="array" aca="1" ref="C17" ca="1">_FV(A17,"Change (%)",TRUE)</f>
        <v>2.3243999999999997E-2</v>
      </c>
      <c r="D17" s="144" cm="1">
        <f t="array" aca="1" ref="D17" ca="1">_FV(A17,"Price")</f>
        <v>96.85</v>
      </c>
      <c r="E17" s="159">
        <f ca="1">AE17</f>
        <v>-0.49168817759421779</v>
      </c>
      <c r="F17" s="321">
        <f ca="1">+Tabla2[[#This Row],[Rentab. Parcial]]</f>
        <v>1.3343536841090406</v>
      </c>
      <c r="G17" s="321">
        <f ca="1">+Tabla2[[#This Row],[Rentab. Parcial2]]</f>
        <v>1.2983459503073158</v>
      </c>
      <c r="H17" s="253">
        <f ca="1">+Tabla2[[#This Row],[Difer. Investing]]</f>
        <v>4.2849767681982565E-2</v>
      </c>
      <c r="I17" s="79">
        <f>+Tabla2[[#This Row],[Objetivo div2]]</f>
        <v>49.230000000000004</v>
      </c>
      <c r="J17" s="75" cm="1">
        <f t="array" aca="1" ref="J17" ca="1">_FV(A17,"High")</f>
        <v>97</v>
      </c>
      <c r="K17" s="75" cm="1">
        <f t="array" aca="1" ref="K17" ca="1">_FV(A17,"Low")</f>
        <v>94.35</v>
      </c>
      <c r="L17" s="75" cm="1">
        <f t="array" aca="1" ref="L17" ca="1">_FV(Tabla2[[#This Row],[valor]],"52 week high",TRUE)</f>
        <v>102.4</v>
      </c>
      <c r="M17" s="75">
        <f ca="1">+Tabla2[[#This Row],[52 high]]*0.9</f>
        <v>92.160000000000011</v>
      </c>
      <c r="N17" s="75">
        <f ca="1">+Tabla2[[#This Row],[52 high]]*0.95</f>
        <v>97.28</v>
      </c>
      <c r="O17" s="75" cm="1">
        <f t="array" aca="1" ref="O17" ca="1">_FV(Tabla2[[#This Row],[valor]],"52 week low",TRUE)</f>
        <v>70.099999999999994</v>
      </c>
      <c r="P17" s="220">
        <f ca="1">+TODAY()-Tabla2[[#This Row],[F. compra]]</f>
        <v>3044</v>
      </c>
      <c r="Q17" s="220">
        <f ca="1">GESTEP(Tabla2[[#This Row],[price]],Tabla2[[#This Row],[HIGH 10%]])</f>
        <v>1</v>
      </c>
      <c r="R17" s="220">
        <f ca="1">GESTEP(Tabla2[[#This Row],[price]],Tabla2[[#This Row],[HIGH 5%]])</f>
        <v>0</v>
      </c>
      <c r="S17" s="75" t="s">
        <v>76</v>
      </c>
      <c r="T17" s="110" t="s">
        <v>78</v>
      </c>
      <c r="U17" s="110" t="s">
        <v>26</v>
      </c>
      <c r="V17" s="16">
        <v>45537</v>
      </c>
      <c r="W17" s="16">
        <v>43096</v>
      </c>
      <c r="X17" s="80" t="s">
        <v>11</v>
      </c>
      <c r="Y17" s="79">
        <v>41.78</v>
      </c>
      <c r="Z17" s="79">
        <f>42.139-Tabla2[[#This Row],[Div.]]</f>
        <v>41.489000000000004</v>
      </c>
      <c r="AA17" s="79">
        <v>42.139000000000003</v>
      </c>
      <c r="AB17" s="96">
        <v>0.65</v>
      </c>
      <c r="AC17" s="79">
        <f>49.88-Tabla2[[#This Row],[Div.]]</f>
        <v>49.230000000000004</v>
      </c>
      <c r="AD17" s="79">
        <f>+Tabla2[[#This Row],[Objetivo div2]]+Tabla2[[#This Row],[Div.]]</f>
        <v>49.88</v>
      </c>
      <c r="AE17" s="159">
        <f ca="1">IF(Z17="-",+AC17/Y17-1,AC17/D17-1)</f>
        <v>-0.49168817759421779</v>
      </c>
      <c r="AF17" s="81">
        <v>101</v>
      </c>
      <c r="AG17" s="253">
        <f ca="1">IF(Z17="-",+AF17/D17-1,AF17/D17-1)</f>
        <v>4.2849767681982565E-2</v>
      </c>
      <c r="AH17" s="81">
        <f>37.78-Tabla2[[#This Row],[Div.]]</f>
        <v>37.130000000000003</v>
      </c>
      <c r="AI17" s="147">
        <f ca="1">IF(Z17="-",AH17/Y17-1,+AH17/D17-1)</f>
        <v>-0.61662364481156429</v>
      </c>
      <c r="AJ17" s="121">
        <f ca="1">IF(Z17="-","-",+(D17/Z17)-1)</f>
        <v>1.3343536841090406</v>
      </c>
      <c r="AK17" s="120">
        <f ca="1">IF(AA17="-","-",+(D17/AA17)-1)</f>
        <v>1.2983459503073158</v>
      </c>
      <c r="AM17" s="49" t="str">
        <f>IF(AL17=0,"-",+AL17/Z17-1)</f>
        <v>-</v>
      </c>
      <c r="AN17" s="28">
        <f ca="1">+D17/Y17-1</f>
        <v>1.3180947821924365</v>
      </c>
      <c r="AO17" s="75">
        <f ca="1">VLOOKUP(Tabla2[[#This Row],[TCKR]],'2026'!$D$5:$AH$257,8,FALSE)</f>
        <v>484</v>
      </c>
      <c r="AP17" s="193">
        <f ca="1">VLOOKUP(Tabla2[[#This Row],[TCKR]],'2026'!$D$5:$AH$257,26,FALSE)</f>
        <v>20644.051709745705</v>
      </c>
      <c r="AQ17" s="5" cm="1">
        <f t="array" aca="1" ref="AQ17" ca="1">_FV(Tabla2[[#This Row],[valor]],"P/E",TRUE)</f>
        <v>21.702200000000001</v>
      </c>
      <c r="AR17" s="4">
        <v>45823</v>
      </c>
      <c r="AT17" s="193">
        <f ca="1">+Tabla2[[#This Row],[Titulos2]]*Tabla2[[#This Row],[Neto]]</f>
        <v>0</v>
      </c>
      <c r="AU17" s="28">
        <f>+Tabla2[[#This Row],[Neto]]/Tabla2[[#This Row],[Precio compra2]]</f>
        <v>0</v>
      </c>
    </row>
    <row r="18" spans="1:47" ht="16" customHeight="1" x14ac:dyDescent="0.2">
      <c r="A18" s="75" t="e" vm="145">
        <v>#VALUE!</v>
      </c>
      <c r="B18" s="75" t="str" cm="1">
        <f t="array" aca="1" ref="B18" ca="1">_FV(A18,"Ticker symbol",TRUE)</f>
        <v>SPM</v>
      </c>
      <c r="C18" s="217" cm="1">
        <f t="array" aca="1" ref="C18" ca="1">_FV(A18,"Change (%)",TRUE)</f>
        <v>4.2655999999999999E-2</v>
      </c>
      <c r="D18" s="144" cm="1">
        <f t="array" aca="1" ref="D18" ca="1">_FV(A18,"Price")</f>
        <v>4.5220000000000002</v>
      </c>
      <c r="E18" s="159">
        <f ca="1">AE18</f>
        <v>-0.46262715612560812</v>
      </c>
      <c r="F18" s="321">
        <f ca="1">+Tabla2[[#This Row],[Rentab. Parcial]]</f>
        <v>1.1160505381375763</v>
      </c>
      <c r="G18" s="321">
        <f ca="1">+Tabla2[[#This Row],[Rentab. Parcial2]]</f>
        <v>0.96012136974425677</v>
      </c>
      <c r="H18" s="253">
        <f ca="1">+Tabla2[[#This Row],[Difer. Investing]]</f>
        <v>-0.11322423706324647</v>
      </c>
      <c r="I18" s="79">
        <f>+Tabla2[[#This Row],[Objetivo div2]]</f>
        <v>2.4300000000000002</v>
      </c>
      <c r="J18" s="75" cm="1">
        <f t="array" aca="1" ref="J18" ca="1">_FV(A18,"High")</f>
        <v>4.5750000000000002</v>
      </c>
      <c r="K18" s="75" cm="1">
        <f t="array" aca="1" ref="K18" ca="1">_FV(A18,"Low")</f>
        <v>4.3570000000000002</v>
      </c>
      <c r="L18" s="75" cm="1">
        <f t="array" aca="1" ref="L18" ca="1">_FV(Tabla2[[#This Row],[valor]],"52 week high",TRUE)</f>
        <v>4.58</v>
      </c>
      <c r="M18" s="75">
        <f ca="1">+Tabla2[[#This Row],[52 high]]*0.9</f>
        <v>4.1219999999999999</v>
      </c>
      <c r="N18" s="75">
        <f ca="1">+Tabla2[[#This Row],[52 high]]*0.95</f>
        <v>4.351</v>
      </c>
      <c r="O18" s="75" cm="1">
        <f t="array" aca="1" ref="O18" ca="1">_FV(Tabla2[[#This Row],[valor]],"52 week low",TRUE)</f>
        <v>2</v>
      </c>
      <c r="P18" s="220">
        <f ca="1">+TODAY()-Tabla2[[#This Row],[F. compra]]</f>
        <v>708</v>
      </c>
      <c r="Q18" s="220">
        <f ca="1">GESTEP(Tabla2[[#This Row],[price]],Tabla2[[#This Row],[HIGH 10%]])</f>
        <v>1</v>
      </c>
      <c r="R18" s="220">
        <f ca="1">GESTEP(Tabla2[[#This Row],[price]],Tabla2[[#This Row],[HIGH 5%]])</f>
        <v>1</v>
      </c>
      <c r="S18" s="75" t="s">
        <v>75</v>
      </c>
      <c r="T18" s="110" t="s">
        <v>78</v>
      </c>
      <c r="U18" s="110" t="s">
        <v>72</v>
      </c>
      <c r="V18" s="16">
        <v>45432</v>
      </c>
      <c r="W18" s="16">
        <v>45432</v>
      </c>
      <c r="X18" s="80"/>
      <c r="Y18" s="79">
        <v>2.294</v>
      </c>
      <c r="Z18" s="79">
        <f>2.307-Tabla2[[#This Row],[Div.]]</f>
        <v>2.137</v>
      </c>
      <c r="AA18" s="79">
        <f>+Tabla2[[#This Row],[Precio compra]]+Tabla2[[#This Row],[Div.]]</f>
        <v>2.3069999999999999</v>
      </c>
      <c r="AB18" s="96">
        <v>0.17</v>
      </c>
      <c r="AC18" s="79">
        <f>2.6-Tabla2[[#This Row],[Div.]]</f>
        <v>2.4300000000000002</v>
      </c>
      <c r="AD18" s="79">
        <f>+Tabla2[[#This Row],[Objetivo div2]]+Tabla2[[#This Row],[Div.]]</f>
        <v>2.6</v>
      </c>
      <c r="AE18" s="159">
        <f ca="1">IF(Z18="-",+AC18/Y18-1,AC18/D18-1)</f>
        <v>-0.46262715612560812</v>
      </c>
      <c r="AF18" s="81">
        <v>4.01</v>
      </c>
      <c r="AG18" s="253">
        <f ca="1">IF(Z18="-",+AF18/D18-1,AF18/D18-1)</f>
        <v>-0.11322423706324647</v>
      </c>
      <c r="AH18" s="81">
        <f>2.084-Tabla2[[#This Row],[Div.]]</f>
        <v>1.9140000000000001</v>
      </c>
      <c r="AI18" s="147">
        <f ca="1">IF(Z18="-",AH18/Y18-1,+AH18/D18-1)</f>
        <v>-0.57673595754091111</v>
      </c>
      <c r="AJ18" s="121">
        <f ca="1">IF(Z18="-","-",+(D18/Z18)-1)</f>
        <v>1.1160505381375763</v>
      </c>
      <c r="AK18" s="120">
        <f ca="1">IF(AA18="-","-",+(D18/AA18)-1)</f>
        <v>0.96012136974425677</v>
      </c>
      <c r="AM18" s="49" t="str">
        <f>IF(AL18=0,"-",+AL18/Z18-1)</f>
        <v>-</v>
      </c>
      <c r="AN18" s="28">
        <f ca="1">+D18/Y18-1</f>
        <v>0.97122929380993894</v>
      </c>
      <c r="AO18" s="75">
        <f ca="1">VLOOKUP(Tabla2[[#This Row],[TCKR]],'2026'!$D$5:$AH$257,8,FALSE)</f>
        <v>4795</v>
      </c>
      <c r="AP18" s="193">
        <f ca="1">VLOOKUP(Tabla2[[#This Row],[TCKR]],'2026'!$D$5:$AH$257,26,FALSE)</f>
        <v>8352.8536896966307</v>
      </c>
      <c r="AQ18" s="5" cm="1">
        <f t="array" aca="1" ref="AQ18" ca="1">_FV(Tabla2[[#This Row],[valor]],"P/E",TRUE)</f>
        <v>27.191199999999998</v>
      </c>
      <c r="AR18" s="4"/>
      <c r="AT18" s="193">
        <f ca="1">+Tabla2[[#This Row],[Titulos2]]*Tabla2[[#This Row],[Neto]]</f>
        <v>0</v>
      </c>
      <c r="AU18" s="28">
        <f>+Tabla2[[#This Row],[Neto]]/Tabla2[[#This Row],[Precio compra2]]</f>
        <v>0</v>
      </c>
    </row>
    <row r="19" spans="1:47" ht="16" customHeight="1" x14ac:dyDescent="0.2">
      <c r="A19" s="323" t="e" vm="8">
        <v>#VALUE!</v>
      </c>
      <c r="B19" s="75" t="str" cm="1">
        <f t="array" aca="1" ref="B19" ca="1">_FV(A19,"Ticker symbol",TRUE)</f>
        <v>AMD</v>
      </c>
      <c r="C19" s="217" cm="1">
        <f t="array" aca="1" ref="C19" ca="1">_FV(A19,"Change (%)",TRUE)</f>
        <v>-3.8296999999999998E-2</v>
      </c>
      <c r="D19" s="144" cm="1">
        <f t="array" aca="1" ref="D19" ca="1">_FV(A19,"Price")</f>
        <v>334.49</v>
      </c>
      <c r="E19" s="159">
        <f ca="1">AE19</f>
        <v>-0.38120721097790666</v>
      </c>
      <c r="F19" s="321">
        <f ca="1">+Tabla2[[#This Row],[Rentab. Parcial]]</f>
        <v>1.0204771972213833</v>
      </c>
      <c r="G19" s="321">
        <f ca="1">+Tabla2[[#This Row],[Rentab. Parcial2]]</f>
        <v>1.0204771972213833</v>
      </c>
      <c r="H19" s="253">
        <f ca="1">+Tabla2[[#This Row],[Difer. Investing]]</f>
        <v>-0.15223175580734849</v>
      </c>
      <c r="I19" s="79">
        <f>+Tabla2[[#This Row],[Objetivo div2]]</f>
        <v>206.98</v>
      </c>
      <c r="J19" s="75" cm="1">
        <f t="array" aca="1" ref="J19" ca="1">_FV(A19,"High")</f>
        <v>349.21</v>
      </c>
      <c r="K19" s="75" cm="1">
        <f t="array" aca="1" ref="K19" ca="1">_FV(A19,"Low")</f>
        <v>328.81</v>
      </c>
      <c r="L19" s="75" cm="1">
        <f t="array" aca="1" ref="L19" ca="1">_FV(Tabla2[[#This Row],[valor]],"52 week high",TRUE)</f>
        <v>352.99</v>
      </c>
      <c r="M19" s="75">
        <f ca="1">+Tabla2[[#This Row],[52 high]]*0.9</f>
        <v>317.69100000000003</v>
      </c>
      <c r="N19" s="75">
        <f ca="1">+Tabla2[[#This Row],[52 high]]*0.95</f>
        <v>335.34050000000002</v>
      </c>
      <c r="O19" s="75" cm="1">
        <f t="array" aca="1" ref="O19" ca="1">_FV(Tabla2[[#This Row],[valor]],"52 week low",TRUE)</f>
        <v>91.87</v>
      </c>
      <c r="P19" s="220">
        <f ca="1">+TODAY()-Tabla2[[#This Row],[F. compra]]</f>
        <v>708</v>
      </c>
      <c r="Q19" s="220">
        <f ca="1">GESTEP(Tabla2[[#This Row],[price]],Tabla2[[#This Row],[HIGH 10%]])</f>
        <v>1</v>
      </c>
      <c r="R19" s="220">
        <f ca="1">GESTEP(Tabla2[[#This Row],[price]],Tabla2[[#This Row],[HIGH 5%]])</f>
        <v>0</v>
      </c>
      <c r="S19" s="75" t="s">
        <v>75</v>
      </c>
      <c r="T19" s="110" t="s">
        <v>78</v>
      </c>
      <c r="U19" s="110" t="s">
        <v>26</v>
      </c>
      <c r="V19" s="16">
        <v>45432</v>
      </c>
      <c r="W19" s="16">
        <v>45432</v>
      </c>
      <c r="X19" s="80"/>
      <c r="Y19" s="79">
        <v>165.95</v>
      </c>
      <c r="Z19" s="79">
        <v>165.55</v>
      </c>
      <c r="AA19" s="79">
        <f>+Tabla2[[#This Row],[Precio compra]]+Tabla2[[#This Row],[Div.]]</f>
        <v>165.55</v>
      </c>
      <c r="AB19" s="96"/>
      <c r="AC19" s="79">
        <v>206.98</v>
      </c>
      <c r="AD19" s="79">
        <f>+Tabla2[[#This Row],[Objetivo div2]]+Tabla2[[#This Row],[Div.]]</f>
        <v>206.98</v>
      </c>
      <c r="AE19" s="159">
        <f ca="1">IF(Z19="-",+AC19/Y19-1,AC19/D19-1)</f>
        <v>-0.38120721097790666</v>
      </c>
      <c r="AF19" s="81">
        <v>283.57</v>
      </c>
      <c r="AG19" s="253">
        <f ca="1">IF(Z19="-",+AF19/D19-1,AF19/D19-1)</f>
        <v>-0.15223175580734849</v>
      </c>
      <c r="AH19" s="81">
        <v>144.88</v>
      </c>
      <c r="AI19" s="147">
        <f ca="1">IF(Z19="-",AH19/Y19-1,+AH19/D19-1)</f>
        <v>-0.56686298544052138</v>
      </c>
      <c r="AJ19" s="121">
        <f ca="1">IF(Z19="-","-",+(D19/Z19)-1)</f>
        <v>1.0204771972213833</v>
      </c>
      <c r="AK19" s="120">
        <f ca="1">IF(AA19="-","-",+(D19/AA19)-1)</f>
        <v>1.0204771972213833</v>
      </c>
      <c r="AM19" s="49" t="str">
        <f>IF(AL19=0,"-",+AL19/Z19-1)</f>
        <v>-</v>
      </c>
      <c r="AN19" s="28">
        <f ca="1">+D19/Y19-1</f>
        <v>1.0156071105754747</v>
      </c>
      <c r="AO19" s="75">
        <f ca="1">VLOOKUP(Tabla2[[#This Row],[TCKR]],'2026'!$D$5:$AH$257,8,FALSE)</f>
        <v>38</v>
      </c>
      <c r="AP19" s="193">
        <f ca="1">VLOOKUP(Tabla2[[#This Row],[TCKR]],'2026'!$D$5:$AH$257,26,FALSE)</f>
        <v>3956.2441818937114</v>
      </c>
      <c r="AQ19" s="5" cm="1">
        <f t="array" aca="1" ref="AQ19" ca="1">_FV(Tabla2[[#This Row],[valor]],"P/E",TRUE)</f>
        <v>128.43270000000001</v>
      </c>
      <c r="AR19" s="4"/>
      <c r="AT19" s="193">
        <f ca="1">+Tabla2[[#This Row],[Titulos2]]*Tabla2[[#This Row],[Neto]]</f>
        <v>0</v>
      </c>
      <c r="AU19" s="28">
        <f>+Tabla2[[#This Row],[Neto]]/Tabla2[[#This Row],[Precio compra2]]</f>
        <v>0</v>
      </c>
    </row>
    <row r="20" spans="1:47" ht="16" customHeight="1" x14ac:dyDescent="0.2">
      <c r="A20" s="75" t="e" vm="4">
        <v>#VALUE!</v>
      </c>
      <c r="B20" s="242" t="str" cm="1">
        <f t="array" aca="1" ref="B20" ca="1">_FV(A20,"Ticker symbol",TRUE)</f>
        <v>ANA</v>
      </c>
      <c r="C20" s="217" cm="1">
        <f t="array" aca="1" ref="C20" ca="1">_FV(A20,"Change (%)",TRUE)</f>
        <v>2.1079000000000001E-2</v>
      </c>
      <c r="D20" s="144" cm="1">
        <f t="array" aca="1" ref="D20" ca="1">_FV(A20,"Price")</f>
        <v>242.2</v>
      </c>
      <c r="E20" s="159">
        <f ca="1">AE20</f>
        <v>-0.37957886044591249</v>
      </c>
      <c r="F20" s="321">
        <f ca="1">+Tabla2[[#This Row],[Rentab. Parcial]]</f>
        <v>1.5327839708865789</v>
      </c>
      <c r="G20" s="321">
        <f ca="1">+Tabla2[[#This Row],[Rentab. Parcial2]]</f>
        <v>1.5239683201333891</v>
      </c>
      <c r="H20" s="253">
        <f ca="1">+Tabla2[[#This Row],[Difer. Investing]]</f>
        <v>-0.13901734104046237</v>
      </c>
      <c r="I20" s="79">
        <f>+Tabla2[[#This Row],[Objetivo div2]]</f>
        <v>150.26599999999999</v>
      </c>
      <c r="J20" s="75" cm="1">
        <f t="array" aca="1" ref="J20" ca="1">_FV(A20,"High")</f>
        <v>249</v>
      </c>
      <c r="K20" s="75" cm="1">
        <f t="array" aca="1" ref="K20" ca="1">_FV(A20,"Low")</f>
        <v>237.8</v>
      </c>
      <c r="L20" s="75" cm="1">
        <f t="array" aca="1" ref="L20" ca="1">_FV(Tabla2[[#This Row],[valor]],"52 week high",TRUE)</f>
        <v>260</v>
      </c>
      <c r="M20" s="75">
        <f ca="1">+Tabla2[[#This Row],[52 high]]*0.9</f>
        <v>234</v>
      </c>
      <c r="N20" s="75">
        <f ca="1">+Tabla2[[#This Row],[52 high]]*0.95</f>
        <v>247</v>
      </c>
      <c r="O20" s="75" cm="1">
        <f t="array" aca="1" ref="O20" ca="1">_FV(Tabla2[[#This Row],[valor]],"52 week low",TRUE)</f>
        <v>122.6</v>
      </c>
      <c r="P20" s="220">
        <f ca="1">+TODAY()-Tabla2[[#This Row],[F. compra]]</f>
        <v>2296</v>
      </c>
      <c r="Q20" s="220">
        <f ca="1">GESTEP(Tabla2[[#This Row],[price]],Tabla2[[#This Row],[HIGH 10%]])</f>
        <v>1</v>
      </c>
      <c r="R20" s="220">
        <f ca="1">GESTEP(Tabla2[[#This Row],[price]],Tabla2[[#This Row],[HIGH 5%]])</f>
        <v>0</v>
      </c>
      <c r="S20" s="75" t="s">
        <v>75</v>
      </c>
      <c r="T20" s="110" t="s">
        <v>78</v>
      </c>
      <c r="U20" s="110" t="s">
        <v>72</v>
      </c>
      <c r="V20" s="16">
        <v>45530</v>
      </c>
      <c r="W20" s="16">
        <v>43844</v>
      </c>
      <c r="X20" s="80"/>
      <c r="Y20" s="79">
        <v>123.4</v>
      </c>
      <c r="Z20" s="79">
        <f>95.96-Tabla2[[#This Row],[Div.]]</f>
        <v>95.625999999999991</v>
      </c>
      <c r="AA20" s="79">
        <v>95.96</v>
      </c>
      <c r="AB20" s="96">
        <v>0.33400000000000002</v>
      </c>
      <c r="AC20" s="79">
        <f>150.6-Tabla2[[#This Row],[Div.]]</f>
        <v>150.26599999999999</v>
      </c>
      <c r="AD20" s="79">
        <f>+Tabla2[[#This Row],[Objetivo div2]]+Tabla2[[#This Row],[Div.]]</f>
        <v>150.6</v>
      </c>
      <c r="AE20" s="159">
        <f ca="1">IF(Z20="-",+AC20/Y20-1,AC20/D20-1)</f>
        <v>-0.37957886044591249</v>
      </c>
      <c r="AF20" s="81">
        <v>208.53</v>
      </c>
      <c r="AG20" s="253">
        <f ca="1">IF(Z20="-",+AF20/D20-1,AF20/D20-1)</f>
        <v>-0.13901734104046237</v>
      </c>
      <c r="AH20" s="81">
        <f>111.4-Tabla2[[#This Row],[Div.]]</f>
        <v>111.066</v>
      </c>
      <c r="AI20" s="147">
        <f ca="1">IF(Z20="-",AH20/Y20-1,+AH20/D20-1)</f>
        <v>-0.54142857142857137</v>
      </c>
      <c r="AJ20" s="121">
        <f ca="1">IF(Z20="-","-",+(D20/Z20)-1)</f>
        <v>1.5327839708865789</v>
      </c>
      <c r="AK20" s="120">
        <f ca="1">IF(AA20="-","-",+(D20/AA20)-1)</f>
        <v>1.5239683201333891</v>
      </c>
      <c r="AM20" s="49" t="str">
        <f>IF(AL20=0,"-",+AL20/Z20-1)</f>
        <v>-</v>
      </c>
      <c r="AN20" s="28">
        <f ca="1">+D20/Y20-1</f>
        <v>0.96272285251215539</v>
      </c>
      <c r="AO20" s="75">
        <f ca="1">VLOOKUP(Tabla2[[#This Row],[TCKR]],'2026'!$D$5:$AH$257,8,FALSE)</f>
        <v>79</v>
      </c>
      <c r="AP20" s="193">
        <f ca="1">VLOOKUP(Tabla2[[#This Row],[TCKR]],'2026'!$D$5:$AH$257,26,FALSE)</f>
        <v>9217.6302698738</v>
      </c>
      <c r="AQ20" s="5" cm="1">
        <f t="array" aca="1" ref="AQ20" ca="1">_FV(Tabla2[[#This Row],[valor]],"P/E",TRUE)</f>
        <v>16.092500000000001</v>
      </c>
      <c r="AR20" s="4"/>
      <c r="AT20" s="193">
        <f ca="1">+Tabla2[[#This Row],[Titulos2]]*Tabla2[[#This Row],[Neto]]</f>
        <v>0</v>
      </c>
      <c r="AU20" s="28">
        <f>+Tabla2[[#This Row],[Neto]]/Tabla2[[#This Row],[Precio compra2]]</f>
        <v>0</v>
      </c>
    </row>
    <row r="21" spans="1:47" ht="16" customHeight="1" x14ac:dyDescent="0.2">
      <c r="A21" s="75" t="e" vm="104">
        <v>#VALUE!</v>
      </c>
      <c r="B21" s="242" t="str" cm="1">
        <f t="array" aca="1" ref="B21" ca="1">_FV(A21,"Ticker symbol",TRUE)</f>
        <v>ROVI</v>
      </c>
      <c r="C21" s="217" cm="1">
        <f t="array" aca="1" ref="C21" ca="1">_FV(A21,"Change (%)",TRUE)</f>
        <v>-4.9320000000000006E-3</v>
      </c>
      <c r="D21" s="144" cm="1">
        <f t="array" aca="1" ref="D21" ca="1">_FV(A21,"Price")</f>
        <v>80.7</v>
      </c>
      <c r="E21" s="159">
        <f ca="1">AE21</f>
        <v>-0.32490706319702611</v>
      </c>
      <c r="F21" s="321">
        <f ca="1">+Tabla2[[#This Row],[Rentab. Parcial]]</f>
        <v>0.67775467775467768</v>
      </c>
      <c r="G21" s="321">
        <f ca="1">+Tabla2[[#This Row],[Rentab. Parcial2]]</f>
        <v>0.67775467775467768</v>
      </c>
      <c r="H21" s="253">
        <f ca="1">+Tabla2[[#This Row],[Difer. Investing]]</f>
        <v>7.3605947955390327E-2</v>
      </c>
      <c r="I21" s="79">
        <f>+Tabla2[[#This Row],[Objetivo div2]]</f>
        <v>54.48</v>
      </c>
      <c r="J21" s="75" cm="1">
        <f t="array" aca="1" ref="J21" ca="1">_FV(A21,"High")</f>
        <v>82</v>
      </c>
      <c r="K21" s="75" cm="1">
        <f t="array" aca="1" ref="K21" ca="1">_FV(A21,"Low")</f>
        <v>80.7</v>
      </c>
      <c r="L21" s="75" cm="1">
        <f t="array" aca="1" ref="L21" ca="1">_FV(Tabla2[[#This Row],[valor]],"52 week high",TRUE)</f>
        <v>86.7</v>
      </c>
      <c r="M21" s="75">
        <f ca="1">+Tabla2[[#This Row],[52 high]]*0.9</f>
        <v>78.03</v>
      </c>
      <c r="N21" s="75">
        <f ca="1">+Tabla2[[#This Row],[52 high]]*0.95</f>
        <v>82.364999999999995</v>
      </c>
      <c r="O21" s="75" cm="1">
        <f t="array" aca="1" ref="O21" ca="1">_FV(Tabla2[[#This Row],[valor]],"52 week low",TRUE)</f>
        <v>50.05</v>
      </c>
      <c r="P21" s="220">
        <f ca="1">+TODAY()-Tabla2[[#This Row],[F. compra]]</f>
        <v>383</v>
      </c>
      <c r="Q21" s="220">
        <f ca="1">GESTEP(Tabla2[[#This Row],[price]],Tabla2[[#This Row],[HIGH 10%]])</f>
        <v>1</v>
      </c>
      <c r="R21" s="220">
        <f ca="1">GESTEP(Tabla2[[#This Row],[price]],Tabla2[[#This Row],[HIGH 5%]])</f>
        <v>0</v>
      </c>
      <c r="S21" s="75" t="s">
        <v>75</v>
      </c>
      <c r="T21" s="110" t="s">
        <v>78</v>
      </c>
      <c r="U21" s="110" t="s">
        <v>26</v>
      </c>
      <c r="V21" s="16">
        <v>45756</v>
      </c>
      <c r="W21" s="16">
        <v>45757</v>
      </c>
      <c r="X21" s="80"/>
      <c r="Y21" s="79">
        <v>48.1</v>
      </c>
      <c r="Z21" s="79">
        <v>48.1</v>
      </c>
      <c r="AA21" s="79">
        <v>48.1</v>
      </c>
      <c r="AB21" s="96"/>
      <c r="AC21" s="79">
        <v>54.48</v>
      </c>
      <c r="AD21" s="79">
        <f>+Tabla2[[#This Row],[Objetivo div2]]+Tabla2[[#This Row],[Div.]]</f>
        <v>54.48</v>
      </c>
      <c r="AE21" s="159">
        <f ca="1">IF(Z21="-",+AC21/Y21-1,AC21/D21-1)</f>
        <v>-0.32490706319702611</v>
      </c>
      <c r="AF21" s="81">
        <v>86.64</v>
      </c>
      <c r="AG21" s="253">
        <f ca="1">IF(Z21="-",+AF21/D21-1,AF21/D21-1)</f>
        <v>7.3605947955390327E-2</v>
      </c>
      <c r="AH21" s="81">
        <v>44.88</v>
      </c>
      <c r="AI21" s="147">
        <f ca="1">IF(Z21="-",AH21/Y21-1,+AH21/D21-1)</f>
        <v>-0.4438661710037175</v>
      </c>
      <c r="AJ21" s="121">
        <f ca="1">IF(Z21="-","-",+(D21/Z21)-1)</f>
        <v>0.67775467775467768</v>
      </c>
      <c r="AK21" s="120">
        <f ca="1">IF(AA21="-","-",+(D21/AA21)-1)</f>
        <v>0.67775467775467768</v>
      </c>
      <c r="AM21" s="49" t="str">
        <f>IF(AL21=0,"-",+AL21/Z21-1)</f>
        <v>-</v>
      </c>
      <c r="AN21" s="28">
        <f ca="1">+D21/Y21-1</f>
        <v>0.67775467775467768</v>
      </c>
      <c r="AO21" s="75">
        <f ca="1">VLOOKUP(Tabla2[[#This Row],[TCKR]],'2026'!$D$5:$AH$257,8,FALSE)</f>
        <v>124</v>
      </c>
      <c r="AP21" s="193">
        <f ca="1">VLOOKUP(Tabla2[[#This Row],[TCKR]],'2026'!$D$5:$AH$257,26,FALSE)</f>
        <v>3177.1332824770889</v>
      </c>
      <c r="AQ21" s="5" cm="1">
        <f t="array" aca="1" ref="AQ21" ca="1">_FV(Tabla2[[#This Row],[valor]],"P/E",TRUE)</f>
        <v>29.6191</v>
      </c>
      <c r="AR21" s="4"/>
      <c r="AT21" s="193">
        <f ca="1">+Tabla2[[#This Row],[Titulos2]]*Tabla2[[#This Row],[Neto]]</f>
        <v>0</v>
      </c>
      <c r="AU21" s="28">
        <f>+Tabla2[[#This Row],[Neto]]/Tabla2[[#This Row],[Precio compra2]]</f>
        <v>0</v>
      </c>
    </row>
    <row r="22" spans="1:47" ht="16" customHeight="1" x14ac:dyDescent="0.2">
      <c r="A22" s="75" t="e" vm="68">
        <v>#VALUE!</v>
      </c>
      <c r="B22" s="75" t="str" cm="1">
        <f t="array" aca="1" ref="B22" ca="1">_FV(A22,"Ticker symbol",TRUE)</f>
        <v>FAE</v>
      </c>
      <c r="C22" s="217" cm="1">
        <f t="array" aca="1" ref="C22" ca="1">_FV(A22,"Change (%)",TRUE)</f>
        <v>-3.1250000000000002E-3</v>
      </c>
      <c r="D22" s="144" cm="1">
        <f t="array" aca="1" ref="D22" ca="1">_FV(A22,"Price")</f>
        <v>4.7850000000000001</v>
      </c>
      <c r="E22" s="159">
        <f ca="1">AE22</f>
        <v>-0.28944626874842128</v>
      </c>
      <c r="F22" s="321">
        <f ca="1">+Tabla2[[#This Row],[Rentab. Parcial]]</f>
        <v>1.3421443599600007</v>
      </c>
      <c r="G22" s="321">
        <f ca="1">+Tabla2[[#This Row],[Rentab. Parcial2]]</f>
        <v>0.97890818858560791</v>
      </c>
      <c r="H22" s="253">
        <f ca="1">+Tabla2[[#This Row],[Difer. Investing]]</f>
        <v>0.14106583072100309</v>
      </c>
      <c r="I22" s="79">
        <f>+Tabla2[[#This Row],[Objetivo div2]]</f>
        <v>3.3999996040388041</v>
      </c>
      <c r="J22" s="75" cm="1">
        <f t="array" aca="1" ref="J22" ca="1">_FV(A22,"High")</f>
        <v>4.8449999999999998</v>
      </c>
      <c r="K22" s="75" cm="1">
        <f t="array" aca="1" ref="K22" ca="1">_FV(A22,"Low")</f>
        <v>4.78</v>
      </c>
      <c r="L22" s="75" cm="1">
        <f t="array" aca="1" ref="L22" ca="1">_FV(Tabla2[[#This Row],[valor]],"52 week high",TRUE)</f>
        <v>5.44</v>
      </c>
      <c r="M22" s="75">
        <f ca="1">+Tabla2[[#This Row],[52 high]]*0.9</f>
        <v>4.8960000000000008</v>
      </c>
      <c r="N22" s="75">
        <f ca="1">+Tabla2[[#This Row],[52 high]]*0.95</f>
        <v>5.1680000000000001</v>
      </c>
      <c r="O22" s="75" cm="1">
        <f t="array" aca="1" ref="O22" ca="1">_FV(Tabla2[[#This Row],[valor]],"52 week low",TRUE)</f>
        <v>4.0999999999999996</v>
      </c>
      <c r="P22" s="220">
        <f ca="1">+TODAY()-Tabla2[[#This Row],[F. compra]]</f>
        <v>3224</v>
      </c>
      <c r="Q22" s="220">
        <f ca="1">GESTEP(Tabla2[[#This Row],[price]],Tabla2[[#This Row],[HIGH 10%]])</f>
        <v>0</v>
      </c>
      <c r="R22" s="220">
        <f ca="1">GESTEP(Tabla2[[#This Row],[price]],Tabla2[[#This Row],[HIGH 5%]])</f>
        <v>0</v>
      </c>
      <c r="S22" s="75" t="s">
        <v>75</v>
      </c>
      <c r="T22" s="110" t="s">
        <v>136</v>
      </c>
      <c r="U22" s="110" t="s">
        <v>72</v>
      </c>
      <c r="V22" s="16">
        <v>42916</v>
      </c>
      <c r="W22" s="16">
        <v>42916</v>
      </c>
      <c r="X22" s="80" t="s">
        <v>11</v>
      </c>
      <c r="Y22" s="79" t="s">
        <v>11</v>
      </c>
      <c r="Z22" s="79">
        <f>2.418-Tabla2[[#This Row],[Div.]]</f>
        <v>2.0429996040388043</v>
      </c>
      <c r="AA22" s="79">
        <v>2.4180000000000001</v>
      </c>
      <c r="AB22" s="96">
        <f>0.334000395961196+'dividendos 26'!E9</f>
        <v>0.375000395961196</v>
      </c>
      <c r="AC22" s="79">
        <f>3.775-Tabla2[[#This Row],[Div.]]</f>
        <v>3.3999996040388041</v>
      </c>
      <c r="AD22" s="79">
        <f>+Tabla2[[#This Row],[Objetivo div2]]+Tabla2[[#This Row],[Div.]]</f>
        <v>3.7749999999999999</v>
      </c>
      <c r="AE22" s="159">
        <f ca="1">IF(Z22="-",+AC22/Y22-1,AC22/D22-1)</f>
        <v>-0.28944626874842128</v>
      </c>
      <c r="AF22" s="81">
        <v>5.46</v>
      </c>
      <c r="AG22" s="253">
        <f ca="1">IF(Z22="-",+AF22/D22-1,AF22/D22-1)</f>
        <v>0.14106583072100309</v>
      </c>
      <c r="AH22" s="81" t="s">
        <v>11</v>
      </c>
      <c r="AI22" s="147" t="e">
        <f ca="1">IF(Z22="-",AH22/Y22-1,+AH22/D22-1)</f>
        <v>#VALUE!</v>
      </c>
      <c r="AJ22" s="121">
        <f ca="1">IF(Z22="-","-",+(D22/Z22)-1)</f>
        <v>1.3421443599600007</v>
      </c>
      <c r="AK22" s="120">
        <f ca="1">IF(AA22="-","-",+(D22/AA22)-1)</f>
        <v>0.97890818858560791</v>
      </c>
      <c r="AM22" s="49" t="str">
        <f>IF(AL22=0,"-",+AL22/Z22-1)</f>
        <v>-</v>
      </c>
      <c r="AN22" s="28" t="e">
        <f ca="1">+D22/Y22-1</f>
        <v>#VALUE!</v>
      </c>
      <c r="AO22" s="75">
        <f ca="1">VLOOKUP(Tabla2[[#This Row],[TCKR]],'2026'!$D$5:$AH$257,8,FALSE)</f>
        <v>3640</v>
      </c>
      <c r="AP22" s="193">
        <f ca="1">VLOOKUP(Tabla2[[#This Row],[TCKR]],'2026'!$D$5:$AH$257,26,FALSE)</f>
        <v>5456.5358428141444</v>
      </c>
      <c r="AQ22" s="5" cm="1">
        <f t="array" aca="1" ref="AQ22" ca="1">_FV(Tabla2[[#This Row],[valor]],"P/E",TRUE)</f>
        <v>18.764700000000001</v>
      </c>
      <c r="AR22" s="4" t="s">
        <v>11</v>
      </c>
      <c r="AT22" s="193">
        <f ca="1">+Tabla2[[#This Row],[Titulos2]]*Tabla2[[#This Row],[Neto]]</f>
        <v>0</v>
      </c>
      <c r="AU22" s="28">
        <f>+Tabla2[[#This Row],[Neto]]/Tabla2[[#This Row],[Precio compra2]]</f>
        <v>0</v>
      </c>
    </row>
    <row r="23" spans="1:47" ht="16" customHeight="1" x14ac:dyDescent="0.2">
      <c r="A23" s="75" t="e" vm="88">
        <v>#VALUE!</v>
      </c>
      <c r="B23" s="75" t="str" cm="1">
        <f t="array" aca="1" ref="B23" ca="1">_FV(A23,"Ticker symbol",TRUE)</f>
        <v>IBE</v>
      </c>
      <c r="C23" s="217" cm="1">
        <f t="array" aca="1" ref="C23" ca="1">_FV(A23,"Change (%)",TRUE)</f>
        <v>3.2619999999999997E-3</v>
      </c>
      <c r="D23" s="144" cm="1">
        <f t="array" aca="1" ref="D23" ca="1">_FV(A23,"Price")</f>
        <v>19.989999999999998</v>
      </c>
      <c r="E23" s="159">
        <f ca="1">AE23</f>
        <v>-0.26978484325742025</v>
      </c>
      <c r="F23" s="321">
        <f ca="1">+Tabla2[[#This Row],[Rentab. Parcial]]</f>
        <v>3.9999987702802304</v>
      </c>
      <c r="G23" s="321">
        <f ca="1">+Tabla2[[#This Row],[Rentab. Parcial2]]</f>
        <v>3.6166281755196303</v>
      </c>
      <c r="H23" s="253">
        <f ca="1">+Tabla2[[#This Row],[Difer. Investing]]</f>
        <v>-0.13356678339169581</v>
      </c>
      <c r="I23" s="79">
        <f ca="1">+Tabla2[[#This Row],[Objetivo div2]]</f>
        <v>14.597000983284168</v>
      </c>
      <c r="J23" s="75" cm="1">
        <f t="array" aca="1" ref="J23" ca="1">_FV(A23,"High")</f>
        <v>20.100000000000001</v>
      </c>
      <c r="K23" s="75" cm="1">
        <f t="array" aca="1" ref="K23" ca="1">_FV(A23,"Low")</f>
        <v>19.774999999999999</v>
      </c>
      <c r="L23" s="75" cm="1">
        <f t="array" aca="1" ref="L23" ca="1">_FV(Tabla2[[#This Row],[valor]],"52 week high",TRUE)</f>
        <v>20.6</v>
      </c>
      <c r="M23" s="75">
        <f ca="1">+Tabla2[[#This Row],[52 high]]*0.9</f>
        <v>18.540000000000003</v>
      </c>
      <c r="N23" s="75">
        <f ca="1">+Tabla2[[#This Row],[52 high]]*0.95</f>
        <v>19.57</v>
      </c>
      <c r="O23" s="75" cm="1">
        <f t="array" aca="1" ref="O23" ca="1">_FV(Tabla2[[#This Row],[valor]],"52 week low",TRUE)</f>
        <v>14.602</v>
      </c>
      <c r="P23" s="220">
        <f ca="1">+TODAY()-Tabla2[[#This Row],[F. compra]]</f>
        <v>3044</v>
      </c>
      <c r="Q23" s="220">
        <f ca="1">GESTEP(Tabla2[[#This Row],[price]],Tabla2[[#This Row],[HIGH 10%]])</f>
        <v>1</v>
      </c>
      <c r="R23" s="220">
        <f ca="1">GESTEP(Tabla2[[#This Row],[price]],Tabla2[[#This Row],[HIGH 5%]])</f>
        <v>1</v>
      </c>
      <c r="S23" s="75" t="s">
        <v>75</v>
      </c>
      <c r="T23" s="110" t="s">
        <v>78</v>
      </c>
      <c r="U23" s="110" t="s">
        <v>72</v>
      </c>
      <c r="V23" s="16">
        <v>45425</v>
      </c>
      <c r="W23" s="16">
        <v>43096</v>
      </c>
      <c r="X23" s="80"/>
      <c r="Y23" s="79">
        <v>12.23</v>
      </c>
      <c r="Z23" s="79">
        <f ca="1">4.331-Tabla2[[#This Row],[Div.]]</f>
        <v>3.9980009832841694</v>
      </c>
      <c r="AA23" s="79">
        <v>4.33</v>
      </c>
      <c r="AB23" s="96">
        <f ca="1">0.08+'dividendos 26'!E25</f>
        <v>0.33299901671583088</v>
      </c>
      <c r="AC23" s="79">
        <f ca="1">14.93-Tabla2[[#This Row],[Div.]]</f>
        <v>14.597000983284168</v>
      </c>
      <c r="AD23" s="79">
        <f ca="1">+Tabla2[[#This Row],[Objetivo div2]]+Tabla2[[#This Row],[Div.]]</f>
        <v>14.93</v>
      </c>
      <c r="AE23" s="159">
        <f ca="1">IF(Z23="-",+AC23/Y23-1,AC23/D23-1)</f>
        <v>-0.26978484325742025</v>
      </c>
      <c r="AF23" s="81">
        <v>17.32</v>
      </c>
      <c r="AG23" s="253">
        <f ca="1">IF(Z23="-",+AF23/D23-1,AF23/D23-1)</f>
        <v>-0.13356678339169581</v>
      </c>
      <c r="AH23" s="81">
        <f ca="1">10.88-Tabla2[[#This Row],[Div.]]</f>
        <v>10.547000983284169</v>
      </c>
      <c r="AI23" s="147">
        <f ca="1">IF(Z23="-",AH23/Y23-1,+AH23/D23-1)</f>
        <v>-0.47238614390774536</v>
      </c>
      <c r="AJ23" s="121">
        <f ca="1">IF(Z23="-","-",+(D23/Z23)-1)</f>
        <v>3.9999987702802304</v>
      </c>
      <c r="AK23" s="120">
        <f ca="1">IF(AA23="-","-",+(D23/AA23)-1)</f>
        <v>3.6166281755196303</v>
      </c>
      <c r="AM23" s="49" t="str">
        <f>IF(AL23=0,"-",+AL23/Z23-1)</f>
        <v>-</v>
      </c>
      <c r="AN23" s="28">
        <f ca="1">+D23/Y23-1</f>
        <v>0.63450531479967265</v>
      </c>
      <c r="AO23" s="75">
        <f ca="1">VLOOKUP(Tabla2[[#This Row],[TCKR]],'2026'!$D$5:$AH$257,8,FALSE)</f>
        <v>3051</v>
      </c>
      <c r="AP23" s="193">
        <f ca="1">VLOOKUP(Tabla2[[#This Row],[TCKR]],'2026'!$D$5:$AH$257,26,FALSE)</f>
        <v>36998.529016145098</v>
      </c>
      <c r="AQ23" s="5" cm="1">
        <f t="array" aca="1" ref="AQ23" ca="1">_FV(Tabla2[[#This Row],[valor]],"P/E",TRUE)</f>
        <v>21.554500000000001</v>
      </c>
      <c r="AR23" s="4">
        <v>45842</v>
      </c>
      <c r="AS23" s="5">
        <v>0.33</v>
      </c>
      <c r="AT23" s="193">
        <f ca="1">+Tabla2[[#This Row],[Titulos2]]*Tabla2[[#This Row],[Neto]]</f>
        <v>1006.83</v>
      </c>
      <c r="AU23" s="28">
        <f>+Tabla2[[#This Row],[Neto]]/Tabla2[[#This Row],[Precio compra2]]</f>
        <v>7.6212471131639731E-2</v>
      </c>
    </row>
    <row r="24" spans="1:47" ht="16" customHeight="1" x14ac:dyDescent="0.2">
      <c r="A24" s="323" t="e" vm="47">
        <v>#VALUE!</v>
      </c>
      <c r="B24" s="323" t="str" cm="1">
        <f t="array" aca="1" ref="B24" ca="1">_FV(A24,"Ticker symbol",TRUE)</f>
        <v>YOU</v>
      </c>
      <c r="C24" s="217" cm="1">
        <f t="array" aca="1" ref="C24" ca="1">_FV(A24,"Change (%)",TRUE)</f>
        <v>-1.2770000000000001E-3</v>
      </c>
      <c r="D24" s="144" cm="1">
        <f t="array" aca="1" ref="D24" ca="1">_FV(A24,"Price")</f>
        <v>54.74</v>
      </c>
      <c r="E24" s="159">
        <f ca="1">AE24</f>
        <v>-0.24811628999425861</v>
      </c>
      <c r="F24" s="321">
        <f ca="1">+Tabla2[[#This Row],[Rentab. Parcial]]</f>
        <v>0.72202728063678778</v>
      </c>
      <c r="G24" s="321">
        <f ca="1">+Tabla2[[#This Row],[Rentab. Parcial2]]</f>
        <v>0.67043027158986868</v>
      </c>
      <c r="H24" s="253">
        <f ca="1">+Tabla2[[#This Row],[Difer. Investing]]</f>
        <v>-0.29886737303617095</v>
      </c>
      <c r="I24" s="79">
        <f ca="1">+Tabla2[[#This Row],[Objetivo div2]]</f>
        <v>41.158114285714284</v>
      </c>
      <c r="J24" s="75" cm="1">
        <f t="array" aca="1" ref="J24" ca="1">_FV(A24,"High")</f>
        <v>55.712800000000001</v>
      </c>
      <c r="K24" s="75" cm="1">
        <f t="array" aca="1" ref="K24" ca="1">_FV(A24,"Low")</f>
        <v>54.447499999999998</v>
      </c>
      <c r="L24" s="75" cm="1">
        <f t="array" aca="1" ref="L24" ca="1">_FV(Tabla2[[#This Row],[valor]],"52 week high",TRUE)</f>
        <v>59.515000000000001</v>
      </c>
      <c r="M24" s="75">
        <f ca="1">+Tabla2[[#This Row],[52 high]]*0.9</f>
        <v>53.563500000000005</v>
      </c>
      <c r="N24" s="75">
        <f ca="1">+Tabla2[[#This Row],[52 high]]*0.95</f>
        <v>56.539249999999996</v>
      </c>
      <c r="O24" s="75" cm="1">
        <f t="array" aca="1" ref="O24" ca="1">_FV(Tabla2[[#This Row],[valor]],"52 week low",TRUE)</f>
        <v>23.6572</v>
      </c>
      <c r="P24" s="220">
        <f ca="1">+TODAY()-Tabla2[[#This Row],[F. compra]]</f>
        <v>582</v>
      </c>
      <c r="Q24" s="220">
        <f ca="1">GESTEP(Tabla2[[#This Row],[price]],Tabla2[[#This Row],[HIGH 10%]])</f>
        <v>1</v>
      </c>
      <c r="R24" s="220">
        <f ca="1">GESTEP(Tabla2[[#This Row],[price]],Tabla2[[#This Row],[HIGH 5%]])</f>
        <v>0</v>
      </c>
      <c r="S24" s="75" t="s">
        <v>75</v>
      </c>
      <c r="T24" s="110" t="s">
        <v>78</v>
      </c>
      <c r="U24" s="110" t="s">
        <v>26</v>
      </c>
      <c r="V24" s="16">
        <v>45558</v>
      </c>
      <c r="W24" s="16">
        <v>45558</v>
      </c>
      <c r="X24" s="80"/>
      <c r="Y24" s="79">
        <v>33.020000000000003</v>
      </c>
      <c r="Z24" s="79">
        <f ca="1">32.77-Tabla2[[#This Row],[Div.]]</f>
        <v>31.78811428571429</v>
      </c>
      <c r="AA24" s="79">
        <f ca="1">+Tabla2[[#This Row],[Precio compra]]+Tabla2[[#This Row],[Div.]]</f>
        <v>32.770000000000003</v>
      </c>
      <c r="AB24" s="96">
        <f ca="1">0.68+'dividendos 26'!E48+'dividendos 26'!E49</f>
        <v>0.98188571428571436</v>
      </c>
      <c r="AC24" s="79">
        <f ca="1">42.14-Tabla2[[#This Row],[Div.]]</f>
        <v>41.158114285714284</v>
      </c>
      <c r="AD24" s="79">
        <f ca="1">+Tabla2[[#This Row],[Objetivo div2]]+Tabla2[[#This Row],[Div.]]</f>
        <v>42.14</v>
      </c>
      <c r="AE24" s="159">
        <f ca="1">IF(Z24="-",+AC24/Y24-1,AC24/D24-1)</f>
        <v>-0.24811628999425861</v>
      </c>
      <c r="AF24" s="81">
        <v>38.380000000000003</v>
      </c>
      <c r="AG24" s="253">
        <f ca="1">IF(Z24="-",+AF24/D24-1,AF24/D24-1)</f>
        <v>-0.29886737303617095</v>
      </c>
      <c r="AH24" s="81">
        <f ca="1">28.48-Tabla2[[#This Row],[Div.]]</f>
        <v>27.498114285714287</v>
      </c>
      <c r="AI24" s="147">
        <f ca="1">IF(Z24="-",AH24/Y24-1,+AH24/D24-1)</f>
        <v>-0.49765958557335976</v>
      </c>
      <c r="AJ24" s="121">
        <f ca="1">IF(Z24="-","-",+(D24/Z24)-1)</f>
        <v>0.72202728063678778</v>
      </c>
      <c r="AK24" s="120">
        <f ca="1">IF(AA24="-","-",+(D24/AA24)-1)</f>
        <v>0.67043027158986868</v>
      </c>
      <c r="AM24" s="49" t="str">
        <f>IF(AL24=0,"-",+AL24/Z24-1)</f>
        <v>-</v>
      </c>
      <c r="AN24" s="28">
        <f ca="1">+D24/Y24-1</f>
        <v>0.65778316172016948</v>
      </c>
      <c r="AO24" s="75">
        <f ca="1">VLOOKUP(Tabla2[[#This Row],[TCKR]],'2026'!$D$5:$AH$257,8,FALSE)</f>
        <v>350</v>
      </c>
      <c r="AP24" s="193">
        <f ca="1">VLOOKUP(Tabla2[[#This Row],[TCKR]],'2026'!$D$5:$AH$257,26,FALSE)</f>
        <v>4721.173291246555</v>
      </c>
      <c r="AQ24" s="5" cm="1">
        <f t="array" aca="1" ref="AQ24" ca="1">_FV(Tabla2[[#This Row],[valor]],"P/E",TRUE)</f>
        <v>48.875</v>
      </c>
      <c r="AR24" s="4"/>
      <c r="AT24" s="193">
        <f ca="1">+Tabla2[[#This Row],[Titulos2]]*Tabla2[[#This Row],[Neto]]</f>
        <v>0</v>
      </c>
      <c r="AU24" s="28">
        <f ca="1">+Tabla2[[#This Row],[Neto]]/Tabla2[[#This Row],[Precio compra2]]</f>
        <v>0</v>
      </c>
    </row>
    <row r="25" spans="1:47" ht="16" customHeight="1" x14ac:dyDescent="0.2">
      <c r="A25" s="75" t="e" vm="68">
        <v>#VALUE!</v>
      </c>
      <c r="B25" s="75" t="str" cm="1">
        <f t="array" aca="1" ref="B25" ca="1">_FV(A25,"Ticker symbol",TRUE)</f>
        <v>FAE</v>
      </c>
      <c r="C25" s="217" cm="1">
        <f t="array" aca="1" ref="C25" ca="1">_FV(A25,"Change (%)",TRUE)</f>
        <v>-3.1250000000000002E-3</v>
      </c>
      <c r="D25" s="144" cm="1">
        <f t="array" aca="1" ref="D25" ca="1">_FV(A25,"Price")</f>
        <v>4.7850000000000001</v>
      </c>
      <c r="E25" s="159">
        <f ca="1">AE25</f>
        <v>-0.24346917450365724</v>
      </c>
      <c r="F25" s="321">
        <f ca="1">+Tabla2[[#This Row],[Rentab. Parcial]]</f>
        <v>0.54604200323101781</v>
      </c>
      <c r="G25" s="321">
        <f ca="1">+Tabla2[[#This Row],[Rentab. Parcial2]]</f>
        <v>0.37896253602305463</v>
      </c>
      <c r="H25" s="253">
        <f ca="1">+Tabla2[[#This Row],[Difer. Investing]]</f>
        <v>0.14106583072100309</v>
      </c>
      <c r="I25" s="79">
        <f>+Tabla2[[#This Row],[Objetivo div2]]</f>
        <v>3.62</v>
      </c>
      <c r="J25" s="75" cm="1">
        <f t="array" aca="1" ref="J25" ca="1">_FV(A25,"High")</f>
        <v>4.8449999999999998</v>
      </c>
      <c r="K25" s="75" cm="1">
        <f t="array" aca="1" ref="K25" ca="1">_FV(A25,"Low")</f>
        <v>4.78</v>
      </c>
      <c r="L25" s="75" cm="1">
        <f t="array" aca="1" ref="L25" ca="1">_FV(Tabla2[[#This Row],[valor]],"52 week high",TRUE)</f>
        <v>5.44</v>
      </c>
      <c r="M25" s="75">
        <f ca="1">+Tabla2[[#This Row],[52 high]]*0.9</f>
        <v>4.8960000000000008</v>
      </c>
      <c r="N25" s="75">
        <f ca="1">+Tabla2[[#This Row],[52 high]]*0.95</f>
        <v>5.1680000000000001</v>
      </c>
      <c r="O25" s="75" cm="1">
        <f t="array" aca="1" ref="O25" ca="1">_FV(Tabla2[[#This Row],[valor]],"52 week low",TRUE)</f>
        <v>4.0999999999999996</v>
      </c>
      <c r="P25" s="220">
        <f ca="1">+TODAY()-Tabla2[[#This Row],[F. compra]]</f>
        <v>400</v>
      </c>
      <c r="Q25" s="220">
        <f ca="1">GESTEP(Tabla2[[#This Row],[price]],Tabla2[[#This Row],[HIGH 10%]])</f>
        <v>0</v>
      </c>
      <c r="R25" s="220">
        <f ca="1">GESTEP(Tabla2[[#This Row],[price]],Tabla2[[#This Row],[HIGH 5%]])</f>
        <v>0</v>
      </c>
      <c r="S25" s="75" t="s">
        <v>75</v>
      </c>
      <c r="T25" s="110" t="s">
        <v>78</v>
      </c>
      <c r="U25" s="110" t="s">
        <v>26</v>
      </c>
      <c r="V25" s="16">
        <v>45740</v>
      </c>
      <c r="W25" s="16">
        <v>45740</v>
      </c>
      <c r="X25" s="80" t="s">
        <v>11</v>
      </c>
      <c r="Y25" s="79">
        <v>3.4950000000000001</v>
      </c>
      <c r="Z25" s="79">
        <f>3.47-Tabla2[[#This Row],[Div.]]</f>
        <v>3.0950000000000002</v>
      </c>
      <c r="AA25" s="79">
        <v>3.47</v>
      </c>
      <c r="AB25" s="96">
        <f>0.334+'dividendos 26'!E9</f>
        <v>0.375</v>
      </c>
      <c r="AC25" s="79">
        <f>3.995-Tabla2[[#This Row],[Div.]]</f>
        <v>3.62</v>
      </c>
      <c r="AD25" s="79">
        <v>3.9950000000000001</v>
      </c>
      <c r="AE25" s="159">
        <f ca="1">IF(Z25="-",+AC25/Y25-1,AC25/D25-1)</f>
        <v>-0.24346917450365724</v>
      </c>
      <c r="AF25" s="81">
        <v>5.46</v>
      </c>
      <c r="AG25" s="253">
        <f ca="1">IF(Z25="-",+AF25/D25-1,AF25/D25-1)</f>
        <v>0.14106583072100309</v>
      </c>
      <c r="AH25" s="81">
        <v>3.2450000000000001</v>
      </c>
      <c r="AI25" s="147">
        <f ca="1">IF(Z25="-",AH25/Y25-1,+AH25/D25-1)</f>
        <v>-0.32183908045977017</v>
      </c>
      <c r="AJ25" s="121">
        <f ca="1">IF(Z25="-","-",+(D25/Z25)-1)</f>
        <v>0.54604200323101781</v>
      </c>
      <c r="AK25" s="120">
        <f ca="1">IF(AA25="-","-",+(D25/AA25)-1)</f>
        <v>0.37896253602305463</v>
      </c>
      <c r="AM25" s="49" t="str">
        <f>IF(AL25=0,"-",+AL25/Z25-1)</f>
        <v>-</v>
      </c>
      <c r="AN25" s="28">
        <f ca="1">+D25/Y25-1</f>
        <v>0.36909871244635184</v>
      </c>
      <c r="AO25" s="75">
        <f ca="1">VLOOKUP(Tabla2[[#This Row],[TCKR]],'2026'!$D$5:$AH$257,8,FALSE)</f>
        <v>3640</v>
      </c>
      <c r="AP25" s="193">
        <f ca="1">VLOOKUP(Tabla2[[#This Row],[TCKR]],'2026'!$D$5:$AH$257,26,FALSE)</f>
        <v>5456.5358428141444</v>
      </c>
      <c r="AQ25" s="5" cm="1">
        <f t="array" aca="1" ref="AQ25" ca="1">_FV(Tabla2[[#This Row],[valor]],"P/E",TRUE)</f>
        <v>18.764700000000001</v>
      </c>
      <c r="AR25" s="4" t="s">
        <v>11</v>
      </c>
      <c r="AT25" s="193">
        <f ca="1">+Tabla2[[#This Row],[Titulos2]]*Tabla2[[#This Row],[Neto]]</f>
        <v>0</v>
      </c>
      <c r="AU25" s="28">
        <f>+Tabla2[[#This Row],[Neto]]/Tabla2[[#This Row],[Precio compra2]]</f>
        <v>0</v>
      </c>
    </row>
    <row r="26" spans="1:47" ht="16" customHeight="1" x14ac:dyDescent="0.2">
      <c r="A26" s="75" t="e" vm="20">
        <v>#VALUE!</v>
      </c>
      <c r="B26" s="75" t="str" cm="1">
        <f t="array" aca="1" ref="B26" ca="1">_FV(A26,"Ticker symbol",TRUE)</f>
        <v>MTS</v>
      </c>
      <c r="C26" s="217" cm="1">
        <f t="array" aca="1" ref="C26" ca="1">_FV(A26,"Change (%)",TRUE)</f>
        <v>-6.3239999999999998E-3</v>
      </c>
      <c r="D26" s="144" cm="1">
        <f t="array" aca="1" ref="D26" ca="1">_FV(A26,"Price")</f>
        <v>50.28</v>
      </c>
      <c r="E26" s="159">
        <f ca="1">AE26</f>
        <v>-0.22645586344692248</v>
      </c>
      <c r="F26" s="321">
        <f ca="1">+Tabla2[[#This Row],[Rentab. Parcial]]</f>
        <v>1.5122666382828127</v>
      </c>
      <c r="G26" s="321">
        <f ca="1">+Tabla2[[#This Row],[Rentab. Parcial2]]</f>
        <v>1.4384093113482055</v>
      </c>
      <c r="H26" s="253">
        <f ca="1">+Tabla2[[#This Row],[Difer. Investing]]</f>
        <v>-0.34944311853619725</v>
      </c>
      <c r="I26" s="79">
        <f>+Tabla2[[#This Row],[Objetivo div2]]</f>
        <v>38.893799185888739</v>
      </c>
      <c r="J26" s="75" cm="1">
        <f t="array" aca="1" ref="J26" ca="1">_FV(A26,"High")</f>
        <v>51.3</v>
      </c>
      <c r="K26" s="75" cm="1">
        <f t="array" aca="1" ref="K26" ca="1">_FV(A26,"Low")</f>
        <v>50.06</v>
      </c>
      <c r="L26" s="75" cm="1">
        <f t="array" aca="1" ref="L26" ca="1">_FV(Tabla2[[#This Row],[valor]],"52 week high",TRUE)</f>
        <v>57.4</v>
      </c>
      <c r="M26" s="75">
        <f ca="1">+Tabla2[[#This Row],[52 high]]*0.9</f>
        <v>51.66</v>
      </c>
      <c r="N26" s="75">
        <f ca="1">+Tabla2[[#This Row],[52 high]]*0.95</f>
        <v>54.529999999999994</v>
      </c>
      <c r="O26" s="75" cm="1">
        <f t="array" aca="1" ref="O26" ca="1">_FV(Tabla2[[#This Row],[valor]],"52 week low",TRUE)</f>
        <v>24.65</v>
      </c>
      <c r="P26" s="220">
        <f ca="1">+TODAY()-Tabla2[[#This Row],[F. compra]]</f>
        <v>2562</v>
      </c>
      <c r="Q26" s="220">
        <f ca="1">GESTEP(Tabla2[[#This Row],[price]],Tabla2[[#This Row],[HIGH 10%]])</f>
        <v>0</v>
      </c>
      <c r="R26" s="220">
        <f ca="1">GESTEP(Tabla2[[#This Row],[price]],Tabla2[[#This Row],[HIGH 5%]])</f>
        <v>0</v>
      </c>
      <c r="S26" s="75" t="s">
        <v>75</v>
      </c>
      <c r="T26" s="110" t="s">
        <v>136</v>
      </c>
      <c r="U26" s="110" t="s">
        <v>72</v>
      </c>
      <c r="V26" s="16">
        <v>43578</v>
      </c>
      <c r="W26" s="16">
        <v>43578</v>
      </c>
      <c r="X26" s="80" t="s">
        <v>11</v>
      </c>
      <c r="Y26" s="79">
        <v>17.21</v>
      </c>
      <c r="Z26" s="79">
        <f>20.62-Tabla2[[#This Row],[Div.]]</f>
        <v>20.01379918588874</v>
      </c>
      <c r="AA26" s="79">
        <f>+Tabla2[[#This Row],[Precio compra]]+Tabla2[[#This Row],[Div.]]</f>
        <v>20.62</v>
      </c>
      <c r="AB26" s="96">
        <f>0.48+'dividendos 26'!E46</f>
        <v>0.60620081411126181</v>
      </c>
      <c r="AC26" s="79">
        <f>39.5-Tabla2[[#This Row],[Div.]]</f>
        <v>38.893799185888739</v>
      </c>
      <c r="AD26" s="79">
        <f>+Tabla2[[#This Row],[Objetivo div2]]+Tabla2[[#This Row],[Div.]]</f>
        <v>39.5</v>
      </c>
      <c r="AE26" s="159">
        <f ca="1">IF(Z26="-",+AC26/Y26-1,AC26/D26-1)</f>
        <v>-0.22645586344692248</v>
      </c>
      <c r="AF26" s="81">
        <v>32.71</v>
      </c>
      <c r="AG26" s="253">
        <f ca="1">IF(Z26="-",+AF26/D26-1,AF26/D26-1)</f>
        <v>-0.34944311853619725</v>
      </c>
      <c r="AH26" s="81">
        <v>16.18</v>
      </c>
      <c r="AI26" s="147">
        <f ca="1">IF(Z26="-",AH26/Y26-1,+AH26/D26-1)</f>
        <v>-0.67820206841686559</v>
      </c>
      <c r="AJ26" s="121">
        <f ca="1">IF(Z26="-","-",+(D26/Z26)-1)</f>
        <v>1.5122666382828127</v>
      </c>
      <c r="AK26" s="120">
        <f ca="1">IF(AA26="-","-",+(D26/AA26)-1)</f>
        <v>1.4384093113482055</v>
      </c>
      <c r="AM26" s="49" t="str">
        <f>IF(AL26=0,"-",+AL26/Z26-1)</f>
        <v>-</v>
      </c>
      <c r="AN26" s="28">
        <f ca="1">+D26/Y26-1</f>
        <v>1.9215572341661824</v>
      </c>
      <c r="AO26" s="75">
        <f ca="1">VLOOKUP(Tabla2[[#This Row],[TCKR]],'2026'!$D$5:$AH$257,8,FALSE)</f>
        <v>733</v>
      </c>
      <c r="AP26" s="193">
        <f ca="1">VLOOKUP(Tabla2[[#This Row],[TCKR]],'2026'!$D$5:$AH$257,26,FALSE)</f>
        <v>17155.87652500323</v>
      </c>
      <c r="AQ26" s="5" cm="1">
        <f t="array" aca="1" ref="AQ26" ca="1">_FV(Tabla2[[#This Row],[valor]],"P/E",TRUE)</f>
        <v>14.3828</v>
      </c>
      <c r="AR26" s="4"/>
      <c r="AT26" s="193">
        <f ca="1">+Tabla2[[#This Row],[Titulos2]]*Tabla2[[#This Row],[Neto]]</f>
        <v>0</v>
      </c>
      <c r="AU26" s="28">
        <f>+Tabla2[[#This Row],[Neto]]/Tabla2[[#This Row],[Precio compra2]]</f>
        <v>0</v>
      </c>
    </row>
    <row r="27" spans="1:47" ht="16" customHeight="1" x14ac:dyDescent="0.2">
      <c r="A27" s="75" t="e" vm="68">
        <v>#VALUE!</v>
      </c>
      <c r="B27" s="75" t="str" cm="1">
        <f t="array" aca="1" ref="B27" ca="1">_FV(A27,"Ticker symbol",TRUE)</f>
        <v>FAE</v>
      </c>
      <c r="C27" s="217" cm="1">
        <f t="array" aca="1" ref="C27" ca="1">_FV(A27,"Change (%)",TRUE)</f>
        <v>-3.1250000000000002E-3</v>
      </c>
      <c r="D27" s="144" cm="1">
        <f t="array" aca="1" ref="D27" ca="1">_FV(A27,"Price")</f>
        <v>4.7850000000000001</v>
      </c>
      <c r="E27" s="159">
        <f ca="1">AE27</f>
        <v>-0.22152550746818656</v>
      </c>
      <c r="F27" s="321">
        <f ca="1">+Tabla2[[#This Row],[Rentab. Parcial]]</f>
        <v>1.3421433938389349</v>
      </c>
      <c r="G27" s="321">
        <f ca="1">+Tabla2[[#This Row],[Rentab. Parcial2]]</f>
        <v>0.97727272727272729</v>
      </c>
      <c r="H27" s="253">
        <f ca="1">+Tabla2[[#This Row],[Difer. Investing]]</f>
        <v>0.14106583072100309</v>
      </c>
      <c r="I27" s="79">
        <f>+Tabla2[[#This Row],[Objetivo div2]]</f>
        <v>3.7250004467647275</v>
      </c>
      <c r="J27" s="75" cm="1">
        <f t="array" aca="1" ref="J27" ca="1">_FV(A27,"High")</f>
        <v>4.8449999999999998</v>
      </c>
      <c r="K27" s="75" cm="1">
        <f t="array" aca="1" ref="K27" ca="1">_FV(A27,"Low")</f>
        <v>4.78</v>
      </c>
      <c r="L27" s="75" cm="1">
        <f t="array" aca="1" ref="L27" ca="1">_FV(Tabla2[[#This Row],[valor]],"52 week high",TRUE)</f>
        <v>5.44</v>
      </c>
      <c r="M27" s="75">
        <f ca="1">+Tabla2[[#This Row],[52 high]]*0.9</f>
        <v>4.8960000000000008</v>
      </c>
      <c r="N27" s="75">
        <f ca="1">+Tabla2[[#This Row],[52 high]]*0.95</f>
        <v>5.1680000000000001</v>
      </c>
      <c r="O27" s="75" cm="1">
        <f t="array" aca="1" ref="O27" ca="1">_FV(Tabla2[[#This Row],[valor]],"52 week low",TRUE)</f>
        <v>4.0999999999999996</v>
      </c>
      <c r="P27" s="220">
        <f ca="1">+TODAY()-Tabla2[[#This Row],[F. compra]]</f>
        <v>3224</v>
      </c>
      <c r="Q27" s="220">
        <f ca="1">GESTEP(Tabla2[[#This Row],[price]],Tabla2[[#This Row],[HIGH 10%]])</f>
        <v>0</v>
      </c>
      <c r="R27" s="220">
        <f ca="1">GESTEP(Tabla2[[#This Row],[price]],Tabla2[[#This Row],[HIGH 5%]])</f>
        <v>0</v>
      </c>
      <c r="S27" s="75" t="s">
        <v>75</v>
      </c>
      <c r="T27" s="110" t="s">
        <v>78</v>
      </c>
      <c r="U27" s="110" t="s">
        <v>26</v>
      </c>
      <c r="V27" s="16">
        <v>45411</v>
      </c>
      <c r="W27" s="16">
        <v>42916</v>
      </c>
      <c r="X27" s="80"/>
      <c r="Y27" s="79">
        <v>3.4</v>
      </c>
      <c r="Z27" s="79">
        <f>2.418-Tabla2[[#This Row],[Div.]]</f>
        <v>2.043000446764728</v>
      </c>
      <c r="AA27" s="79">
        <v>2.42</v>
      </c>
      <c r="AB27" s="96">
        <f>0.33399975121587+'dividendos 26'!E10</f>
        <v>0.37499955323527212</v>
      </c>
      <c r="AC27" s="79">
        <f>4.1-Tabla2[[#This Row],[Div.]]</f>
        <v>3.7250004467647275</v>
      </c>
      <c r="AD27" s="79">
        <f>+Tabla2[[#This Row],[Objetivo div2]]+Tabla2[[#This Row],[Div.]]</f>
        <v>4.0999999999999996</v>
      </c>
      <c r="AE27" s="159">
        <f ca="1">IF(Z27="-",+AC27/Y27-1,AC27/D27-1)</f>
        <v>-0.22152550746818656</v>
      </c>
      <c r="AF27" s="81">
        <v>5.46</v>
      </c>
      <c r="AG27" s="253">
        <f ca="1">IF(Z27="-",+AF27/D27-1,AF27/D27-1)</f>
        <v>0.14106583072100309</v>
      </c>
      <c r="AH27" s="81">
        <f>3.05-Tabla2[[#This Row],[Div.]]</f>
        <v>2.6750004467647277</v>
      </c>
      <c r="AI27" s="147">
        <f ca="1">IF(Z27="-",AH27/Y27-1,+AH27/D27-1)</f>
        <v>-0.44096124414530247</v>
      </c>
      <c r="AJ27" s="121">
        <f ca="1">IF(Z27="-","-",+(D27/Z27)-1)</f>
        <v>1.3421433938389349</v>
      </c>
      <c r="AK27" s="120">
        <f ca="1">IF(AA27="-","-",+(D27/AA27)-1)</f>
        <v>0.97727272727272729</v>
      </c>
      <c r="AM27" s="49" t="str">
        <f>IF(AL27=0,"-",+AL27/Z27-1)</f>
        <v>-</v>
      </c>
      <c r="AN27" s="28">
        <f ca="1">+D27/Y27-1</f>
        <v>0.4073529411764707</v>
      </c>
      <c r="AO27" s="75">
        <f ca="1">VLOOKUP(Tabla2[[#This Row],[TCKR]],'2026'!$D$5:$AH$257,8,FALSE)</f>
        <v>3640</v>
      </c>
      <c r="AP27" s="193">
        <f ca="1">VLOOKUP(Tabla2[[#This Row],[TCKR]],'2026'!$D$5:$AH$257,26,FALSE)</f>
        <v>5456.5358428141444</v>
      </c>
      <c r="AQ27" s="5" cm="1">
        <f t="array" aca="1" ref="AQ27" ca="1">_FV(Tabla2[[#This Row],[valor]],"P/E",TRUE)</f>
        <v>18.764700000000001</v>
      </c>
      <c r="AR27" s="4" t="s">
        <v>11</v>
      </c>
      <c r="AT27" s="193">
        <f ca="1">+Tabla2[[#This Row],[Titulos2]]*Tabla2[[#This Row],[Neto]]</f>
        <v>0</v>
      </c>
      <c r="AU27" s="28">
        <f>+Tabla2[[#This Row],[Neto]]/Tabla2[[#This Row],[Precio compra2]]</f>
        <v>0</v>
      </c>
    </row>
    <row r="28" spans="1:47" ht="16" customHeight="1" x14ac:dyDescent="0.2">
      <c r="A28" s="75" t="e" vm="186">
        <v>#VALUE!</v>
      </c>
      <c r="B28" s="75" t="str" cm="1">
        <f t="array" aca="1" ref="B28" ca="1">_FV(A28,"Ticker symbol",TRUE)</f>
        <v>DG</v>
      </c>
      <c r="C28" s="217" cm="1">
        <f t="array" aca="1" ref="C28" ca="1">_FV(A28,"Change (%)",TRUE)</f>
        <v>1.176E-3</v>
      </c>
      <c r="D28" s="144" cm="1">
        <f t="array" aca="1" ref="D28" ca="1">_FV(A28,"Price")</f>
        <v>127.75</v>
      </c>
      <c r="E28" s="159">
        <f ca="1">AE28</f>
        <v>-0.19052837573385517</v>
      </c>
      <c r="F28" s="321">
        <f ca="1">+Tabla2[[#This Row],[Rentab. Parcial]]</f>
        <v>0.53361344537815114</v>
      </c>
      <c r="G28" s="321">
        <f ca="1">+Tabla2[[#This Row],[Rentab. Parcial2]]</f>
        <v>0.29761300152361603</v>
      </c>
      <c r="H28" s="253">
        <f ca="1">+Tabla2[[#This Row],[Difer. Investing]]</f>
        <v>0.13800391389432476</v>
      </c>
      <c r="I28" s="79">
        <f>+Tabla2[[#This Row],[Objetivo div2]]</f>
        <v>103.41</v>
      </c>
      <c r="J28" s="75" cm="1">
        <f t="array" aca="1" ref="J28" ca="1">_FV(A28,"High")</f>
        <v>129.05000000000001</v>
      </c>
      <c r="K28" s="75" cm="1">
        <f t="array" aca="1" ref="K28" ca="1">_FV(A28,"Low")</f>
        <v>127.55</v>
      </c>
      <c r="L28" s="75" cm="1">
        <f t="array" aca="1" ref="L28" ca="1">_FV(Tabla2[[#This Row],[valor]],"52 week high",TRUE)</f>
        <v>143.15</v>
      </c>
      <c r="M28" s="75">
        <f ca="1">+Tabla2[[#This Row],[52 high]]*0.9</f>
        <v>128.83500000000001</v>
      </c>
      <c r="N28" s="75">
        <f ca="1">+Tabla2[[#This Row],[52 high]]*0.95</f>
        <v>135.99250000000001</v>
      </c>
      <c r="O28" s="75" cm="1">
        <f t="array" aca="1" ref="O28" ca="1">_FV(Tabla2[[#This Row],[valor]],"52 week low",TRUE)</f>
        <v>112.4</v>
      </c>
      <c r="P28" s="220">
        <f ca="1">+TODAY()-Tabla2[[#This Row],[F. compra]]</f>
        <v>1213</v>
      </c>
      <c r="Q28" s="220">
        <f ca="1">GESTEP(Tabla2[[#This Row],[price]],Tabla2[[#This Row],[HIGH 10%]])</f>
        <v>0</v>
      </c>
      <c r="R28" s="220">
        <f ca="1">GESTEP(Tabla2[[#This Row],[price]],Tabla2[[#This Row],[HIGH 5%]])</f>
        <v>0</v>
      </c>
      <c r="S28" s="75" t="s">
        <v>75</v>
      </c>
      <c r="T28" s="110" t="s">
        <v>78</v>
      </c>
      <c r="U28" s="110" t="s">
        <v>72</v>
      </c>
      <c r="V28" s="16">
        <v>44927</v>
      </c>
      <c r="W28" s="16">
        <v>44927</v>
      </c>
      <c r="X28" s="80"/>
      <c r="Y28" s="79">
        <v>98.45</v>
      </c>
      <c r="Z28" s="79">
        <f>98.45-AB28</f>
        <v>83.300000000000011</v>
      </c>
      <c r="AA28" s="79">
        <v>98.45</v>
      </c>
      <c r="AB28" s="96">
        <f>11.2+'dividendos 26'!E66</f>
        <v>15.149999999999999</v>
      </c>
      <c r="AC28" s="79">
        <f>118.56-AB28</f>
        <v>103.41</v>
      </c>
      <c r="AD28" s="79">
        <f>+Tabla2[[#This Row],[Objetivo div2]]+Tabla2[[#This Row],[Div.]]</f>
        <v>118.56</v>
      </c>
      <c r="AE28" s="159">
        <f ca="1">IF(Z28="-",+AC28/Y28-1,AC28/D28-1)</f>
        <v>-0.19052837573385517</v>
      </c>
      <c r="AF28" s="81">
        <v>145.38</v>
      </c>
      <c r="AG28" s="253">
        <f ca="1">IF(Z28="-",+AF28/D28-1,AF28/D28-1)</f>
        <v>0.13800391389432476</v>
      </c>
      <c r="AH28" s="81">
        <f>91.68-AB28</f>
        <v>76.53</v>
      </c>
      <c r="AI28" s="147">
        <f ca="1">IF(Z28="-",AH28/Y28-1,+AH28/D28-1)</f>
        <v>-0.40093933463796472</v>
      </c>
      <c r="AJ28" s="121">
        <f ca="1">IF(Z28="-","-",+(D28/Z28)-1)</f>
        <v>0.53361344537815114</v>
      </c>
      <c r="AK28" s="120">
        <f ca="1">IF(AA28="-","-",+(D28/AA28)-1)</f>
        <v>0.29761300152361603</v>
      </c>
      <c r="AM28" s="49" t="str">
        <f>IF(AL28=0,"-",+AL28/Z28-1)</f>
        <v>-</v>
      </c>
      <c r="AN28" s="28">
        <f ca="1">+D28/Y28-1</f>
        <v>0.29761300152361603</v>
      </c>
      <c r="AO28" s="75">
        <f ca="1">VLOOKUP(Tabla2[[#This Row],[TCKR]],'2026'!$D$5:$AH$257,8,FALSE)</f>
        <v>98</v>
      </c>
      <c r="AP28" s="193">
        <f ca="1">VLOOKUP(Tabla2[[#This Row],[TCKR]],'2026'!$D$5:$AH$257,26,FALSE)</f>
        <v>1963.1834481893759</v>
      </c>
      <c r="AQ28" s="5" cm="1">
        <f t="array" aca="1" ref="AQ28" ca="1">_FV(Tabla2[[#This Row],[valor]],"P/E",TRUE)</f>
        <v>14.5657</v>
      </c>
      <c r="AR28" s="4" t="s">
        <v>11</v>
      </c>
      <c r="AT28" s="193">
        <f ca="1">+Tabla2[[#This Row],[Titulos2]]*Tabla2[[#This Row],[Neto]]</f>
        <v>0</v>
      </c>
      <c r="AU28" s="28">
        <f>+Tabla2[[#This Row],[Neto]]/Tabla2[[#This Row],[Precio compra2]]</f>
        <v>0</v>
      </c>
    </row>
    <row r="29" spans="1:47" ht="16" customHeight="1" x14ac:dyDescent="0.2">
      <c r="A29" s="323" t="e" vm="149">
        <v>#VALUE!</v>
      </c>
      <c r="B29" s="242" t="str" cm="1">
        <f t="array" aca="1" ref="B29" ca="1">_FV(A29,"Ticker symbol",TRUE)</f>
        <v>ST</v>
      </c>
      <c r="C29" s="217" cm="1">
        <f t="array" aca="1" ref="C29" ca="1">_FV(A29,"Change (%)",TRUE)</f>
        <v>1.3431999999999999E-2</v>
      </c>
      <c r="D29" s="144" cm="1">
        <f t="array" aca="1" ref="D29" ca="1">_FV(A29,"Price")</f>
        <v>42.25</v>
      </c>
      <c r="E29" s="159">
        <f ca="1">AE29</f>
        <v>-0.1945562130177515</v>
      </c>
      <c r="F29" s="321">
        <f ca="1">+Tabla2[[#This Row],[Rentab. Parcial]]</f>
        <v>0.51542324246771876</v>
      </c>
      <c r="G29" s="321">
        <f ca="1">+Tabla2[[#This Row],[Rentab. Parcial2]]</f>
        <v>0.5089285714285714</v>
      </c>
      <c r="H29" s="253">
        <f ca="1">+Tabla2[[#This Row],[Difer. Investing]]</f>
        <v>3.2189349112426102E-2</v>
      </c>
      <c r="I29" s="79">
        <f>+Tabla2[[#This Row],[Objetivo div2]]</f>
        <v>34.03</v>
      </c>
      <c r="J29" s="75" cm="1">
        <f t="array" aca="1" ref="J29" ca="1">_FV(A29,"High")</f>
        <v>42.45</v>
      </c>
      <c r="K29" s="75" cm="1">
        <f t="array" aca="1" ref="K29" ca="1">_FV(A29,"Low")</f>
        <v>41</v>
      </c>
      <c r="L29" s="75" cm="1">
        <f t="array" aca="1" ref="L29" ca="1">_FV(Tabla2[[#This Row],[valor]],"52 week high",TRUE)</f>
        <v>42.45</v>
      </c>
      <c r="M29" s="75">
        <f ca="1">+L29*0.9</f>
        <v>38.205000000000005</v>
      </c>
      <c r="N29" s="75">
        <f ca="1">+L29*0.95</f>
        <v>40.327500000000001</v>
      </c>
      <c r="O29" s="75" cm="1">
        <f t="array" aca="1" ref="O29" ca="1">_FV(A29,"52 week low",TRUE)</f>
        <v>20.57</v>
      </c>
      <c r="P29" s="220">
        <f ca="1">+TODAY()-Tabla2[[#This Row],[F. compra]]</f>
        <v>439</v>
      </c>
      <c r="Q29" s="220">
        <f ca="1">GESTEP(D29,M29)</f>
        <v>1</v>
      </c>
      <c r="R29" s="220">
        <f ca="1">GESTEP(D29,N29)</f>
        <v>1</v>
      </c>
      <c r="S29" s="75" t="s">
        <v>182</v>
      </c>
      <c r="T29" s="110" t="s">
        <v>78</v>
      </c>
      <c r="U29" s="110" t="s">
        <v>88</v>
      </c>
      <c r="V29" s="16">
        <v>45701</v>
      </c>
      <c r="W29" s="16">
        <v>45701</v>
      </c>
      <c r="X29" s="80"/>
      <c r="Y29" s="79">
        <v>28.11</v>
      </c>
      <c r="Z29" s="79">
        <f>28-Tabla2[[#This Row],[Div.]]</f>
        <v>27.88</v>
      </c>
      <c r="AA29" s="79">
        <f>+Tabla2[[#This Row],[Precio compra]]+Tabla2[[#This Row],[Div.]]</f>
        <v>28</v>
      </c>
      <c r="AB29" s="96">
        <v>0.12</v>
      </c>
      <c r="AC29" s="79">
        <f>34.15-Tabla2[[#This Row],[Div.]]</f>
        <v>34.03</v>
      </c>
      <c r="AD29" s="79">
        <f>+Tabla2[[#This Row],[Objetivo div2]]+Tabla2[[#This Row],[Div.]]</f>
        <v>34.15</v>
      </c>
      <c r="AE29" s="159">
        <f ca="1">IF(Z29="-",+AC29/Y29-1,AC29/D29-1)</f>
        <v>-0.1945562130177515</v>
      </c>
      <c r="AF29" s="81">
        <v>43.61</v>
      </c>
      <c r="AG29" s="253">
        <f ca="1">IF(Z29="-",+AF29/D29-1,AF29/D29-1)</f>
        <v>3.2189349112426102E-2</v>
      </c>
      <c r="AH29" s="81">
        <f>24.74-Tabla2[[#This Row],[Div.]]</f>
        <v>24.619999999999997</v>
      </c>
      <c r="AI29" s="147">
        <f ca="1">IF(Z29="-",AH29/Y29-1,+AH29/D29-1)</f>
        <v>-0.41727810650887576</v>
      </c>
      <c r="AJ29" s="121">
        <f ca="1">IF(Z29="-","-",+(D29/Z29)-1)</f>
        <v>0.51542324246771876</v>
      </c>
      <c r="AK29" s="120">
        <f ca="1">IF(AA29="-","-",+(D29/AA29)-1)</f>
        <v>0.5089285714285714</v>
      </c>
      <c r="AM29" s="49" t="str">
        <f>IF(AL29=0,"-",+AL29/Z29-1)</f>
        <v>-</v>
      </c>
      <c r="AN29" s="28">
        <f ca="1">+D29/Y29-1</f>
        <v>0.50302383493418712</v>
      </c>
      <c r="AO29" s="75">
        <f ca="1">VLOOKUP(Tabla2[[#This Row],[TCKR]],'2026'!$D$5:$AH$257,8,FALSE)</f>
        <v>300</v>
      </c>
      <c r="AP29" s="193">
        <f ca="1">VLOOKUP(Tabla2[[#This Row],[TCKR]],'2026'!$D$5:$AH$257,26,FALSE)</f>
        <v>2150.4647029198077</v>
      </c>
      <c r="AQ29" s="5" cm="1">
        <f t="array" aca="1" ref="AQ29" ca="1">_FV(Tabla2[[#This Row],[valor]],"P/E",TRUE)</f>
        <v>213.40090000000001</v>
      </c>
      <c r="AR29" s="4"/>
      <c r="AT29" s="193">
        <f ca="1">+Tabla2[[#This Row],[Titulos2]]*Tabla2[[#This Row],[Neto]]</f>
        <v>0</v>
      </c>
      <c r="AU29" s="28">
        <f>+Tabla2[[#This Row],[Neto]]/Tabla2[[#This Row],[Precio compra2]]</f>
        <v>0</v>
      </c>
    </row>
    <row r="30" spans="1:47" ht="16" customHeight="1" x14ac:dyDescent="0.2">
      <c r="A30" s="75" t="e" vm="81">
        <v>#VALUE!</v>
      </c>
      <c r="B30" s="75" t="str" cm="1">
        <f t="array" aca="1" ref="B30" ca="1">_FV(A30,"Ticker symbol",TRUE)</f>
        <v>DOM</v>
      </c>
      <c r="C30" s="217" cm="1">
        <f t="array" aca="1" ref="C30" ca="1">_FV(A30,"Change (%)",TRUE)</f>
        <v>-2.9989999999999999E-3</v>
      </c>
      <c r="D30" s="144" cm="1">
        <f t="array" aca="1" ref="D30" ca="1">_FV(A30,"Price")</f>
        <v>3.3250000000000002</v>
      </c>
      <c r="E30" s="159">
        <f ca="1">AE30</f>
        <v>-0.13784962406015044</v>
      </c>
      <c r="F30" s="321">
        <f ca="1">+Tabla2[[#This Row],[Rentab. Parcial]]</f>
        <v>0.12840004751158096</v>
      </c>
      <c r="G30" s="321">
        <f ca="1">+Tabla2[[#This Row],[Rentab. Parcial2]]</f>
        <v>-2.7777777777777679E-2</v>
      </c>
      <c r="H30" s="253">
        <f ca="1">+Tabla2[[#This Row],[Difer. Investing]]</f>
        <v>0.76872180451127825</v>
      </c>
      <c r="I30" s="79">
        <f>+Tabla2[[#This Row],[Objetivo div2]]</f>
        <v>2.8666499999999999</v>
      </c>
      <c r="J30" s="75" cm="1">
        <f t="array" aca="1" ref="J30" ca="1">_FV(A30,"High")</f>
        <v>3.36</v>
      </c>
      <c r="K30" s="75" cm="1">
        <f t="array" aca="1" ref="K30" ca="1">_FV(A30,"Low")</f>
        <v>3.3149999999999999</v>
      </c>
      <c r="L30" s="75" cm="1">
        <f t="array" aca="1" ref="L30" ca="1">_FV(Tabla2[[#This Row],[valor]],"52 week high",TRUE)</f>
        <v>3.69</v>
      </c>
      <c r="M30" s="75">
        <f ca="1">+Tabla2[[#This Row],[52 high]]*0.9</f>
        <v>3.3210000000000002</v>
      </c>
      <c r="N30" s="75">
        <f ca="1">+Tabla2[[#This Row],[52 high]]*0.95</f>
        <v>3.5054999999999996</v>
      </c>
      <c r="O30" s="75" cm="1">
        <f t="array" aca="1" ref="O30" ca="1">_FV(Tabla2[[#This Row],[valor]],"52 week low",TRUE)</f>
        <v>2.83</v>
      </c>
      <c r="P30" s="220">
        <f ca="1">+TODAY()-Tabla2[[#This Row],[F. compra]]</f>
        <v>1483</v>
      </c>
      <c r="Q30" s="220">
        <f ca="1">GESTEP(Tabla2[[#This Row],[price]],Tabla2[[#This Row],[HIGH 10%]])</f>
        <v>1</v>
      </c>
      <c r="R30" s="220">
        <f ca="1">GESTEP(Tabla2[[#This Row],[price]],Tabla2[[#This Row],[HIGH 5%]])</f>
        <v>0</v>
      </c>
      <c r="S30" s="75" t="s">
        <v>219</v>
      </c>
      <c r="T30" s="110" t="s">
        <v>78</v>
      </c>
      <c r="U30" s="110" t="s">
        <v>108</v>
      </c>
      <c r="V30" s="16">
        <v>44657</v>
      </c>
      <c r="W30" s="16">
        <v>44657</v>
      </c>
      <c r="X30" s="80" t="s">
        <v>11</v>
      </c>
      <c r="Y30" s="79" t="s">
        <v>11</v>
      </c>
      <c r="Z30" s="79">
        <f>3.42-Tabla2[[#This Row],[Div.]]</f>
        <v>2.94665</v>
      </c>
      <c r="AA30" s="79">
        <v>3.42</v>
      </c>
      <c r="AB30" s="96">
        <v>0.47334999999999999</v>
      </c>
      <c r="AC30" s="79">
        <f>3.34-Tabla2[[#This Row],[Div.]]</f>
        <v>2.8666499999999999</v>
      </c>
      <c r="AD30" s="79">
        <v>3.34</v>
      </c>
      <c r="AE30" s="159">
        <f ca="1">IF(Z30="-",+AC30/Y30-1,AC30/D30-1)</f>
        <v>-0.13784962406015044</v>
      </c>
      <c r="AF30" s="81">
        <v>5.8810000000000002</v>
      </c>
      <c r="AG30" s="253">
        <f ca="1">IF(Z30="-",+AF30/D30-1,AF30/D30-1)</f>
        <v>0.76872180451127825</v>
      </c>
      <c r="AH30" s="81">
        <v>0</v>
      </c>
      <c r="AI30" s="147">
        <f ca="1">IF(Z30="-",AH30/Y30-1,+AH30/D30-1)</f>
        <v>-1</v>
      </c>
      <c r="AJ30" s="121">
        <f ca="1">IF(Z30="-","-",+(D30/Z30)-1)</f>
        <v>0.12840004751158096</v>
      </c>
      <c r="AK30" s="120">
        <f ca="1">IF(AA30="-","-",+(D30/AA30)-1)</f>
        <v>-2.7777777777777679E-2</v>
      </c>
      <c r="AM30" s="49" t="str">
        <f>IF(AL30=0,"-",+AL30/Z30-1)</f>
        <v>-</v>
      </c>
      <c r="AN30" s="28" t="e">
        <f ca="1">+D30/Y30-1</f>
        <v>#VALUE!</v>
      </c>
      <c r="AO30" s="75">
        <f ca="1">VLOOKUP(Tabla2[[#This Row],[TCKR]],'2026'!$D$5:$AH$257,8,FALSE)</f>
        <v>4000</v>
      </c>
      <c r="AP30" s="193">
        <f ca="1">VLOOKUP(Tabla2[[#This Row],[TCKR]],'2026'!$D$5:$AH$257,26,FALSE)</f>
        <v>-331.87242835159503</v>
      </c>
      <c r="AQ30" s="5" cm="1">
        <f t="array" aca="1" ref="AQ30" ca="1">_FV(Tabla2[[#This Row],[valor]],"P/E",TRUE)</f>
        <v>48.972099999999998</v>
      </c>
      <c r="AR30" s="4"/>
      <c r="AT30" s="193">
        <f ca="1">+Tabla2[[#This Row],[Titulos2]]*Tabla2[[#This Row],[Neto]]</f>
        <v>0</v>
      </c>
      <c r="AU30" s="28">
        <f>+Tabla2[[#This Row],[Neto]]/Tabla2[[#This Row],[Precio compra2]]</f>
        <v>0</v>
      </c>
    </row>
    <row r="31" spans="1:47" ht="16" customHeight="1" x14ac:dyDescent="0.2">
      <c r="A31" s="75" t="e" vm="222">
        <v>#VALUE!</v>
      </c>
      <c r="B31" s="75" t="str" cm="1">
        <f t="array" aca="1" ref="B31" ca="1">_FV(A31,"Ticker symbol",TRUE)</f>
        <v>EDP</v>
      </c>
      <c r="C31" s="217" cm="1">
        <f t="array" aca="1" ref="C31" ca="1">_FV(A31,"Change (%)",TRUE)</f>
        <v>1.3229999999999999E-2</v>
      </c>
      <c r="D31" s="144" cm="1">
        <f t="array" aca="1" ref="D31" ca="1">_FV(A31,"Price")</f>
        <v>4.5949999999999998</v>
      </c>
      <c r="E31" s="159">
        <f ca="1">AE31</f>
        <v>-0.13601741022850922</v>
      </c>
      <c r="F31" s="321">
        <f ca="1">+Tabla2[[#This Row],[Rentab. Parcial]]</f>
        <v>0.47370109044259134</v>
      </c>
      <c r="G31" s="321">
        <f ca="1">+Tabla2[[#This Row],[Rentab. Parcial2]]</f>
        <v>0.38487040385774551</v>
      </c>
      <c r="H31" s="253">
        <f ca="1">+Tabla2[[#This Row],[Difer. Investing]]</f>
        <v>-9.9020674646354778E-2</v>
      </c>
      <c r="I31" s="79">
        <f>+Tabla2[[#This Row],[Objetivo div2]]</f>
        <v>3.9699999999999998</v>
      </c>
      <c r="J31" s="75" cm="1">
        <f t="array" aca="1" ref="J31" ca="1">_FV(A31,"High")</f>
        <v>4.6139999999999999</v>
      </c>
      <c r="K31" s="75" cm="1">
        <f t="array" aca="1" ref="K31" ca="1">_FV(A31,"Low")</f>
        <v>4.5339999999999998</v>
      </c>
      <c r="L31" s="75" cm="1">
        <f t="array" aca="1" ref="L31" ca="1">_FV(A31,"52 week high",TRUE)</f>
        <v>4.7699999999999996</v>
      </c>
      <c r="M31" s="75">
        <f ca="1">+L31*0.9</f>
        <v>4.2930000000000001</v>
      </c>
      <c r="N31" s="75">
        <f ca="1">+L31*0.95</f>
        <v>4.5314999999999994</v>
      </c>
      <c r="O31" s="75" cm="1">
        <f t="array" aca="1" ref="O31" ca="1">_FV(A31,"52 week low",TRUE)</f>
        <v>3.19</v>
      </c>
      <c r="P31" s="220">
        <f ca="1">+TODAY()-Tabla2[[#This Row],[F. compra]]</f>
        <v>389</v>
      </c>
      <c r="Q31" s="220">
        <f ca="1">GESTEP(D31,M31)</f>
        <v>1</v>
      </c>
      <c r="R31" s="220">
        <f ca="1">GESTEP(D31,N31)</f>
        <v>1</v>
      </c>
      <c r="S31" s="75" t="s">
        <v>75</v>
      </c>
      <c r="T31" s="110" t="s">
        <v>78</v>
      </c>
      <c r="U31" s="110" t="s">
        <v>189</v>
      </c>
      <c r="V31" s="16">
        <v>45751</v>
      </c>
      <c r="W31" s="16">
        <v>45751</v>
      </c>
      <c r="X31" s="80"/>
      <c r="Y31" s="79">
        <v>3.3220000000000001</v>
      </c>
      <c r="Z31" s="79">
        <f>3.318-Tabla2[[#This Row],[Div.]]</f>
        <v>3.1179999999999999</v>
      </c>
      <c r="AA31" s="79">
        <f>+Tabla2[[#This Row],[Precio compra]]+Tabla2[[#This Row],[Div.]]</f>
        <v>3.3180000000000001</v>
      </c>
      <c r="AB31" s="96">
        <v>0.2</v>
      </c>
      <c r="AC31" s="79">
        <f>4.17-Tabla2[[#This Row],[Div.]]</f>
        <v>3.9699999999999998</v>
      </c>
      <c r="AD31" s="79">
        <f>+Tabla2[[#This Row],[Objetivo div2]]+Tabla2[[#This Row],[Div.]]</f>
        <v>4.17</v>
      </c>
      <c r="AE31" s="159">
        <f ca="1">IF(Z31="-",+AC31/Y31-1,AC31/D31-1)</f>
        <v>-0.13601741022850922</v>
      </c>
      <c r="AF31" s="81">
        <v>4.1399999999999997</v>
      </c>
      <c r="AG31" s="253">
        <f ca="1">IF(Z31="-",+AF31/D31-1,AF31/D31-1)</f>
        <v>-9.9020674646354778E-2</v>
      </c>
      <c r="AH31" s="81">
        <f>2.898-Tabla2[[#This Row],[Div.]]</f>
        <v>2.698</v>
      </c>
      <c r="AI31" s="147">
        <f ca="1">IF(Z31="-",AH31/Y31-1,+AH31/D31-1)</f>
        <v>-0.41284004352557124</v>
      </c>
      <c r="AJ31" s="121">
        <f ca="1">IF(Z31="-","-",+(D31/Z31)-1)</f>
        <v>0.47370109044259134</v>
      </c>
      <c r="AK31" s="120">
        <f ca="1">IF(AA31="-","-",+(D31/AA31)-1)</f>
        <v>0.38487040385774551</v>
      </c>
      <c r="AM31" s="49" t="str">
        <f>IF(AL31=0,"-",+AL31/Z31-1)</f>
        <v>-</v>
      </c>
      <c r="AN31" s="28">
        <f ca="1">+D31/Y31-1</f>
        <v>0.38320288982540629</v>
      </c>
      <c r="AO31" s="75">
        <f ca="1">VLOOKUP(Tabla2[[#This Row],[TCKR]],'2026'!$D$5:$AH$257,8,FALSE)</f>
        <v>5000</v>
      </c>
      <c r="AP31" s="193">
        <f ca="1">VLOOKUP(Tabla2[[#This Row],[TCKR]],'2026'!$D$5:$AH$257,26,FALSE)</f>
        <v>4754.4676223608267</v>
      </c>
      <c r="AQ31" s="5" cm="1">
        <f t="array" aca="1" ref="AQ31" ca="1">_FV(Tabla2[[#This Row],[valor]],"P/E",TRUE)</f>
        <v>16.121600000000001</v>
      </c>
      <c r="AR31" s="4"/>
      <c r="AT31" s="193">
        <f ca="1">+Tabla2[[#This Row],[Titulos2]]*Tabla2[[#This Row],[Neto]]</f>
        <v>0</v>
      </c>
      <c r="AU31" s="28">
        <f>+Tabla2[[#This Row],[Neto]]/Tabla2[[#This Row],[Precio compra2]]</f>
        <v>0</v>
      </c>
    </row>
    <row r="32" spans="1:47" ht="16" customHeight="1" x14ac:dyDescent="0.2">
      <c r="A32" s="75" t="e" vm="62">
        <v>#VALUE!</v>
      </c>
      <c r="B32" s="75" t="str" cm="1">
        <f t="array" aca="1" ref="B32" ca="1">_FV(A32,"Ticker symbol",TRUE)</f>
        <v>ENG</v>
      </c>
      <c r="C32" s="217" cm="1">
        <f t="array" aca="1" ref="C32" ca="1">_FV(A32,"Change (%)",TRUE)</f>
        <v>-3.5399999999999997E-3</v>
      </c>
      <c r="D32" s="144" cm="1">
        <f t="array" aca="1" ref="D32" ca="1">_FV(A32,"Price")</f>
        <v>16.89</v>
      </c>
      <c r="E32" s="159">
        <f ca="1">AE32</f>
        <v>-0.1227945529899348</v>
      </c>
      <c r="F32" s="321">
        <f ca="1">+Tabla2[[#This Row],[Rentab. Parcial]]</f>
        <v>0.36253630203291376</v>
      </c>
      <c r="G32" s="321">
        <f ca="1">+Tabla2[[#This Row],[Rentab. Parcial2]]</f>
        <v>0.13814016172506749</v>
      </c>
      <c r="H32" s="253">
        <f ca="1">+Tabla2[[#This Row],[Difer. Investing]]</f>
        <v>-0.1042036708111308</v>
      </c>
      <c r="I32" s="79">
        <f>+Tabla2[[#This Row],[Objetivo div2]]</f>
        <v>14.816000000000003</v>
      </c>
      <c r="J32" s="75" cm="1">
        <f t="array" aca="1" ref="J32" ca="1">_FV(A32,"High")</f>
        <v>16.989999999999998</v>
      </c>
      <c r="K32" s="75" cm="1">
        <f t="array" aca="1" ref="K32" ca="1">_FV(A32,"Low")</f>
        <v>16.850000000000001</v>
      </c>
      <c r="L32" s="75" cm="1">
        <f t="array" aca="1" ref="L32" ca="1">_FV(Tabla2[[#This Row],[valor]],"52 week high",TRUE)</f>
        <v>17.37</v>
      </c>
      <c r="M32" s="75">
        <f ca="1">+Tabla2[[#This Row],[52 high]]*0.9</f>
        <v>15.633000000000001</v>
      </c>
      <c r="N32" s="75">
        <f ca="1">+Tabla2[[#This Row],[52 high]]*0.95</f>
        <v>16.5015</v>
      </c>
      <c r="O32" s="75" cm="1">
        <f t="array" aca="1" ref="O32" ca="1">_FV(Tabla2[[#This Row],[valor]],"52 week low",TRUE)</f>
        <v>13</v>
      </c>
      <c r="P32" s="220">
        <f ca="1">+TODAY()-Tabla2[[#This Row],[F. compra]]</f>
        <v>985</v>
      </c>
      <c r="Q32" s="220">
        <f ca="1">GESTEP(Tabla2[[#This Row],[price]],Tabla2[[#This Row],[HIGH 10%]])</f>
        <v>1</v>
      </c>
      <c r="R32" s="220">
        <f ca="1">GESTEP(Tabla2[[#This Row],[price]],Tabla2[[#This Row],[HIGH 5%]])</f>
        <v>1</v>
      </c>
      <c r="S32" s="75" t="s">
        <v>75</v>
      </c>
      <c r="T32" s="110" t="s">
        <v>78</v>
      </c>
      <c r="U32" s="110" t="s">
        <v>26</v>
      </c>
      <c r="V32" s="16">
        <v>45154</v>
      </c>
      <c r="W32" s="16">
        <v>45155</v>
      </c>
      <c r="X32" s="80"/>
      <c r="Y32" s="79">
        <v>15.4</v>
      </c>
      <c r="Z32" s="79">
        <f>14.84-Tabla2[[#This Row],[Div.]]</f>
        <v>12.396000000000001</v>
      </c>
      <c r="AA32" s="79">
        <f>+Tabla2[[#This Row],[Precio compra]]+Tabla2[[#This Row],[Div.]]</f>
        <v>14.84</v>
      </c>
      <c r="AB32" s="96">
        <v>2.444</v>
      </c>
      <c r="AC32" s="79">
        <f>17.26-Tabla2[[#This Row],[Div.]]</f>
        <v>14.816000000000003</v>
      </c>
      <c r="AD32" s="79">
        <f>+Tabla2[[#This Row],[Objetivo div2]]+Tabla2[[#This Row],[Div.]]</f>
        <v>17.260000000000002</v>
      </c>
      <c r="AE32" s="159">
        <f ca="1">IF(Z32="-",+AC32/Y32-1,AC32/D32-1)</f>
        <v>-0.1227945529899348</v>
      </c>
      <c r="AF32" s="81">
        <v>15.13</v>
      </c>
      <c r="AG32" s="253">
        <f ca="1">IF(Z32="-",+AF32/D32-1,AF32/D32-1)</f>
        <v>-0.1042036708111308</v>
      </c>
      <c r="AH32" s="81">
        <f>14.485-Tabla2[[#This Row],[Div.]]</f>
        <v>12.041</v>
      </c>
      <c r="AI32" s="147">
        <f ca="1">IF(Z32="-",AH32/Y32-1,+AH32/D32-1)</f>
        <v>-0.287092954410894</v>
      </c>
      <c r="AJ32" s="121">
        <f ca="1">IF(Z32="-","-",+(D32/Z32)-1)</f>
        <v>0.36253630203291376</v>
      </c>
      <c r="AK32" s="120">
        <f ca="1">IF(AA32="-","-",+(D32/AA32)-1)</f>
        <v>0.13814016172506749</v>
      </c>
      <c r="AM32" s="49" t="str">
        <f>IF(AL32=0,"-",+AL32/Z32-1)</f>
        <v>-</v>
      </c>
      <c r="AN32" s="28">
        <f ca="1">+D32/Y32-1</f>
        <v>9.6753246753246813E-2</v>
      </c>
      <c r="AO32" s="75">
        <f ca="1">VLOOKUP(Tabla2[[#This Row],[TCKR]],'2026'!$D$5:$AH$257,8,FALSE)</f>
        <v>495</v>
      </c>
      <c r="AP32" s="193">
        <f ca="1">VLOOKUP(Tabla2[[#This Row],[TCKR]],'2026'!$D$5:$AH$257,26,FALSE)</f>
        <v>1055.2753049132273</v>
      </c>
      <c r="AQ32" s="5" cm="1">
        <f t="array" aca="1" ref="AQ32" ca="1">_FV(Tabla2[[#This Row],[valor]],"P/E",TRUE)</f>
        <v>13.4321</v>
      </c>
      <c r="AR32" s="4"/>
      <c r="AT32" s="193">
        <f ca="1">+Tabla2[[#This Row],[Titulos2]]*Tabla2[[#This Row],[Neto]]</f>
        <v>0</v>
      </c>
      <c r="AU32" s="28">
        <f>+Tabla2[[#This Row],[Neto]]/Tabla2[[#This Row],[Precio compra2]]</f>
        <v>0</v>
      </c>
    </row>
    <row r="33" spans="1:47" ht="16" customHeight="1" x14ac:dyDescent="0.2">
      <c r="A33" s="323" t="e" vm="107">
        <v>#VALUE!</v>
      </c>
      <c r="B33" s="75" t="str" cm="1">
        <f t="array" aca="1" ref="B33" ca="1">_FV(A33,"Ticker symbol",TRUE)</f>
        <v>LWLG</v>
      </c>
      <c r="C33" s="217" cm="1">
        <f t="array" aca="1" ref="C33" ca="1">_FV(A33,"Change (%)",TRUE)</f>
        <v>-1.6976000000000002E-2</v>
      </c>
      <c r="D33" s="144" cm="1">
        <f t="array" aca="1" ref="D33" ca="1">_FV(A33,"Price")</f>
        <v>12.45</v>
      </c>
      <c r="E33" s="159">
        <f ca="1">AE33</f>
        <v>-0.13654618473895574</v>
      </c>
      <c r="F33" s="321">
        <f ca="1">+Tabla2[[#This Row],[Rentab. Parcial]]</f>
        <v>0.74125874125874103</v>
      </c>
      <c r="G33" s="321">
        <f ca="1">+Tabla2[[#This Row],[Rentab. Parcial2]]</f>
        <v>0.74125874125874103</v>
      </c>
      <c r="H33" s="253">
        <f ca="1">+Tabla2[[#This Row],[Difer. Investing]]</f>
        <v>-0.55903614457831319</v>
      </c>
      <c r="I33" s="79">
        <f>+Tabla2[[#This Row],[Objetivo div2]]</f>
        <v>10.75</v>
      </c>
      <c r="J33" s="75" cm="1">
        <f t="array" aca="1" ref="J33" ca="1">_FV(A33,"High")</f>
        <v>12.75</v>
      </c>
      <c r="K33" s="75" cm="1">
        <f t="array" aca="1" ref="K33" ca="1">_FV(A33,"Low")</f>
        <v>11.5</v>
      </c>
      <c r="L33" s="75" cm="1">
        <f t="array" aca="1" ref="L33" ca="1">_FV(Tabla2[[#This Row],[valor]],"52 week high",TRUE)</f>
        <v>15.29</v>
      </c>
      <c r="M33" s="75">
        <f ca="1">+Tabla2[[#This Row],[52 high]]*0.9</f>
        <v>13.760999999999999</v>
      </c>
      <c r="N33" s="75">
        <f ca="1">+Tabla2[[#This Row],[52 high]]*0.95</f>
        <v>14.525499999999999</v>
      </c>
      <c r="O33" s="75" cm="1">
        <f t="array" aca="1" ref="O33" ca="1">_FV(Tabla2[[#This Row],[valor]],"52 week low",TRUE)</f>
        <v>0.82210000000000005</v>
      </c>
      <c r="P33" s="220">
        <f ca="1">+TODAY()-Tabla2[[#This Row],[F. compra]]</f>
        <v>1034</v>
      </c>
      <c r="Q33" s="220">
        <f ca="1">GESTEP(Tabla2[[#This Row],[price]],Tabla2[[#This Row],[HIGH 10%]])</f>
        <v>0</v>
      </c>
      <c r="R33" s="220">
        <f ca="1">GESTEP(Tabla2[[#This Row],[price]],Tabla2[[#This Row],[HIGH 5%]])</f>
        <v>0</v>
      </c>
      <c r="S33" s="75" t="s">
        <v>76</v>
      </c>
      <c r="T33" s="110" t="s">
        <v>78</v>
      </c>
      <c r="U33" s="110" t="s">
        <v>26</v>
      </c>
      <c r="V33" s="16">
        <v>45106</v>
      </c>
      <c r="W33" s="16">
        <v>45106</v>
      </c>
      <c r="X33" s="80"/>
      <c r="Y33" s="79">
        <v>7.15</v>
      </c>
      <c r="Z33" s="79">
        <v>7.15</v>
      </c>
      <c r="AA33" s="79">
        <v>7.15</v>
      </c>
      <c r="AB33" s="96"/>
      <c r="AC33" s="79">
        <v>10.75</v>
      </c>
      <c r="AD33" s="79">
        <f>+Tabla2[[#This Row],[Objetivo div2]]+Tabla2[[#This Row],[Div.]]</f>
        <v>10.75</v>
      </c>
      <c r="AE33" s="159">
        <f ca="1">IF(Z33="-",+AC33/Y33-1,AC33/D33-1)</f>
        <v>-0.13654618473895574</v>
      </c>
      <c r="AF33" s="81">
        <v>5.49</v>
      </c>
      <c r="AG33" s="253">
        <f ca="1">IF(Z33="-",+AF33/D33-1,AF33/D33-1)</f>
        <v>-0.55903614457831319</v>
      </c>
      <c r="AH33" s="81">
        <v>7.33</v>
      </c>
      <c r="AI33" s="147">
        <f ca="1">IF(Z33="-",AH33/Y33-1,+AH33/D33-1)</f>
        <v>-0.41124497991967868</v>
      </c>
      <c r="AJ33" s="121">
        <f ca="1">IF(Z33="-","-",+(D33/Z33)-1)</f>
        <v>0.74125874125874103</v>
      </c>
      <c r="AK33" s="120">
        <f ca="1">IF(AA33="-","-",+(D33/AA33)-1)</f>
        <v>0.74125874125874103</v>
      </c>
      <c r="AM33" s="49" t="str">
        <f>IF(AL33=0,"-",+AL33/Z33-1)</f>
        <v>-</v>
      </c>
      <c r="AN33" s="28">
        <f ca="1">+D33/Y33-1</f>
        <v>0.74125874125874103</v>
      </c>
      <c r="AO33" s="75">
        <f ca="1">VLOOKUP(Tabla2[[#This Row],[TCKR]],'2026'!$D$5:$AH$257,8,FALSE)</f>
        <v>800</v>
      </c>
      <c r="AP33" s="193">
        <f ca="1">VLOOKUP(Tabla2[[#This Row],[TCKR]],'2026'!$D$5:$AH$257,26,FALSE)</f>
        <v>2518.1632719437034</v>
      </c>
      <c r="AQ33" s="5" cm="1">
        <f t="array" aca="1" ref="AQ33" ca="1">_FV(Tabla2[[#This Row],[valor]],"P/E",TRUE)</f>
        <v>0</v>
      </c>
      <c r="AR33" s="4"/>
      <c r="AT33" s="193">
        <f ca="1">+Tabla2[[#This Row],[Titulos2]]*Tabla2[[#This Row],[Neto]]</f>
        <v>0</v>
      </c>
      <c r="AU33" s="28">
        <f>+Tabla2[[#This Row],[Neto]]/Tabla2[[#This Row],[Precio compra2]]</f>
        <v>0</v>
      </c>
    </row>
    <row r="34" spans="1:47" ht="16" customHeight="1" x14ac:dyDescent="0.2">
      <c r="A34" s="75" t="e" vm="187">
        <v>#VALUE!</v>
      </c>
      <c r="B34" s="75" t="str" cm="1">
        <f t="array" aca="1" ref="B34" ca="1">_FV(A34,"Ticker symbol",TRUE)</f>
        <v>VIS</v>
      </c>
      <c r="C34" s="217" cm="1">
        <f t="array" aca="1" ref="C34" ca="1">_FV(A34,"Change (%)",TRUE)</f>
        <v>5.1019999999999998E-3</v>
      </c>
      <c r="D34" s="144" cm="1">
        <f t="array" aca="1" ref="D34" ca="1">_FV(A34,"Price")</f>
        <v>59.1</v>
      </c>
      <c r="E34" s="159">
        <f ca="1">AE34</f>
        <v>-9.4247038917089632E-2</v>
      </c>
      <c r="F34" s="321">
        <f ca="1">+Tabla2[[#This Row],[Rentab. Parcial]]</f>
        <v>0.50374026767085645</v>
      </c>
      <c r="G34" s="321">
        <f ca="1">+Tabla2[[#This Row],[Rentab. Parcial2]]</f>
        <v>7.4115808222165791E-2</v>
      </c>
      <c r="H34" s="253">
        <f ca="1">+Tabla2[[#This Row],[Difer. Investing]]</f>
        <v>0.17901861252115059</v>
      </c>
      <c r="I34" s="79">
        <f>+Tabla2[[#This Row],[Objetivo div2]]</f>
        <v>53.53</v>
      </c>
      <c r="J34" s="75" cm="1">
        <f t="array" aca="1" ref="J34" ca="1">_FV(A34,"High")</f>
        <v>59.5</v>
      </c>
      <c r="K34" s="75" cm="1">
        <f t="array" aca="1" ref="K34" ca="1">_FV(A34,"Low")</f>
        <v>58.7</v>
      </c>
      <c r="L34" s="75" cm="1">
        <f t="array" aca="1" ref="L34" ca="1">_FV(Tabla2[[#This Row],[valor]],"52 week high",TRUE)</f>
        <v>64.765000000000001</v>
      </c>
      <c r="M34" s="75">
        <f ca="1">+Tabla2[[#This Row],[52 high]]*0.9</f>
        <v>58.288499999999999</v>
      </c>
      <c r="N34" s="75">
        <f ca="1">+Tabla2[[#This Row],[52 high]]*0.95</f>
        <v>61.52675</v>
      </c>
      <c r="O34" s="75" cm="1">
        <f t="array" aca="1" ref="O34" ca="1">_FV(Tabla2[[#This Row],[valor]],"52 week low",TRUE)</f>
        <v>47.433999999999997</v>
      </c>
      <c r="P34" s="220">
        <f ca="1">+TODAY()-Tabla2[[#This Row],[F. compra]]</f>
        <v>2855</v>
      </c>
      <c r="Q34" s="220">
        <f ca="1">GESTEP(Tabla2[[#This Row],[price]],Tabla2[[#This Row],[HIGH 10%]])</f>
        <v>1</v>
      </c>
      <c r="R34" s="220">
        <f ca="1">GESTEP(Tabla2[[#This Row],[price]],Tabla2[[#This Row],[HIGH 5%]])</f>
        <v>0</v>
      </c>
      <c r="S34" s="75" t="s">
        <v>75</v>
      </c>
      <c r="T34" s="110" t="s">
        <v>78</v>
      </c>
      <c r="U34" s="110" t="s">
        <v>72</v>
      </c>
      <c r="V34" s="16">
        <v>44928</v>
      </c>
      <c r="W34" s="16">
        <v>43285</v>
      </c>
      <c r="X34" s="80"/>
      <c r="Y34" s="79" t="s">
        <v>11</v>
      </c>
      <c r="Z34" s="79">
        <f>55.022-AB34</f>
        <v>39.302</v>
      </c>
      <c r="AA34" s="79">
        <v>55.021999999999998</v>
      </c>
      <c r="AB34" s="96">
        <v>15.72</v>
      </c>
      <c r="AC34" s="79">
        <f>69.25-AB34</f>
        <v>53.53</v>
      </c>
      <c r="AD34" s="79">
        <f>+Tabla2[[#This Row],[Objetivo div2]]+Tabla2[[#This Row],[Div.]]</f>
        <v>69.25</v>
      </c>
      <c r="AE34" s="159">
        <f ca="1">IF(Z34="-",+AC34/Y34-1,AC34/D34-1)</f>
        <v>-9.4247038917089632E-2</v>
      </c>
      <c r="AF34" s="81">
        <v>69.680000000000007</v>
      </c>
      <c r="AG34" s="253">
        <f ca="1">IF(Z34="-",+AF34/D34-1,AF34/D34-1)</f>
        <v>0.17901861252115059</v>
      </c>
      <c r="AH34" s="81">
        <f>53.45-AB34</f>
        <v>37.730000000000004</v>
      </c>
      <c r="AI34" s="147">
        <f ca="1">IF(Z34="-",AH34/Y34-1,+AH34/D34-1)</f>
        <v>-0.36159052453468687</v>
      </c>
      <c r="AJ34" s="121">
        <f ca="1">IF(Z34="-","-",+(D34/Z34)-1)</f>
        <v>0.50374026767085645</v>
      </c>
      <c r="AK34" s="120">
        <f ca="1">IF(AA34="-","-",+(D34/AA34)-1)</f>
        <v>7.4115808222165791E-2</v>
      </c>
      <c r="AM34" s="49" t="str">
        <f>IF(AL34=0,"-",+AL34/Z34-1)</f>
        <v>-</v>
      </c>
      <c r="AN34" s="28" t="e">
        <f ca="1">+D34/Y34-1</f>
        <v>#VALUE!</v>
      </c>
      <c r="AO34" s="75">
        <f ca="1">VLOOKUP(Tabla2[[#This Row],[TCKR]],'2026'!$D$5:$AH$257,8,FALSE)</f>
        <v>278</v>
      </c>
      <c r="AP34" s="193">
        <f ca="1">VLOOKUP(Tabla2[[#This Row],[TCKR]],'2026'!$D$5:$AH$257,26,FALSE)</f>
        <v>1149.4164504222967</v>
      </c>
      <c r="AQ34" s="5" cm="1">
        <f t="array" aca="1" ref="AQ34" ca="1">_FV(Tabla2[[#This Row],[valor]],"P/E",TRUE)</f>
        <v>16.567599999999999</v>
      </c>
      <c r="AR34" s="4"/>
      <c r="AT34" s="193">
        <f ca="1">+Tabla2[[#This Row],[Titulos2]]*Tabla2[[#This Row],[Neto]]</f>
        <v>0</v>
      </c>
      <c r="AU34" s="28">
        <f>+Tabla2[[#This Row],[Neto]]/Tabla2[[#This Row],[Precio compra2]]</f>
        <v>0</v>
      </c>
    </row>
    <row r="35" spans="1:47" ht="16" customHeight="1" x14ac:dyDescent="0.2">
      <c r="A35" s="75" t="e" vm="100">
        <v>#VALUE!</v>
      </c>
      <c r="B35" s="75" t="str" cm="1">
        <f t="array" aca="1" ref="B35" ca="1">_FV(A35,"Ticker symbol",TRUE)</f>
        <v>JEN</v>
      </c>
      <c r="C35" s="217" cm="1">
        <f t="array" aca="1" ref="C35" ca="1">_FV(A35,"Change (%)",TRUE)</f>
        <v>-3.5690000000000001E-3</v>
      </c>
      <c r="D35" s="144" cm="1">
        <f t="array" aca="1" ref="D35" ca="1">_FV(A35,"Price")</f>
        <v>33.5</v>
      </c>
      <c r="E35" s="159">
        <f ca="1">AE35</f>
        <v>-9.3731343283582125E-2</v>
      </c>
      <c r="F35" s="321">
        <f ca="1">+Tabla2[[#This Row],[Rentab. Parcial]]</f>
        <v>0.42431972789115657</v>
      </c>
      <c r="G35" s="321">
        <f ca="1">+Tabla2[[#This Row],[Rentab. Parcial2]]</f>
        <v>0.40167364016736418</v>
      </c>
      <c r="H35" s="253">
        <f ca="1">+Tabla2[[#This Row],[Difer. Investing]]</f>
        <v>-8.1791044776119315E-2</v>
      </c>
      <c r="I35" s="79">
        <f>+Tabla2[[#This Row],[Objetivo div2]]</f>
        <v>30.36</v>
      </c>
      <c r="J35" s="75" cm="1">
        <f t="array" aca="1" ref="J35" ca="1">_FV(A35,"High")</f>
        <v>34.06</v>
      </c>
      <c r="K35" s="75" cm="1">
        <f t="array" aca="1" ref="K35" ca="1">_FV(A35,"Low")</f>
        <v>33.5</v>
      </c>
      <c r="L35" s="75" cm="1">
        <f t="array" aca="1" ref="L35" ca="1">_FV(Tabla2[[#This Row],[valor]],"52 week high",TRUE)</f>
        <v>39.54</v>
      </c>
      <c r="M35" s="75">
        <f ca="1">+L35*0.9</f>
        <v>35.585999999999999</v>
      </c>
      <c r="N35" s="75">
        <f ca="1">+L35*0.95</f>
        <v>37.562999999999995</v>
      </c>
      <c r="O35" s="75" cm="1">
        <f t="array" aca="1" ref="O35" ca="1">_FV(A35,"52 week low",TRUE)</f>
        <v>13.18</v>
      </c>
      <c r="P35" s="220">
        <f ca="1">+TODAY()-Tabla2[[#This Row],[F. compra]]</f>
        <v>418</v>
      </c>
      <c r="Q35" s="220">
        <f ca="1">GESTEP(D35,M35)</f>
        <v>0</v>
      </c>
      <c r="R35" s="220">
        <f ca="1">GESTEP(D35,N35)</f>
        <v>0</v>
      </c>
      <c r="S35" s="75" t="s">
        <v>75</v>
      </c>
      <c r="T35" s="110" t="s">
        <v>78</v>
      </c>
      <c r="U35" s="110" t="s">
        <v>26</v>
      </c>
      <c r="V35" s="16">
        <v>45722</v>
      </c>
      <c r="W35" s="16">
        <v>45722</v>
      </c>
      <c r="X35" s="80"/>
      <c r="Y35" s="79">
        <v>23.9</v>
      </c>
      <c r="Z35" s="79">
        <f>23.9-Tabla2[[#This Row],[Div.]]</f>
        <v>23.52</v>
      </c>
      <c r="AA35" s="79">
        <f>+Tabla2[[#This Row],[Precio compra]]+Tabla2[[#This Row],[Div.]]</f>
        <v>23.9</v>
      </c>
      <c r="AB35" s="96">
        <v>0.38</v>
      </c>
      <c r="AC35" s="79">
        <f>30.74-Tabla2[[#This Row],[Div.]]</f>
        <v>30.36</v>
      </c>
      <c r="AD35" s="79">
        <f>+Tabla2[[#This Row],[Objetivo div2]]+Tabla2[[#This Row],[Div.]]</f>
        <v>30.74</v>
      </c>
      <c r="AE35" s="159">
        <f ca="1">IF(Z35="-",+AC35/Y35-1,AC35/D35-1)</f>
        <v>-9.3731343283582125E-2</v>
      </c>
      <c r="AF35" s="81">
        <v>30.76</v>
      </c>
      <c r="AG35" s="253">
        <f ca="1">IF(Z35="-",+AF35/D35-1,AF35/D35-1)</f>
        <v>-8.1791044776119315E-2</v>
      </c>
      <c r="AH35" s="81">
        <f>20.48-Tabla2[[#This Row],[Div.]]</f>
        <v>20.100000000000001</v>
      </c>
      <c r="AI35" s="147">
        <f ca="1">IF(Z35="-",AH35/Y35-1,+AH35/D35-1)</f>
        <v>-0.39999999999999991</v>
      </c>
      <c r="AJ35" s="121">
        <f ca="1">IF(Z35="-","-",+(D35/Z35)-1)</f>
        <v>0.42431972789115657</v>
      </c>
      <c r="AK35" s="120">
        <f ca="1">IF(AA35="-","-",+(D35/AA35)-1)</f>
        <v>0.40167364016736418</v>
      </c>
      <c r="AM35" s="49" t="str">
        <f>IF(AL35=0,"-",+AL35/Z35-1)</f>
        <v>-</v>
      </c>
      <c r="AN35" s="28">
        <f ca="1">+D35/Y35-1</f>
        <v>0.40167364016736418</v>
      </c>
      <c r="AO35" s="75">
        <f ca="1">VLOOKUP(Tabla2[[#This Row],[TCKR]],'2026'!$D$5:$AH$257,8,FALSE)</f>
        <v>418</v>
      </c>
      <c r="AP35" s="193">
        <f ca="1">VLOOKUP(Tabla2[[#This Row],[TCKR]],'2026'!$D$5:$AH$257,26,FALSE)</f>
        <v>3272.6098194240471</v>
      </c>
      <c r="AQ35" s="5" cm="1">
        <f t="array" aca="1" ref="AQ35" ca="1">_FV(Tabla2[[#This Row],[valor]],"P/E",TRUE)</f>
        <v>28.44</v>
      </c>
      <c r="AR35" s="4"/>
      <c r="AT35" s="193">
        <f ca="1">+Tabla2[[#This Row],[Titulos2]]*Tabla2[[#This Row],[Neto]]</f>
        <v>0</v>
      </c>
      <c r="AU35" s="28">
        <f>+Tabla2[[#This Row],[Neto]]/Tabla2[[#This Row],[Precio compra2]]</f>
        <v>0</v>
      </c>
    </row>
    <row r="36" spans="1:47" ht="16" customHeight="1" x14ac:dyDescent="0.2">
      <c r="A36" s="323" t="e" vm="80">
        <v>#VALUE!</v>
      </c>
      <c r="B36" s="75" t="str" cm="1">
        <f t="array" aca="1" ref="B36" ca="1">_FV(A36,"Ticker symbol",TRUE)</f>
        <v>GIII</v>
      </c>
      <c r="C36" s="217" cm="1">
        <f t="array" aca="1" ref="C36" ca="1">_FV(A36,"Change (%)",TRUE)</f>
        <v>1.0204E-2</v>
      </c>
      <c r="D36" s="144" cm="1">
        <f t="array" aca="1" ref="D36" ca="1">_FV(A36,"Price")</f>
        <v>31.68</v>
      </c>
      <c r="E36" s="159">
        <f ca="1">AE36</f>
        <v>-8.7752525252525304E-2</v>
      </c>
      <c r="F36" s="321">
        <f ca="1">+Tabla2[[#This Row],[Rentab. Parcial]]</f>
        <v>0.20593833269889616</v>
      </c>
      <c r="G36" s="321">
        <f ca="1">+Tabla2[[#This Row],[Rentab. Parcial2]]</f>
        <v>0.20593833269889616</v>
      </c>
      <c r="H36" s="253">
        <f ca="1">+Tabla2[[#This Row],[Difer. Investing]]</f>
        <v>0.25284090909090895</v>
      </c>
      <c r="I36" s="79">
        <f>+Tabla2[[#This Row],[Objetivo div2]]</f>
        <v>28.9</v>
      </c>
      <c r="J36" s="75" cm="1">
        <f t="array" aca="1" ref="J36" ca="1">_FV(A36,"High")</f>
        <v>31.84</v>
      </c>
      <c r="K36" s="75" cm="1">
        <f t="array" aca="1" ref="K36" ca="1">_FV(A36,"Low")</f>
        <v>31.24</v>
      </c>
      <c r="L36" s="75" cm="1">
        <f t="array" aca="1" ref="L36" ca="1">_FV(Tabla2[[#This Row],[valor]],"52 week high",TRUE)</f>
        <v>34.83</v>
      </c>
      <c r="M36" s="75">
        <f ca="1">+L36*0.9</f>
        <v>31.346999999999998</v>
      </c>
      <c r="N36" s="75">
        <f ca="1">+L36*0.95</f>
        <v>33.088499999999996</v>
      </c>
      <c r="O36" s="75" cm="1">
        <f t="array" aca="1" ref="O36" ca="1">_FV(A36,"52 week low",TRUE)</f>
        <v>20.329999999999998</v>
      </c>
      <c r="P36" s="220">
        <f ca="1">+TODAY()-Tabla2[[#This Row],[F. compra]]</f>
        <v>253</v>
      </c>
      <c r="Q36" s="220">
        <f ca="1">GESTEP(D36,M36)</f>
        <v>1</v>
      </c>
      <c r="R36" s="220">
        <f ca="1">GESTEP(D36,N36)</f>
        <v>0</v>
      </c>
      <c r="S36" s="75" t="s">
        <v>75</v>
      </c>
      <c r="T36" s="110" t="s">
        <v>78</v>
      </c>
      <c r="U36" s="110" t="s">
        <v>88</v>
      </c>
      <c r="V36" s="16">
        <v>45887</v>
      </c>
      <c r="W36" s="16">
        <v>45887</v>
      </c>
      <c r="X36" s="80" t="s">
        <v>235</v>
      </c>
      <c r="Y36" s="79">
        <v>26.27</v>
      </c>
      <c r="Z36" s="79">
        <v>26.27</v>
      </c>
      <c r="AA36" s="79">
        <f>+Tabla2[[#This Row],[Precio compra]]+Tabla2[[#This Row],[Div.]]</f>
        <v>26.27</v>
      </c>
      <c r="AB36" s="96"/>
      <c r="AC36" s="79">
        <v>28.9</v>
      </c>
      <c r="AD36" s="79">
        <f>+Tabla2[[#This Row],[Objetivo div2]]+Tabla2[[#This Row],[Div.]]</f>
        <v>28.9</v>
      </c>
      <c r="AE36" s="159">
        <f ca="1">IF(Z36="-",+AC36/Y36-1,AC36/D36-1)</f>
        <v>-8.7752525252525304E-2</v>
      </c>
      <c r="AF36" s="81">
        <v>39.69</v>
      </c>
      <c r="AG36" s="253">
        <f ca="1">IF(Z36="-",+AF36/D36-1,AF36/D36-1)</f>
        <v>0.25284090909090895</v>
      </c>
      <c r="AH36" s="81">
        <v>21.48</v>
      </c>
      <c r="AI36" s="147">
        <f ca="1">IF(Z36="-",AH36/Y36-1,+AH36/D36-1)</f>
        <v>-0.32196969696969691</v>
      </c>
      <c r="AJ36" s="121">
        <f ca="1">IF(Z36="-","-",+(D36/Z36)-1)</f>
        <v>0.20593833269889616</v>
      </c>
      <c r="AK36" s="120">
        <f ca="1">IF(AA36="-","-",+(D36/AA36)-1)</f>
        <v>0.20593833269889616</v>
      </c>
      <c r="AM36" s="49" t="str">
        <f>IF(AL36=0,"-",+AL36/Z36-1)</f>
        <v>-</v>
      </c>
      <c r="AN36" s="28">
        <f ca="1">+D36/Y36-1</f>
        <v>0.20593833269889616</v>
      </c>
      <c r="AO36" s="75">
        <f ca="1">VLOOKUP(Tabla2[[#This Row],[TCKR]],'2026'!$D$5:$AH$257,8,FALSE)</f>
        <v>280</v>
      </c>
      <c r="AP36" s="193">
        <f ca="1">VLOOKUP(Tabla2[[#This Row],[TCKR]],'2026'!$D$5:$AH$257,26,FALSE)</f>
        <v>994.68448489903835</v>
      </c>
      <c r="AQ36" s="5" cm="1">
        <f t="array" aca="1" ref="AQ36" ca="1">_FV(Tabla2[[#This Row],[valor]],"P/E",TRUE)</f>
        <v>20.946200000000001</v>
      </c>
      <c r="AR36" s="4"/>
      <c r="AT36" s="193">
        <f ca="1">+Tabla2[[#This Row],[Titulos2]]*Tabla2[[#This Row],[Neto]]</f>
        <v>0</v>
      </c>
      <c r="AU36" s="28">
        <f>+Tabla2[[#This Row],[Neto]]/Tabla2[[#This Row],[Precio compra2]]</f>
        <v>0</v>
      </c>
    </row>
    <row r="37" spans="1:47" ht="16" customHeight="1" x14ac:dyDescent="0.2">
      <c r="A37" s="75" t="e" vm="89">
        <v>#VALUE!</v>
      </c>
      <c r="B37" s="75" t="str" cm="1">
        <f t="array" aca="1" ref="B37" ca="1">_FV(A37,"Ticker symbol",TRUE)</f>
        <v>ITX</v>
      </c>
      <c r="C37" s="217" cm="1">
        <f t="array" aca="1" ref="C37" ca="1">_FV(A37,"Change (%)",TRUE)</f>
        <v>-8.371E-3</v>
      </c>
      <c r="D37" s="144" cm="1">
        <f t="array" aca="1" ref="D37" ca="1">_FV(A37,"Price")</f>
        <v>52.12</v>
      </c>
      <c r="E37" s="159">
        <f ca="1">AE37</f>
        <v>-8.6339217191097495E-2</v>
      </c>
      <c r="F37" s="321">
        <f ca="1">+Tabla2[[#This Row],[Rentab. Parcial]]</f>
        <v>1.2809628008752734</v>
      </c>
      <c r="G37" s="321">
        <f ca="1">+Tabla2[[#This Row],[Rentab. Parcial2]]</f>
        <v>1.0657946888624652</v>
      </c>
      <c r="H37" s="253">
        <f ca="1">+Tabla2[[#This Row],[Difer. Investing]]</f>
        <v>7.3867996930161217E-2</v>
      </c>
      <c r="I37" s="79">
        <f>+Tabla2[[#This Row],[Objetivo div2]]</f>
        <v>47.62</v>
      </c>
      <c r="J37" s="75" cm="1">
        <f t="array" aca="1" ref="J37" ca="1">_FV(A37,"High")</f>
        <v>53.2</v>
      </c>
      <c r="K37" s="75" cm="1">
        <f t="array" aca="1" ref="K37" ca="1">_FV(A37,"Low")</f>
        <v>52.12</v>
      </c>
      <c r="L37" s="75" cm="1">
        <f t="array" aca="1" ref="L37" ca="1">_FV(Tabla2[[#This Row],[valor]],"52 week high",TRUE)</f>
        <v>58.28</v>
      </c>
      <c r="M37" s="75">
        <f ca="1">+Tabla2[[#This Row],[52 high]]*0.9</f>
        <v>52.452000000000005</v>
      </c>
      <c r="N37" s="75">
        <f ca="1">+Tabla2[[#This Row],[52 high]]*0.95</f>
        <v>55.366</v>
      </c>
      <c r="O37" s="75" cm="1">
        <f t="array" aca="1" ref="O37" ca="1">_FV(Tabla2[[#This Row],[valor]],"52 week low",TRUE)</f>
        <v>40.799999999999997</v>
      </c>
      <c r="P37" s="220">
        <f ca="1">+TODAY()-Tabla2[[#This Row],[F. compra]]</f>
        <v>2309</v>
      </c>
      <c r="Q37" s="220">
        <f ca="1">GESTEP(Tabla2[[#This Row],[price]],Tabla2[[#This Row],[HIGH 10%]])</f>
        <v>0</v>
      </c>
      <c r="R37" s="220">
        <f ca="1">GESTEP(Tabla2[[#This Row],[price]],Tabla2[[#This Row],[HIGH 5%]])</f>
        <v>0</v>
      </c>
      <c r="S37" s="75" t="s">
        <v>76</v>
      </c>
      <c r="T37" s="110" t="s">
        <v>136</v>
      </c>
      <c r="U37" s="110" t="s">
        <v>72</v>
      </c>
      <c r="V37" s="16">
        <v>43831</v>
      </c>
      <c r="W37" s="16">
        <v>43831</v>
      </c>
      <c r="X37" s="80" t="s">
        <v>11</v>
      </c>
      <c r="Y37" s="79" t="s">
        <v>11</v>
      </c>
      <c r="Z37" s="79">
        <f>25.23-Tabla2[[#This Row],[Div.]]</f>
        <v>22.85</v>
      </c>
      <c r="AA37" s="79">
        <f>+Tabla2[[#This Row],[Precio compra]]+Tabla2[[#This Row],[Div.]]</f>
        <v>25.23</v>
      </c>
      <c r="AB37" s="96">
        <v>2.38</v>
      </c>
      <c r="AC37" s="79">
        <f>50-Tabla2[[#This Row],[Div.]]</f>
        <v>47.62</v>
      </c>
      <c r="AD37" s="79">
        <f>+Tabla2[[#This Row],[Objetivo div2]]+Tabla2[[#This Row],[Div.]]</f>
        <v>50</v>
      </c>
      <c r="AE37" s="159">
        <f ca="1">IF(Z37="-",+AC37/Y37-1,AC37/D37-1)</f>
        <v>-8.6339217191097495E-2</v>
      </c>
      <c r="AF37" s="81">
        <v>55.97</v>
      </c>
      <c r="AG37" s="253">
        <f ca="1">IF(Z37="-",+AF37/D37-1,AF37/D37-1)</f>
        <v>7.3867996930161217E-2</v>
      </c>
      <c r="AH37" s="81">
        <f>35-Tabla2[[#This Row],[Div.]]</f>
        <v>32.619999999999997</v>
      </c>
      <c r="AI37" s="147">
        <f ca="1">IF(Z37="-",AH37/Y37-1,+AH37/D37-1)</f>
        <v>-0.374136607828089</v>
      </c>
      <c r="AJ37" s="121">
        <f ca="1">IF(Z37="-","-",+(D37/Z37)-1)</f>
        <v>1.2809628008752734</v>
      </c>
      <c r="AK37" s="120">
        <f ca="1">IF(AA37="-","-",+(D37/AA37)-1)</f>
        <v>1.0657946888624652</v>
      </c>
      <c r="AM37" s="49" t="str">
        <f>IF(AL37=0,"-",+AL37/Z37-1)</f>
        <v>-</v>
      </c>
      <c r="AN37" s="28" t="e">
        <f ca="1">+D37/Y37-1</f>
        <v>#VALUE!</v>
      </c>
      <c r="AO37" s="75">
        <f ca="1">VLOOKUP(Tabla2[[#This Row],[TCKR]],'2026'!$D$5:$AH$257,8,FALSE)</f>
        <v>643</v>
      </c>
      <c r="AP37" s="193">
        <f ca="1">VLOOKUP(Tabla2[[#This Row],[TCKR]],'2026'!$D$5:$AH$257,26,FALSE)</f>
        <v>11428.224613399285</v>
      </c>
      <c r="AQ37" s="5" cm="1">
        <f t="array" aca="1" ref="AQ37" ca="1">_FV(Tabla2[[#This Row],[valor]],"P/E",TRUE)</f>
        <v>26.334</v>
      </c>
      <c r="AR37" s="4">
        <v>45960</v>
      </c>
      <c r="AS37" s="5">
        <v>0.68</v>
      </c>
      <c r="AT37" s="193">
        <f ca="1">+Tabla2[[#This Row],[Titulos2]]*Tabla2[[#This Row],[Neto]]</f>
        <v>437.24</v>
      </c>
      <c r="AU37" s="28">
        <f>+Tabla2[[#This Row],[Neto]]/Tabla2[[#This Row],[Precio compra2]]</f>
        <v>2.6952041220768927E-2</v>
      </c>
    </row>
    <row r="38" spans="1:47" ht="16" customHeight="1" x14ac:dyDescent="0.2">
      <c r="A38" s="323" t="e" vm="45">
        <v>#VALUE!</v>
      </c>
      <c r="B38" s="323" t="str" cm="1">
        <f t="array" aca="1" ref="B38" ca="1">_FV(A38,"Ticker symbol",TRUE)</f>
        <v>CVX</v>
      </c>
      <c r="C38" s="217" cm="1">
        <f t="array" aca="1" ref="C38" ca="1">_FV(A38,"Change (%)",TRUE)</f>
        <v>-2.2680000000000001E-3</v>
      </c>
      <c r="D38" s="144" cm="1">
        <f t="array" aca="1" ref="D38" ca="1">_FV(A38,"Price")</f>
        <v>184.79</v>
      </c>
      <c r="E38" s="159">
        <f ca="1">AE38</f>
        <v>-8.2149974712703577E-2</v>
      </c>
      <c r="F38" s="321">
        <f ca="1">+Tabla2[[#This Row],[Rentab. Parcial]]</f>
        <v>0.4290519349211912</v>
      </c>
      <c r="G38" s="321">
        <f ca="1">+Tabla2[[#This Row],[Rentab. Parcial2]]</f>
        <v>0.2553668478260871</v>
      </c>
      <c r="H38" s="253">
        <f ca="1">+Tabla2[[#This Row],[Difer. Investing]]</f>
        <v>6.1150495156663265E-3</v>
      </c>
      <c r="I38" s="79">
        <f ca="1">+Tabla2[[#This Row],[Objetivo div2]]</f>
        <v>169.6095061728395</v>
      </c>
      <c r="J38" s="75" cm="1">
        <f t="array" aca="1" ref="J38" ca="1">_FV(A38,"High")</f>
        <v>188.37</v>
      </c>
      <c r="K38" s="75" cm="1">
        <f t="array" aca="1" ref="K38" ca="1">_FV(A38,"Low")</f>
        <v>183.67</v>
      </c>
      <c r="L38" s="75" cm="1">
        <f t="array" aca="1" ref="L38" ca="1">_FV(Tabla2[[#This Row],[valor]],"52 week high",TRUE)</f>
        <v>214.71</v>
      </c>
      <c r="M38" s="75">
        <f ca="1">+Tabla2[[#This Row],[52 high]]*0.9</f>
        <v>193.239</v>
      </c>
      <c r="N38" s="75">
        <f ca="1">+Tabla2[[#This Row],[52 high]]*0.95</f>
        <v>203.97450000000001</v>
      </c>
      <c r="O38" s="75" cm="1">
        <f t="array" aca="1" ref="O38" ca="1">_FV(Tabla2[[#This Row],[valor]],"52 week low",TRUE)</f>
        <v>133.77000000000001</v>
      </c>
      <c r="P38" s="220">
        <f ca="1">+TODAY()-Tabla2[[#This Row],[F. compra]]</f>
        <v>992</v>
      </c>
      <c r="Q38" s="220">
        <f ca="1">GESTEP(Tabla2[[#This Row],[price]],Tabla2[[#This Row],[HIGH 10%]])</f>
        <v>0</v>
      </c>
      <c r="R38" s="220">
        <f ca="1">GESTEP(Tabla2[[#This Row],[price]],Tabla2[[#This Row],[HIGH 5%]])</f>
        <v>0</v>
      </c>
      <c r="S38" s="75" t="s">
        <v>75</v>
      </c>
      <c r="T38" s="110" t="s">
        <v>78</v>
      </c>
      <c r="U38" s="110" t="s">
        <v>26</v>
      </c>
      <c r="V38" s="16">
        <v>45148</v>
      </c>
      <c r="W38" s="16">
        <v>45148</v>
      </c>
      <c r="X38" s="80" t="s">
        <v>11</v>
      </c>
      <c r="Y38" s="79">
        <v>147.19999999999999</v>
      </c>
      <c r="Z38" s="79">
        <f ca="1">147.2-Tabla2[[#This Row],[Div.]]</f>
        <v>129.30950617283949</v>
      </c>
      <c r="AA38" s="79">
        <v>147.19999999999999</v>
      </c>
      <c r="AB38" s="96">
        <f ca="1">16.36+'dividendos 26'!E39</f>
        <v>17.890493827160494</v>
      </c>
      <c r="AC38" s="79">
        <f ca="1">187.5-Tabla2[[#This Row],[Div.]]</f>
        <v>169.6095061728395</v>
      </c>
      <c r="AD38" s="79">
        <f ca="1">+Tabla2[[#This Row],[Objetivo div2]]+Tabla2[[#This Row],[Div.]]</f>
        <v>187.5</v>
      </c>
      <c r="AE38" s="159">
        <f ca="1">IF(Z38="-",+AC38/Y38-1,AC38/D38-1)</f>
        <v>-8.2149974712703577E-2</v>
      </c>
      <c r="AF38" s="81">
        <v>185.92</v>
      </c>
      <c r="AG38" s="253">
        <f ca="1">IF(Z38="-",+AF38/D38-1,AF38/D38-1)</f>
        <v>6.1150495156663265E-3</v>
      </c>
      <c r="AH38" s="81">
        <f ca="1">109.96-Tabla2[[#This Row],[Div.]]</f>
        <v>92.069506172839496</v>
      </c>
      <c r="AI38" s="147">
        <f ca="1">IF(Z38="-",AH38/Y38-1,+AH38/D38-1)</f>
        <v>-0.50176142554878789</v>
      </c>
      <c r="AJ38" s="121">
        <f ca="1">IF(Z38="-","-",+(D38/Z38)-1)</f>
        <v>0.4290519349211912</v>
      </c>
      <c r="AK38" s="120">
        <f ca="1">IF(AA38="-","-",+(D38/AA38)-1)</f>
        <v>0.2553668478260871</v>
      </c>
      <c r="AM38" s="49" t="str">
        <f>IF(AL38=0,"-",+AL38/Z38-1)</f>
        <v>-</v>
      </c>
      <c r="AN38" s="28">
        <f ca="1">+D38/Y38-1</f>
        <v>0.2553668478260871</v>
      </c>
      <c r="AO38" s="75">
        <f ca="1">VLOOKUP(Tabla2[[#This Row],[TCKR]],'2026'!$D$5:$AH$257,8,FALSE)</f>
        <v>81</v>
      </c>
      <c r="AP38" s="193">
        <f ca="1">VLOOKUP(Tabla2[[#This Row],[TCKR]],'2026'!$D$5:$AH$257,26,FALSE)</f>
        <v>1103.4121853603997</v>
      </c>
      <c r="AQ38" s="5" cm="1">
        <f t="array" aca="1" ref="AQ38" ca="1">_FV(Tabla2[[#This Row],[valor]],"P/E",TRUE)</f>
        <v>27.805099999999999</v>
      </c>
      <c r="AR38" s="4"/>
      <c r="AT38" s="193">
        <f ca="1">+Tabla2[[#This Row],[Titulos2]]*Tabla2[[#This Row],[Neto]]</f>
        <v>0</v>
      </c>
      <c r="AU38" s="28">
        <f>+Tabla2[[#This Row],[Neto]]/Tabla2[[#This Row],[Precio compra2]]</f>
        <v>0</v>
      </c>
    </row>
    <row r="39" spans="1:47" ht="16" customHeight="1" x14ac:dyDescent="0.2">
      <c r="A39" s="75" t="e" vm="223">
        <v>#VALUE!</v>
      </c>
      <c r="B39" s="75" t="str" cm="1">
        <f t="array" aca="1" ref="B39" ca="1">_FV(A39,"Ticker symbol",TRUE)</f>
        <v>DTG</v>
      </c>
      <c r="C39" s="217" cm="1">
        <f t="array" aca="1" ref="C39" ca="1">_FV(A39,"Change (%)",TRUE)</f>
        <v>-2.0681999999999999E-2</v>
      </c>
      <c r="D39" s="144" cm="1">
        <f t="array" aca="1" ref="D39" ca="1">_FV(A39,"Price")</f>
        <v>43.09</v>
      </c>
      <c r="E39" s="159">
        <f ca="1">AE39</f>
        <v>-4.8967277790670671E-2</v>
      </c>
      <c r="F39" s="321">
        <f ca="1">+Tabla2[[#This Row],[Rentab. Parcial]]</f>
        <v>0.29205397301349323</v>
      </c>
      <c r="G39" s="321">
        <f ca="1">+Tabla2[[#This Row],[Rentab. Parcial2]]</f>
        <v>0.22241134751773051</v>
      </c>
      <c r="H39" s="253">
        <f ca="1">+Tabla2[[#This Row],[Difer. Investing]]</f>
        <v>3.2722209329310692E-2</v>
      </c>
      <c r="I39" s="79">
        <f>+Tabla2[[#This Row],[Objetivo div2]]</f>
        <v>40.980000000000004</v>
      </c>
      <c r="J39" s="75" cm="1">
        <f t="array" aca="1" ref="J39" ca="1">_FV(A39,"High")</f>
        <v>44.1</v>
      </c>
      <c r="K39" s="75" cm="1">
        <f t="array" aca="1" ref="K39" ca="1">_FV(A39,"Low")</f>
        <v>43.09</v>
      </c>
      <c r="L39" s="75" cm="1">
        <f t="array" aca="1" ref="L39" ca="1">_FV(Tabla2[[#This Row],[valor]],"52 week high",TRUE)</f>
        <v>45.19</v>
      </c>
      <c r="M39" s="75">
        <f ca="1">+Tabla2[[#This Row],[52 high]]*0.9</f>
        <v>40.670999999999999</v>
      </c>
      <c r="N39" s="75">
        <f ca="1">+Tabla2[[#This Row],[52 high]]*0.95</f>
        <v>42.930499999999995</v>
      </c>
      <c r="O39" s="75" cm="1">
        <f t="array" aca="1" ref="O39" ca="1">_FV(Tabla2[[#This Row],[valor]],"52 week low",TRUE)</f>
        <v>33.46</v>
      </c>
      <c r="P39" s="220">
        <f ca="1">+TODAY()-Tabla2[[#This Row],[F. compra]]</f>
        <v>565</v>
      </c>
      <c r="Q39" s="220">
        <f ca="1">GESTEP(Tabla2[[#This Row],[price]],Tabla2[[#This Row],[HIGH 10%]])</f>
        <v>1</v>
      </c>
      <c r="R39" s="220">
        <f ca="1">GESTEP(Tabla2[[#This Row],[price]],Tabla2[[#This Row],[HIGH 5%]])</f>
        <v>1</v>
      </c>
      <c r="S39" s="75" t="s">
        <v>76</v>
      </c>
      <c r="T39" s="110" t="s">
        <v>78</v>
      </c>
      <c r="U39" s="110" t="s">
        <v>26</v>
      </c>
      <c r="V39" s="16">
        <v>45575</v>
      </c>
      <c r="W39" s="16">
        <v>45575</v>
      </c>
      <c r="X39" s="80" t="s">
        <v>11</v>
      </c>
      <c r="Y39" s="79">
        <v>35.520000000000003</v>
      </c>
      <c r="Z39" s="79">
        <f>35.25-Tabla2[[#This Row],[Div.]]</f>
        <v>33.35</v>
      </c>
      <c r="AA39" s="79">
        <f>+Tabla2[[#This Row],[Precio compra]]+Tabla2[[#This Row],[Div.]]</f>
        <v>35.25</v>
      </c>
      <c r="AB39" s="96">
        <v>1.9</v>
      </c>
      <c r="AC39" s="79">
        <f>42.88-Tabla2[[#This Row],[Div.]]</f>
        <v>40.980000000000004</v>
      </c>
      <c r="AD39" s="79">
        <f>+Tabla2[[#This Row],[Objetivo div2]]+Tabla2[[#This Row],[Div.]]</f>
        <v>42.88</v>
      </c>
      <c r="AE39" s="159">
        <f ca="1">IF(Z39="-",+AC39/Y39-1,AC39/D39-1)</f>
        <v>-4.8967277790670671E-2</v>
      </c>
      <c r="AF39" s="81">
        <v>44.5</v>
      </c>
      <c r="AG39" s="253">
        <f ca="1">IF(Z39="-",+AF39/D39-1,AF39/D39-1)</f>
        <v>3.2722209329310692E-2</v>
      </c>
      <c r="AH39" s="81">
        <f>31.84-Tabla2[[#This Row],[Div.]]</f>
        <v>29.94</v>
      </c>
      <c r="AI39" s="147">
        <f ca="1">IF(Z39="-",AH39/Y39-1,+AH39/D39-1)</f>
        <v>-0.30517521466697617</v>
      </c>
      <c r="AJ39" s="121">
        <f ca="1">IF(Z39="-","-",+(D39/Z39)-1)</f>
        <v>0.29205397301349323</v>
      </c>
      <c r="AK39" s="120">
        <f ca="1">IF(AA39="-","-",+(D39/AA39)-1)</f>
        <v>0.22241134751773051</v>
      </c>
      <c r="AM39" s="49" t="str">
        <f>IF(AL39=0,"-",+AL39/Z39-1)</f>
        <v>-</v>
      </c>
      <c r="AN39" s="28">
        <f ca="1">+D39/Y39-1</f>
        <v>0.21311936936936937</v>
      </c>
      <c r="AO39" s="75">
        <f ca="1">VLOOKUP(Tabla2[[#This Row],[TCKR]],'2026'!$D$5:$AH$257,8,FALSE)</f>
        <v>320</v>
      </c>
      <c r="AP39" s="193">
        <f ca="1">VLOOKUP(Tabla2[[#This Row],[TCKR]],'2026'!$D$5:$AH$257,26,FALSE)</f>
        <v>1976.3793280785931</v>
      </c>
      <c r="AQ39" s="5" cm="1">
        <f t="array" aca="1" ref="AQ39" ca="1">_FV(Tabla2[[#This Row],[valor]],"P/E",TRUE)</f>
        <v>18.0839</v>
      </c>
      <c r="AR39" s="4"/>
      <c r="AT39" s="193">
        <f ca="1">+Tabla2[[#This Row],[Titulos2]]*Tabla2[[#This Row],[Neto]]</f>
        <v>0</v>
      </c>
      <c r="AU39" s="28">
        <f>+Tabla2[[#This Row],[Neto]]/Tabla2[[#This Row],[Precio compra2]]</f>
        <v>0</v>
      </c>
    </row>
    <row r="40" spans="1:47" ht="16" customHeight="1" x14ac:dyDescent="0.2">
      <c r="A40" s="75" t="e" vm="12">
        <v>#VALUE!</v>
      </c>
      <c r="B40" s="75" t="str" cm="1">
        <f t="array" aca="1" ref="B40" ca="1">_FV(A40,"Ticker symbol",TRUE)</f>
        <v>ALM</v>
      </c>
      <c r="C40" s="217" cm="1">
        <f t="array" aca="1" ref="C40" ca="1">_FV(A40,"Change (%)",TRUE)</f>
        <v>-1.1006E-2</v>
      </c>
      <c r="D40" s="144" cm="1">
        <f t="array" aca="1" ref="D40" ca="1">_FV(A40,"Price")</f>
        <v>12.58</v>
      </c>
      <c r="E40" s="159">
        <f ca="1">AE40</f>
        <v>-4.7719594594594739E-2</v>
      </c>
      <c r="F40" s="321">
        <f ca="1">+Tabla2[[#This Row],[Rentab. Parcial]]</f>
        <v>5.6282962924090185E-2</v>
      </c>
      <c r="G40" s="321">
        <f ca="1">+Tabla2[[#This Row],[Rentab. Parcial2]]</f>
        <v>4.5719035743973402E-2</v>
      </c>
      <c r="H40" s="253">
        <f ca="1">+Tabla2[[#This Row],[Difer. Investing]]</f>
        <v>0.10492845786963434</v>
      </c>
      <c r="I40" s="79">
        <f>+Tabla2[[#This Row],[Objetivo div2]]</f>
        <v>11.979687499999999</v>
      </c>
      <c r="J40" s="75" cm="1">
        <f t="array" aca="1" ref="J40" ca="1">_FV(A40,"High")</f>
        <v>12.8</v>
      </c>
      <c r="K40" s="75" cm="1">
        <f t="array" aca="1" ref="K40" ca="1">_FV(A40,"Low")</f>
        <v>12.54</v>
      </c>
      <c r="L40" s="75" cm="1">
        <f t="array" aca="1" ref="L40" ca="1">_FV(Tabla2[[#This Row],[valor]],"52 week high",TRUE)</f>
        <v>13.98</v>
      </c>
      <c r="M40" s="75">
        <f ca="1">+Tabla2[[#This Row],[52 high]]*0.9</f>
        <v>12.582000000000001</v>
      </c>
      <c r="N40" s="75">
        <f ca="1">+Tabla2[[#This Row],[52 high]]*0.95</f>
        <v>13.281000000000001</v>
      </c>
      <c r="O40" s="75" cm="1">
        <f t="array" aca="1" ref="O40" ca="1">_FV(Tabla2[[#This Row],[valor]],"52 week low",TRUE)</f>
        <v>9.5609999999999999</v>
      </c>
      <c r="P40" s="220">
        <f ca="1">+TODAY()-Tabla2[[#This Row],[F. compra]]</f>
        <v>2293</v>
      </c>
      <c r="Q40" s="220">
        <f ca="1">GESTEP(Tabla2[[#This Row],[price]],Tabla2[[#This Row],[HIGH 10%]])</f>
        <v>0</v>
      </c>
      <c r="R40" s="220">
        <f ca="1">GESTEP(Tabla2[[#This Row],[price]],Tabla2[[#This Row],[HIGH 5%]])</f>
        <v>0</v>
      </c>
      <c r="S40" s="75" t="s">
        <v>75</v>
      </c>
      <c r="T40" s="110" t="s">
        <v>136</v>
      </c>
      <c r="U40" s="110" t="s">
        <v>72</v>
      </c>
      <c r="V40" s="16">
        <v>43847</v>
      </c>
      <c r="W40" s="16">
        <v>43847</v>
      </c>
      <c r="X40" s="80"/>
      <c r="Y40" s="79">
        <v>12.03</v>
      </c>
      <c r="Z40" s="79">
        <f>12.03-Tabla2[[#This Row],[Div.]]</f>
        <v>11.909687499999999</v>
      </c>
      <c r="AA40" s="79">
        <f>+Tabla2[[#This Row],[Precio compra]]+Tabla2[[#This Row],[Div.]]</f>
        <v>12.03</v>
      </c>
      <c r="AB40" s="96">
        <v>0.12031249999999999</v>
      </c>
      <c r="AC40" s="79">
        <f>12.1-Tabla2[[#This Row],[Div.]]</f>
        <v>11.979687499999999</v>
      </c>
      <c r="AD40" s="79">
        <f>+Tabla2[[#This Row],[Objetivo div2]]+Tabla2[[#This Row],[Div.]]</f>
        <v>12.1</v>
      </c>
      <c r="AE40" s="159">
        <f ca="1">IF(Z40="-",+AC40/Y40-1,AC40/D40-1)</f>
        <v>-4.7719594594594739E-2</v>
      </c>
      <c r="AF40" s="81">
        <v>13.9</v>
      </c>
      <c r="AG40" s="253">
        <f ca="1">IF(Z40="-",+AF40/D40-1,AF40/D40-1)</f>
        <v>0.10492845786963434</v>
      </c>
      <c r="AH40" s="81">
        <v>0</v>
      </c>
      <c r="AI40" s="147">
        <f ca="1">IF(Z40="-",AH40/Y40-1,+AH40/D40-1)</f>
        <v>-1</v>
      </c>
      <c r="AJ40" s="121">
        <f ca="1">IF(Z40="-","-",+(D40/Z40)-1)</f>
        <v>5.6282962924090185E-2</v>
      </c>
      <c r="AK40" s="120">
        <f ca="1">IF(AA40="-","-",+(D40/AA40)-1)</f>
        <v>4.5719035743973402E-2</v>
      </c>
      <c r="AM40" s="49" t="str">
        <f>IF(AL40=0,"-",+AL40/Z40-1)</f>
        <v>-</v>
      </c>
      <c r="AN40" s="28">
        <f ca="1">+D40/Y40-1</f>
        <v>4.5719035743973402E-2</v>
      </c>
      <c r="AO40" s="75">
        <f ca="1">VLOOKUP(Tabla2[[#This Row],[TCKR]],'2026'!$D$5:$AH$257,8,FALSE)</f>
        <v>789</v>
      </c>
      <c r="AP40" s="193">
        <f ca="1">VLOOKUP(Tabla2[[#This Row],[TCKR]],'2026'!$D$5:$AH$257,26,FALSE)</f>
        <v>-1646.6640705112845</v>
      </c>
      <c r="AQ40" s="5" cm="1">
        <f t="array" aca="1" ref="AQ40" ca="1">_FV(Tabla2[[#This Row],[valor]],"P/E",TRUE)</f>
        <v>58.9435</v>
      </c>
      <c r="AR40" s="4"/>
      <c r="AT40" s="193">
        <f ca="1">+Tabla2[[#This Row],[Titulos2]]*Tabla2[[#This Row],[Neto]]</f>
        <v>0</v>
      </c>
      <c r="AU40" s="28">
        <f>+Tabla2[[#This Row],[Neto]]/Tabla2[[#This Row],[Precio compra2]]</f>
        <v>0</v>
      </c>
    </row>
    <row r="41" spans="1:47" ht="16" customHeight="1" x14ac:dyDescent="0.2">
      <c r="A41" s="75" t="e" vm="28">
        <v>#VALUE!</v>
      </c>
      <c r="B41" s="75" t="str" cm="1">
        <f t="array" aca="1" ref="B41" ca="1">_FV(A41,"Ticker symbol",TRUE)</f>
        <v>BAYN</v>
      </c>
      <c r="C41" s="217" cm="1">
        <f t="array" aca="1" ref="C41" ca="1">_FV(A41,"Change (%)",TRUE)</f>
        <v>-4.9150000000000001E-3</v>
      </c>
      <c r="D41" s="144" cm="1">
        <f t="array" aca="1" ref="D41" ca="1">_FV(A41,"Price")</f>
        <v>38.47</v>
      </c>
      <c r="E41" s="159">
        <f ca="1">AE41</f>
        <v>-5.042890564075897E-2</v>
      </c>
      <c r="F41" s="321">
        <f ca="1">+Tabla2[[#This Row],[Rentab. Parcial]]</f>
        <v>0.26462853385930307</v>
      </c>
      <c r="G41" s="321">
        <f ca="1">+Tabla2[[#This Row],[Rentab. Parcial2]]</f>
        <v>0.2600720602685882</v>
      </c>
      <c r="H41" s="253">
        <f ca="1">+Tabla2[[#This Row],[Difer. Investing]]</f>
        <v>0.20535482193917343</v>
      </c>
      <c r="I41" s="79">
        <f>+Tabla2[[#This Row],[Objetivo div2]]</f>
        <v>36.53</v>
      </c>
      <c r="J41" s="75" cm="1">
        <f t="array" aca="1" ref="J41" ca="1">_FV(A41,"High")</f>
        <v>38.76</v>
      </c>
      <c r="K41" s="75" cm="1">
        <f t="array" aca="1" ref="K41" ca="1">_FV(A41,"Low")</f>
        <v>38.19</v>
      </c>
      <c r="L41" s="75" cm="1">
        <f t="array" aca="1" ref="L41" ca="1">_FV(Tabla2[[#This Row],[valor]],"52 week high",TRUE)</f>
        <v>105.98699999999999</v>
      </c>
      <c r="M41" s="75">
        <f ca="1">+Tabla2[[#This Row],[52 high]]*0.9</f>
        <v>95.388300000000001</v>
      </c>
      <c r="N41" s="75">
        <f ca="1">+Tabla2[[#This Row],[52 high]]*0.95</f>
        <v>100.68764999999999</v>
      </c>
      <c r="O41" s="75" cm="1">
        <f t="array" aca="1" ref="O41" ca="1">_FV(Tabla2[[#This Row],[valor]],"52 week low",TRUE)</f>
        <v>18.5</v>
      </c>
      <c r="P41" s="220">
        <f ca="1">+TODAY()-Tabla2[[#This Row],[F. compra]]</f>
        <v>575</v>
      </c>
      <c r="Q41" s="220">
        <f ca="1">GESTEP(Tabla2[[#This Row],[price]],Tabla2[[#This Row],[HIGH 10%]])</f>
        <v>0</v>
      </c>
      <c r="R41" s="220">
        <f ca="1">GESTEP(Tabla2[[#This Row],[price]],Tabla2[[#This Row],[HIGH 5%]])</f>
        <v>0</v>
      </c>
      <c r="S41" s="75" t="s">
        <v>75</v>
      </c>
      <c r="T41" s="110" t="s">
        <v>78</v>
      </c>
      <c r="U41" s="110" t="s">
        <v>72</v>
      </c>
      <c r="V41" s="16">
        <v>45565</v>
      </c>
      <c r="W41" s="16">
        <v>45565</v>
      </c>
      <c r="X41" s="80"/>
      <c r="Y41" s="79">
        <v>30.53</v>
      </c>
      <c r="Z41" s="79">
        <f>30.53-Tabla2[[#This Row],[Div.]]</f>
        <v>30.42</v>
      </c>
      <c r="AA41" s="79">
        <f>+Tabla2[[#This Row],[Precio compra]]+Tabla2[[#This Row],[Div.]]</f>
        <v>30.53</v>
      </c>
      <c r="AB41" s="96">
        <v>0.11</v>
      </c>
      <c r="AC41" s="79">
        <f>36.64-Tabla2[[#This Row],[Div.]]</f>
        <v>36.53</v>
      </c>
      <c r="AD41" s="79">
        <f>+Tabla2[[#This Row],[Objetivo div2]]+Tabla2[[#This Row],[Div.]]</f>
        <v>36.64</v>
      </c>
      <c r="AE41" s="159">
        <f ca="1">IF(Z41="-",+AC41/Y41-1,AC41/D41-1)</f>
        <v>-5.042890564075897E-2</v>
      </c>
      <c r="AF41" s="81">
        <v>46.37</v>
      </c>
      <c r="AG41" s="253">
        <f ca="1">IF(Z41="-",+AF41/D41-1,AF41/D41-1)</f>
        <v>0.20535482193917343</v>
      </c>
      <c r="AH41" s="81">
        <f>27.48-Tabla2[[#This Row],[Div.]]</f>
        <v>27.37</v>
      </c>
      <c r="AI41" s="147">
        <f ca="1">IF(Z41="-",AH41/Y41-1,+AH41/D41-1)</f>
        <v>-0.28853652196516766</v>
      </c>
      <c r="AJ41" s="121">
        <f ca="1">IF(Z41="-","-",+(D41/Z41)-1)</f>
        <v>0.26462853385930307</v>
      </c>
      <c r="AK41" s="120">
        <f ca="1">IF(AA41="-","-",+(D41/AA41)-1)</f>
        <v>0.2600720602685882</v>
      </c>
      <c r="AM41" s="49" t="str">
        <f>IF(AL41=0,"-",+AL41/Z41-1)</f>
        <v>-</v>
      </c>
      <c r="AN41" s="28">
        <f ca="1">+D41/Y41-1</f>
        <v>0.2600720602685882</v>
      </c>
      <c r="AO41" s="75">
        <f ca="1">VLOOKUP(Tabla2[[#This Row],[TCKR]],'2026'!$D$5:$AH$257,8,FALSE)</f>
        <v>400</v>
      </c>
      <c r="AP41" s="193">
        <f ca="1">VLOOKUP(Tabla2[[#This Row],[TCKR]],'2026'!$D$5:$AH$257,26,FALSE)</f>
        <v>2496.2495853668825</v>
      </c>
      <c r="AQ41" s="5" t="e" cm="1" vm="221">
        <f t="array" ref="AQ41">_FV(Tabla2[[#This Row],[valor]],"P/E",TRUE)</f>
        <v>#VALUE!</v>
      </c>
      <c r="AR41" s="4"/>
      <c r="AT41" s="193">
        <f ca="1">+Tabla2[[#This Row],[Titulos2]]*Tabla2[[#This Row],[Neto]]</f>
        <v>0</v>
      </c>
      <c r="AU41" s="28">
        <f>+Tabla2[[#This Row],[Neto]]/Tabla2[[#This Row],[Precio compra2]]</f>
        <v>0</v>
      </c>
    </row>
    <row r="42" spans="1:47" ht="16" customHeight="1" x14ac:dyDescent="0.2">
      <c r="A42" s="75" t="e" vm="40">
        <v>#VALUE!</v>
      </c>
      <c r="B42" s="75" t="str" cm="1">
        <f t="array" aca="1" ref="B42" ca="1">_FV(A42,"Ticker symbol",TRUE)</f>
        <v>CA</v>
      </c>
      <c r="C42" s="217" cm="1">
        <f t="array" aca="1" ref="C42" ca="1">_FV(A42,"Change (%)",TRUE)</f>
        <v>-6.0369999999999998E-3</v>
      </c>
      <c r="D42" s="144" cm="1">
        <f t="array" aca="1" ref="D42" ca="1">_FV(A42,"Price")</f>
        <v>16.465</v>
      </c>
      <c r="E42" s="159">
        <f ca="1">AE42</f>
        <v>-4.3425447919830051E-2</v>
      </c>
      <c r="F42" s="321">
        <f ca="1">+Tabla2[[#This Row],[Rentab. Parcial]]</f>
        <v>0.29952644041041832</v>
      </c>
      <c r="G42" s="321">
        <f ca="1">+Tabla2[[#This Row],[Rentab. Parcial2]]</f>
        <v>0.19138929088277856</v>
      </c>
      <c r="H42" s="253">
        <f ca="1">+Tabla2[[#This Row],[Difer. Investing]]</f>
        <v>0.17704221075007598</v>
      </c>
      <c r="I42" s="79">
        <f>+Tabla2[[#This Row],[Objetivo div2]]</f>
        <v>15.749999999999998</v>
      </c>
      <c r="J42" s="75" cm="1">
        <f t="array" aca="1" ref="J42" ca="1">_FV(A42,"High")</f>
        <v>16.605</v>
      </c>
      <c r="K42" s="75" cm="1">
        <f t="array" aca="1" ref="K42" ca="1">_FV(A42,"Low")</f>
        <v>16.45</v>
      </c>
      <c r="L42" s="75" cm="1">
        <f t="array" aca="1" ref="L42" ca="1">_FV(Tabla2[[#This Row],[valor]],"52 week high",TRUE)</f>
        <v>16.920000000000002</v>
      </c>
      <c r="M42" s="75">
        <f ca="1">+L42*0.9</f>
        <v>15.228000000000002</v>
      </c>
      <c r="N42" s="75">
        <f ca="1">+L42*0.95</f>
        <v>16.074000000000002</v>
      </c>
      <c r="O42" s="75" cm="1">
        <f t="array" aca="1" ref="O42" ca="1">_FV(A42,"52 week low",TRUE)</f>
        <v>11.58</v>
      </c>
      <c r="P42" s="220">
        <f ca="1">+TODAY()-Tabla2[[#This Row],[F. compra]]</f>
        <v>365</v>
      </c>
      <c r="Q42" s="220">
        <f ca="1">GESTEP(D42,M42)</f>
        <v>1</v>
      </c>
      <c r="R42" s="220">
        <f ca="1">GESTEP(D42,N42)</f>
        <v>1</v>
      </c>
      <c r="S42" s="75" t="s">
        <v>75</v>
      </c>
      <c r="T42" s="110" t="s">
        <v>78</v>
      </c>
      <c r="U42" s="110" t="s">
        <v>189</v>
      </c>
      <c r="V42" s="16">
        <v>45775</v>
      </c>
      <c r="W42" s="16">
        <v>45775</v>
      </c>
      <c r="X42" s="80"/>
      <c r="Y42" s="79">
        <v>13.82</v>
      </c>
      <c r="Z42" s="79">
        <f>13.82-Tabla2[[#This Row],[Div.]]</f>
        <v>12.67</v>
      </c>
      <c r="AA42" s="79">
        <f>+Tabla2[[#This Row],[Precio compra]]+Tabla2[[#This Row],[Div.]]</f>
        <v>13.82</v>
      </c>
      <c r="AB42" s="96">
        <v>1.1499999999999999</v>
      </c>
      <c r="AC42" s="79">
        <f>16.9-Tabla2[[#This Row],[Div.]]</f>
        <v>15.749999999999998</v>
      </c>
      <c r="AD42" s="79">
        <f>+Tabla2[[#This Row],[Objetivo div2]]+Tabla2[[#This Row],[Div.]]</f>
        <v>16.899999999999999</v>
      </c>
      <c r="AE42" s="159">
        <f ca="1">IF(Z42="-",+AC42/Y42-1,AC42/D42-1)</f>
        <v>-4.3425447919830051E-2</v>
      </c>
      <c r="AF42" s="81">
        <v>19.38</v>
      </c>
      <c r="AG42" s="253">
        <f ca="1">IF(Z42="-",+AF42/D42-1,AF42/D42-1)</f>
        <v>0.17704221075007598</v>
      </c>
      <c r="AH42" s="81">
        <f>12.28-Tabla2[[#This Row],[Div.]]</f>
        <v>11.129999999999999</v>
      </c>
      <c r="AI42" s="147">
        <f ca="1">IF(Z42="-",AH42/Y42-1,+AH42/D42-1)</f>
        <v>-0.32402064986334655</v>
      </c>
      <c r="AJ42" s="121">
        <f ca="1">IF(Z42="-","-",+(D42/Z42)-1)</f>
        <v>0.29952644041041832</v>
      </c>
      <c r="AK42" s="120">
        <f ca="1">IF(AA42="-","-",+(D42/AA42)-1)</f>
        <v>0.19138929088277856</v>
      </c>
      <c r="AM42" s="49" t="str">
        <f>IF(AL42=0,"-",+AL42/Z42-1)</f>
        <v>-</v>
      </c>
      <c r="AN42" s="28">
        <f ca="1">+D42/Y42-1</f>
        <v>0.19138929088277856</v>
      </c>
      <c r="AO42" s="75">
        <f ca="1">VLOOKUP(Tabla2[[#This Row],[TCKR]],'2026'!$D$5:$AH$257,8,FALSE)</f>
        <v>500</v>
      </c>
      <c r="AP42" s="193">
        <f ca="1">VLOOKUP(Tabla2[[#This Row],[TCKR]],'2026'!$D$5:$AH$257,26,FALSE)</f>
        <v>1001.8280404996503</v>
      </c>
      <c r="AQ42" s="5" cm="1">
        <f t="array" aca="1" ref="AQ42" ca="1">_FV(Tabla2[[#This Row],[valor]],"P/E",TRUE)</f>
        <v>40.540900000000001</v>
      </c>
      <c r="AR42" s="4"/>
      <c r="AT42" s="193">
        <f ca="1">+Tabla2[[#This Row],[Titulos2]]*Tabla2[[#This Row],[Neto]]</f>
        <v>0</v>
      </c>
      <c r="AU42" s="28">
        <f>+Tabla2[[#This Row],[Neto]]/Tabla2[[#This Row],[Precio compra2]]</f>
        <v>0</v>
      </c>
    </row>
    <row r="43" spans="1:47" ht="16" customHeight="1" x14ac:dyDescent="0.2">
      <c r="A43" s="75" t="e" vm="126">
        <v>#VALUE!</v>
      </c>
      <c r="B43" s="75" t="str" cm="1">
        <f t="array" aca="1" ref="B43" ca="1">_FV(A43,"Ticker symbol",TRUE)</f>
        <v>OHLA</v>
      </c>
      <c r="C43" s="217" cm="1">
        <f t="array" aca="1" ref="C43" ca="1">_FV(A43,"Change (%)",TRUE)</f>
        <v>-1.3102000000000001E-2</v>
      </c>
      <c r="D43" s="144" cm="1">
        <f t="array" aca="1" ref="D43" ca="1">_FV(A43,"Price")</f>
        <v>0.46700000000000003</v>
      </c>
      <c r="E43" s="159">
        <f ca="1">AE43</f>
        <v>-3.6402569593147804E-2</v>
      </c>
      <c r="F43" s="321">
        <f ca="1">+Tabla2[[#This Row],[Rentab. Parcial]]</f>
        <v>0.40662650602409633</v>
      </c>
      <c r="G43" s="321">
        <f ca="1">+Tabla2[[#This Row],[Rentab. Parcial2]]</f>
        <v>0.40662650602409633</v>
      </c>
      <c r="H43" s="253">
        <f ca="1">+Tabla2[[#This Row],[Difer. Investing]]</f>
        <v>0.13490364025695922</v>
      </c>
      <c r="I43" s="79">
        <f>+Tabla2[[#This Row],[Objetivo div2]]</f>
        <v>0.45</v>
      </c>
      <c r="J43" s="144" cm="1">
        <f t="array" aca="1" ref="J43" ca="1">_FV(A43,"High")</f>
        <v>0.47760000000000002</v>
      </c>
      <c r="K43" s="144" cm="1">
        <f t="array" aca="1" ref="K43" ca="1">_FV(A43,"Low")</f>
        <v>0.46260000000000001</v>
      </c>
      <c r="L43" s="144" cm="1">
        <f t="array" aca="1" ref="L43" ca="1">_FV(Tabla2[[#This Row],[valor]],"52 week high",TRUE)</f>
        <v>0.504</v>
      </c>
      <c r="M43" s="75">
        <f ca="1">+L43*0.9</f>
        <v>0.4536</v>
      </c>
      <c r="N43" s="75">
        <f ca="1">+L43*0.95</f>
        <v>0.4788</v>
      </c>
      <c r="O43" s="75" cm="1">
        <f t="array" aca="1" ref="O43" ca="1">_FV(A43,"52 week low",TRUE)</f>
        <v>0.28699999999999998</v>
      </c>
      <c r="P43" s="220">
        <f ca="1">+TODAY()-Tabla2[[#This Row],[F. compra]]</f>
        <v>344</v>
      </c>
      <c r="Q43" s="220">
        <f ca="1">GESTEP(D43,M43)</f>
        <v>1</v>
      </c>
      <c r="R43" s="220">
        <f ca="1">GESTEP(D43,N43)</f>
        <v>0</v>
      </c>
      <c r="S43" s="75" t="s">
        <v>75</v>
      </c>
      <c r="T43" s="110" t="s">
        <v>78</v>
      </c>
      <c r="U43" s="110" t="s">
        <v>72</v>
      </c>
      <c r="V43" s="16">
        <v>45796</v>
      </c>
      <c r="W43" s="16">
        <v>45796</v>
      </c>
      <c r="X43" s="80"/>
      <c r="Y43" s="79">
        <v>0.33500000000000002</v>
      </c>
      <c r="Z43" s="79">
        <v>0.33200000000000002</v>
      </c>
      <c r="AA43" s="79">
        <f>+Tabla2[[#This Row],[Precio compra]]+Tabla2[[#This Row],[Div.]]</f>
        <v>0.33200000000000002</v>
      </c>
      <c r="AB43" s="96"/>
      <c r="AC43" s="79">
        <v>0.45</v>
      </c>
      <c r="AD43" s="79">
        <f>+Tabla2[[#This Row],[Objetivo div2]]+Tabla2[[#This Row],[Div.]]</f>
        <v>0.45</v>
      </c>
      <c r="AE43" s="159">
        <f ca="1">IF(Z43="-",+AC43/Y43-1,AC43/D43-1)</f>
        <v>-3.6402569593147804E-2</v>
      </c>
      <c r="AF43" s="81">
        <v>0.53</v>
      </c>
      <c r="AG43" s="253">
        <f ca="1">IF(Z43="-",+AF43/D43-1,AF43/D43-1)</f>
        <v>0.13490364025695922</v>
      </c>
      <c r="AH43" s="81">
        <v>0.312</v>
      </c>
      <c r="AI43" s="147">
        <f ca="1">IF(Z43="-",AH43/Y43-1,+AH43/D43-1)</f>
        <v>-0.3319057815845825</v>
      </c>
      <c r="AJ43" s="121">
        <f ca="1">IF(Z43="-","-",+(D43/Z43)-1)</f>
        <v>0.40662650602409633</v>
      </c>
      <c r="AK43" s="120">
        <f ca="1">IF(AA43="-","-",+(D43/AA43)-1)</f>
        <v>0.40662650602409633</v>
      </c>
      <c r="AM43" s="49" t="str">
        <f>IF(AL43=0,"-",+AL43/Z43-1)</f>
        <v>-</v>
      </c>
      <c r="AN43" s="28">
        <f ca="1">+D43/Y43-1</f>
        <v>0.39402985074626873</v>
      </c>
      <c r="AO43" s="75">
        <f ca="1">VLOOKUP(Tabla2[[#This Row],[TCKR]],'2026'!$D$5:$AH$257,8,FALSE)</f>
        <v>30063</v>
      </c>
      <c r="AP43" s="193">
        <f ca="1">VLOOKUP(Tabla2[[#This Row],[TCKR]],'2026'!$D$5:$AH$257,26,FALSE)</f>
        <v>3176.9396902272147</v>
      </c>
      <c r="AQ43" s="5" cm="1">
        <f t="array" aca="1" ref="AQ43" ca="1">_FV(Tabla2[[#This Row],[valor]],"P/E",TRUE)</f>
        <v>100.68089999999999</v>
      </c>
      <c r="AR43" s="4"/>
      <c r="AT43" s="193">
        <f ca="1">+Tabla2[[#This Row],[Titulos2]]*Tabla2[[#This Row],[Neto]]</f>
        <v>0</v>
      </c>
      <c r="AU43" s="28">
        <f>+Tabla2[[#This Row],[Neto]]/Tabla2[[#This Row],[Precio compra2]]</f>
        <v>0</v>
      </c>
    </row>
    <row r="44" spans="1:47" ht="16" customHeight="1" x14ac:dyDescent="0.2">
      <c r="A44" s="323" t="e" vm="125">
        <v>#VALUE!</v>
      </c>
      <c r="B44" s="75" t="str" cm="1">
        <f t="array" aca="1" ref="B44" ca="1">_FV(A44,"Ticker symbol",TRUE)</f>
        <v>NOV</v>
      </c>
      <c r="C44" s="217" cm="1">
        <f t="array" aca="1" ref="C44" ca="1">_FV(A44,"Change (%)",TRUE)</f>
        <v>1.5609999999999999E-2</v>
      </c>
      <c r="D44" s="144" cm="1">
        <f t="array" aca="1" ref="D44" ca="1">_FV(A44,"Price")</f>
        <v>20.82</v>
      </c>
      <c r="E44" s="159">
        <f ca="1">AE44</f>
        <v>-3.7859760973279921E-2</v>
      </c>
      <c r="F44" s="321">
        <f ca="1">+Tabla2[[#This Row],[Rentab. Parcial]]</f>
        <v>0.26642335766423342</v>
      </c>
      <c r="G44" s="321">
        <f ca="1">+Tabla2[[#This Row],[Rentab. Parcial2]]</f>
        <v>0.25058262738524872</v>
      </c>
      <c r="H44" s="253">
        <f ca="1">+Tabla2[[#This Row],[Difer. Investing]]</f>
        <v>-8.1652257444765342E-3</v>
      </c>
      <c r="I44" s="79">
        <f ca="1">+Tabla2[[#This Row],[Objetivo div2]]</f>
        <v>20.031759776536312</v>
      </c>
      <c r="J44" s="75" cm="1">
        <f t="array" aca="1" ref="J44" ca="1">_FV(A44,"High")</f>
        <v>20.93</v>
      </c>
      <c r="K44" s="75" cm="1">
        <f t="array" aca="1" ref="K44" ca="1">_FV(A44,"Low")</f>
        <v>20.425000000000001</v>
      </c>
      <c r="L44" s="75" cm="1">
        <f t="array" aca="1" ref="L44" ca="1">_FV(Tabla2[[#This Row],[valor]],"52 week high",TRUE)</f>
        <v>20.93</v>
      </c>
      <c r="M44" s="75">
        <f ca="1">+L44*0.9</f>
        <v>18.837</v>
      </c>
      <c r="N44" s="75">
        <f ca="1">+L44*0.95</f>
        <v>19.883499999999998</v>
      </c>
      <c r="O44" s="75" cm="1">
        <f t="array" aca="1" ref="O44" ca="1">_FV(A44,"52 week low",TRUE)</f>
        <v>11.239800000000001</v>
      </c>
      <c r="P44" s="220">
        <f ca="1">+TODAY()-Tabla2[[#This Row],[F. compra]]</f>
        <v>446</v>
      </c>
      <c r="Q44" s="220">
        <f ca="1">GESTEP(D44,M44)</f>
        <v>1</v>
      </c>
      <c r="R44" s="220">
        <f ca="1">GESTEP(D44,N44)</f>
        <v>1</v>
      </c>
      <c r="S44" s="75" t="s">
        <v>166</v>
      </c>
      <c r="T44" s="110" t="s">
        <v>78</v>
      </c>
      <c r="U44" s="110" t="s">
        <v>26</v>
      </c>
      <c r="V44" s="16">
        <v>45694</v>
      </c>
      <c r="W44" s="16">
        <v>45694</v>
      </c>
      <c r="X44" s="80"/>
      <c r="Y44" s="79">
        <f ca="1">16.44-Tabla2[[#This Row],[Div.]]</f>
        <v>16.231759776536315</v>
      </c>
      <c r="Z44" s="79">
        <v>16.440000000000001</v>
      </c>
      <c r="AA44" s="79">
        <f ca="1">+Tabla2[[#This Row],[Precio compra]]+Tabla2[[#This Row],[Div.]]</f>
        <v>16.648240223463688</v>
      </c>
      <c r="AB44" s="96">
        <f ca="1">0.13+'dividendos 26'!E54</f>
        <v>0.20824022346368715</v>
      </c>
      <c r="AC44" s="79">
        <f ca="1">20.24-Tabla2[[#This Row],[Div.]]</f>
        <v>20.031759776536312</v>
      </c>
      <c r="AD44" s="79">
        <f ca="1">+Tabla2[[#This Row],[Objetivo div2]]+Tabla2[[#This Row],[Div.]]</f>
        <v>20.239999999999998</v>
      </c>
      <c r="AE44" s="159">
        <f ca="1">IF(Z44="-",+AC44/Y44-1,AC44/D44-1)</f>
        <v>-3.7859760973279921E-2</v>
      </c>
      <c r="AF44" s="81">
        <v>20.65</v>
      </c>
      <c r="AG44" s="253">
        <f ca="1">IF(Z44="-",+AF44/D44-1,AF44/D44-1)</f>
        <v>-8.1652257444765342E-3</v>
      </c>
      <c r="AH44" s="81">
        <f ca="1">14.56-Tabla2[[#This Row],[Div.]]</f>
        <v>14.351759776536314</v>
      </c>
      <c r="AI44" s="147">
        <f ca="1">IF(Z44="-",AH44/Y44-1,+AH44/D44-1)</f>
        <v>-0.31067436231814061</v>
      </c>
      <c r="AJ44" s="121">
        <f ca="1">IF(Z44="-","-",+(D44/Z44)-1)</f>
        <v>0.26642335766423342</v>
      </c>
      <c r="AK44" s="120">
        <f ca="1">IF(AA44="-","-",+(D44/AA44)-1)</f>
        <v>0.25058262738524872</v>
      </c>
      <c r="AM44" s="49" t="str">
        <f>IF(AL44=0,"-",+AL44/Z44-1)</f>
        <v>-</v>
      </c>
      <c r="AN44" s="28">
        <f ca="1">+D44/Y44-1</f>
        <v>0.28267053521184926</v>
      </c>
      <c r="AO44" s="75">
        <f ca="1">VLOOKUP(Tabla2[[#This Row],[TCKR]],'2026'!$D$5:$AH$257,8,FALSE)</f>
        <v>358</v>
      </c>
      <c r="AP44" s="193">
        <f ca="1">VLOOKUP(Tabla2[[#This Row],[TCKR]],'2026'!$D$5:$AH$257,26,FALSE)</f>
        <v>500.01975680438949</v>
      </c>
      <c r="AQ44" s="5" cm="1">
        <f t="array" aca="1" ref="AQ44" ca="1">_FV(Tabla2[[#This Row],[valor]],"P/E",TRUE)</f>
        <v>55.3429</v>
      </c>
      <c r="AR44" s="4"/>
      <c r="AT44" s="193">
        <f ca="1">+Tabla2[[#This Row],[Titulos2]]*Tabla2[[#This Row],[Neto]]</f>
        <v>0</v>
      </c>
      <c r="AU44" s="28">
        <f ca="1">+Tabla2[[#This Row],[Neto]]/Tabla2[[#This Row],[Precio compra2]]</f>
        <v>0</v>
      </c>
    </row>
    <row r="45" spans="1:47" ht="16" customHeight="1" x14ac:dyDescent="0.2">
      <c r="A45" s="325" t="e" vm="61">
        <v>#VALUE!</v>
      </c>
      <c r="B45" s="75" t="str" cm="1">
        <f t="array" aca="1" ref="B45" ca="1">_FV(A45,"Ticker symbol",TRUE)</f>
        <v>EDIT</v>
      </c>
      <c r="C45" s="217" cm="1">
        <f t="array" aca="1" ref="C45" ca="1">_FV(A45,"Change (%)",TRUE)</f>
        <v>-6.8730000000000006E-3</v>
      </c>
      <c r="D45" s="144" cm="1">
        <f t="array" aca="1" ref="D45" ca="1">_FV(A45,"Price")</f>
        <v>2.89</v>
      </c>
      <c r="E45" s="289">
        <f ca="1">AE45</f>
        <v>-3.4602076124568004E-3</v>
      </c>
      <c r="F45" s="321">
        <f ca="1">+Tabla2[[#This Row],[Rentab. Parcial]]</f>
        <v>0.2297872340425533</v>
      </c>
      <c r="G45" s="321">
        <f ca="1">+Tabla2[[#This Row],[Rentab. Parcial2]]</f>
        <v>0.2297872340425533</v>
      </c>
      <c r="H45" s="253">
        <f ca="1">+Tabla2[[#This Row],[Difer. Investing]]</f>
        <v>0.7750865051903113</v>
      </c>
      <c r="I45" s="79">
        <f>+Tabla2[[#This Row],[Objetivo div2]]</f>
        <v>2.88</v>
      </c>
      <c r="J45" s="75" cm="1">
        <f t="array" aca="1" ref="J45" ca="1">_FV(A45,"High")</f>
        <v>3.12</v>
      </c>
      <c r="K45" s="75" cm="1">
        <f t="array" aca="1" ref="K45" ca="1">_FV(A45,"Low")</f>
        <v>2.81</v>
      </c>
      <c r="L45" s="75" cm="1">
        <f t="array" aca="1" ref="L45" ca="1">_FV(Tabla2[[#This Row],[valor]],"52 week high",TRUE)</f>
        <v>4.5372000000000003</v>
      </c>
      <c r="M45" s="75">
        <f ca="1">+L45*0.9</f>
        <v>4.0834800000000007</v>
      </c>
      <c r="N45" s="75">
        <f ca="1">+L45*0.95</f>
        <v>4.3103400000000001</v>
      </c>
      <c r="O45" s="75" cm="1">
        <f t="array" aca="1" ref="O45" ca="1">_FV(A45,"52 week low",TRUE)</f>
        <v>1.29</v>
      </c>
      <c r="P45" s="220">
        <f ca="1">+TODAY()-Tabla2[[#This Row],[F. compra]]</f>
        <v>95</v>
      </c>
      <c r="Q45" s="220">
        <f ca="1">GESTEP(D45,M45)</f>
        <v>0</v>
      </c>
      <c r="R45" s="220">
        <f ca="1">GESTEP(D45,N45)</f>
        <v>0</v>
      </c>
      <c r="S45" s="75" t="s">
        <v>75</v>
      </c>
      <c r="T45" s="110" t="s">
        <v>78</v>
      </c>
      <c r="U45" s="110" t="s">
        <v>199</v>
      </c>
      <c r="V45" s="16">
        <v>46045</v>
      </c>
      <c r="W45" s="16">
        <v>46045</v>
      </c>
      <c r="X45" s="80"/>
      <c r="Y45" s="79">
        <v>2.35</v>
      </c>
      <c r="Z45" s="79">
        <v>2.35</v>
      </c>
      <c r="AA45" s="79">
        <v>2.35</v>
      </c>
      <c r="AB45" s="79"/>
      <c r="AC45" s="79">
        <v>2.88</v>
      </c>
      <c r="AD45" s="79">
        <f>+Tabla2[[#This Row],[Objetivo div2]]+Tabla2[[#This Row],[Div.]]</f>
        <v>2.88</v>
      </c>
      <c r="AE45" s="289">
        <f ca="1">IF(Z45="-",+AC45/Y45-1,AC45/D45-1)</f>
        <v>-3.4602076124568004E-3</v>
      </c>
      <c r="AF45" s="76">
        <v>5.13</v>
      </c>
      <c r="AG45" s="253">
        <f ca="1">IF(Z45="-",+AF45/D45-1,AF45/D45-1)</f>
        <v>0.7750865051903113</v>
      </c>
      <c r="AH45" s="76">
        <v>1.99</v>
      </c>
      <c r="AI45" s="147">
        <f ca="1">IF(Z45="-",AH45/Y45-1,+AH45/D45-1)</f>
        <v>-0.31141868512110726</v>
      </c>
      <c r="AJ45" s="121">
        <f ca="1">IF(Z45="-","-",+(D45/Z45)-1)</f>
        <v>0.2297872340425533</v>
      </c>
      <c r="AK45" s="120">
        <f ca="1">IF(AA45="-","-",+(D45/AA45)-1)</f>
        <v>0.2297872340425533</v>
      </c>
      <c r="AM45" s="49" t="str">
        <f>IF(AL45=0,"-",+AL45/Z45-1)</f>
        <v>-</v>
      </c>
      <c r="AN45" s="28">
        <f ca="1">+D45/Y45-1</f>
        <v>0.2297872340425533</v>
      </c>
      <c r="AO45" s="75">
        <f ca="1">VLOOKUP(Tabla2[[#This Row],[TCKR]],'2026'!$D$5:$AH$257,8,FALSE)</f>
        <v>4500</v>
      </c>
      <c r="AP45" s="193">
        <f ca="1">VLOOKUP(Tabla2[[#This Row],[TCKR]],'2026'!$D$5:$AH$257,26,FALSE)</f>
        <v>1656.2449114488159</v>
      </c>
      <c r="AR45" s="4"/>
      <c r="AU45" s="28"/>
    </row>
    <row r="46" spans="1:47" ht="16" customHeight="1" x14ac:dyDescent="0.2">
      <c r="A46" s="75" t="e" vm="134">
        <v>#VALUE!</v>
      </c>
      <c r="B46" s="75" t="str" cm="1">
        <f t="array" aca="1" ref="B46" ca="1">_FV(A46,"Ticker symbol",TRUE)</f>
        <v>PHM</v>
      </c>
      <c r="C46" s="217" cm="1">
        <f t="array" aca="1" ref="C46" ca="1">_FV(A46,"Change (%)",TRUE)</f>
        <v>2.3243999999999997E-2</v>
      </c>
      <c r="D46" s="144" cm="1">
        <f t="array" aca="1" ref="D46" ca="1">_FV(A46,"Price")</f>
        <v>96.85</v>
      </c>
      <c r="E46" s="159">
        <f ca="1">AE46</f>
        <v>-1.9617965926690628E-2</v>
      </c>
      <c r="F46" s="321">
        <f ca="1">+Tabla2[[#This Row],[Rentab. Parcial]]</f>
        <v>0.16336336336336332</v>
      </c>
      <c r="G46" s="321">
        <f ca="1">+Tabla2[[#This Row],[Rentab. Parcial2]]</f>
        <v>0.16336336336336332</v>
      </c>
      <c r="H46" s="253">
        <f ca="1">+Tabla2[[#This Row],[Difer. Investing]]</f>
        <v>4.2849767681982565E-2</v>
      </c>
      <c r="I46" s="79">
        <f>+Tabla2[[#This Row],[Objetivo div2]]</f>
        <v>94.95</v>
      </c>
      <c r="J46" s="75" cm="1">
        <f t="array" aca="1" ref="J46" ca="1">_FV(A46,"High")</f>
        <v>97</v>
      </c>
      <c r="K46" s="75" cm="1">
        <f t="array" aca="1" ref="K46" ca="1">_FV(A46,"Low")</f>
        <v>94.35</v>
      </c>
      <c r="L46" s="75" cm="1">
        <f t="array" aca="1" ref="L46" ca="1">_FV(Tabla2[[#This Row],[valor]],"52 week high",TRUE)</f>
        <v>102.4</v>
      </c>
      <c r="M46" s="75">
        <f ca="1">+Tabla2[[#This Row],[52 high]]*0.9</f>
        <v>92.160000000000011</v>
      </c>
      <c r="N46" s="75">
        <f ca="1">+Tabla2[[#This Row],[52 high]]*0.95</f>
        <v>97.28</v>
      </c>
      <c r="O46" s="75" cm="1">
        <f t="array" aca="1" ref="O46" ca="1">_FV(Tabla2[[#This Row],[valor]],"52 week low",TRUE)</f>
        <v>70.099999999999994</v>
      </c>
      <c r="P46" s="220">
        <f ca="1">+TODAY()-Tabla2[[#This Row],[F. compra]]</f>
        <v>477</v>
      </c>
      <c r="Q46" s="220">
        <f ca="1">GESTEP(Tabla2[[#This Row],[price]],Tabla2[[#This Row],[HIGH 10%]])</f>
        <v>1</v>
      </c>
      <c r="R46" s="220">
        <f ca="1">GESTEP(Tabla2[[#This Row],[price]],Tabla2[[#This Row],[HIGH 5%]])</f>
        <v>0</v>
      </c>
      <c r="S46" s="75" t="s">
        <v>75</v>
      </c>
      <c r="T46" s="110" t="s">
        <v>78</v>
      </c>
      <c r="U46" s="110" t="s">
        <v>72</v>
      </c>
      <c r="V46" s="16">
        <v>45663</v>
      </c>
      <c r="W46" s="16">
        <v>45663</v>
      </c>
      <c r="X46" s="80" t="s">
        <v>11</v>
      </c>
      <c r="Y46" s="79">
        <v>83.3</v>
      </c>
      <c r="Z46" s="79">
        <v>83.25</v>
      </c>
      <c r="AA46" s="79">
        <f>+Tabla2[[#This Row],[Precio compra]]+Tabla2[[#This Row],[Div.]]</f>
        <v>83.25</v>
      </c>
      <c r="AB46" s="96"/>
      <c r="AC46" s="79">
        <v>94.95</v>
      </c>
      <c r="AD46" s="79">
        <f>+Tabla2[[#This Row],[Objetivo div2]]+Tabla2[[#This Row],[Div.]]</f>
        <v>94.95</v>
      </c>
      <c r="AE46" s="159">
        <f ca="1">IF(Z46="-",+AC46/Y46-1,AC46/D46-1)</f>
        <v>-1.9617965926690628E-2</v>
      </c>
      <c r="AF46" s="81">
        <v>101</v>
      </c>
      <c r="AG46" s="253">
        <f ca="1">IF(Z46="-",+AF46/D46-1,AF46/D46-1)</f>
        <v>4.2849767681982565E-2</v>
      </c>
      <c r="AH46" s="81">
        <v>71.849999999999994</v>
      </c>
      <c r="AI46" s="147">
        <f ca="1">IF(Z46="-",AH46/Y46-1,+AH46/D46-1)</f>
        <v>-0.25813113061435211</v>
      </c>
      <c r="AJ46" s="121">
        <f ca="1">IF(Z46="-","-",+(D46/Z46)-1)</f>
        <v>0.16336336336336332</v>
      </c>
      <c r="AK46" s="120">
        <f ca="1">IF(AA46="-","-",+(D46/AA46)-1)</f>
        <v>0.16336336336336332</v>
      </c>
      <c r="AM46" s="49" t="str">
        <f>IF(AL46=0,"-",+AL46/Z46-1)</f>
        <v>-</v>
      </c>
      <c r="AN46" s="28">
        <f ca="1">+D46/Y46-1</f>
        <v>0.16266506602641062</v>
      </c>
      <c r="AO46" s="75">
        <f ca="1">VLOOKUP(Tabla2[[#This Row],[TCKR]],'2026'!$D$5:$AH$257,8,FALSE)</f>
        <v>484</v>
      </c>
      <c r="AP46" s="193">
        <f ca="1">VLOOKUP(Tabla2[[#This Row],[TCKR]],'2026'!$D$5:$AH$257,26,FALSE)</f>
        <v>20644.051709745705</v>
      </c>
      <c r="AQ46" s="5" cm="1">
        <f t="array" aca="1" ref="AQ46" ca="1">_FV(Tabla2[[#This Row],[valor]],"P/E",TRUE)</f>
        <v>21.702200000000001</v>
      </c>
      <c r="AR46" s="4"/>
      <c r="AT46" s="193">
        <f ca="1">+Tabla2[[#This Row],[Titulos2]]*Tabla2[[#This Row],[Neto]]</f>
        <v>0</v>
      </c>
      <c r="AU46" s="28">
        <f>+Tabla2[[#This Row],[Neto]]/Tabla2[[#This Row],[Precio compra2]]</f>
        <v>0</v>
      </c>
    </row>
    <row r="47" spans="1:47" ht="16" customHeight="1" x14ac:dyDescent="0.2">
      <c r="A47" s="75" t="e" vm="16">
        <v>#VALUE!</v>
      </c>
      <c r="B47" s="75" t="str" cm="1">
        <f t="array" aca="1" ref="B47" ca="1">_FV(A47,"Ticker symbol",TRUE)</f>
        <v>AMP</v>
      </c>
      <c r="C47" s="217" cm="1">
        <f t="array" aca="1" ref="C47" ca="1">_FV(A47,"Change (%)",TRUE)</f>
        <v>-5.4819999999999999E-3</v>
      </c>
      <c r="D47" s="144" cm="1">
        <f t="array" aca="1" ref="D47" ca="1">_FV(A47,"Price")</f>
        <v>0.18140000000000001</v>
      </c>
      <c r="E47" s="159">
        <f ca="1">AE47</f>
        <v>-4.4101433296581671E-3</v>
      </c>
      <c r="F47" s="321">
        <f ca="1">+Tabla2[[#This Row],[Rentab. Parcial]]</f>
        <v>0.1981505944517834</v>
      </c>
      <c r="G47" s="321">
        <f ca="1">+Tabla2[[#This Row],[Rentab. Parcial2]]</f>
        <v>0.1981505944517834</v>
      </c>
      <c r="H47" s="253">
        <f ca="1">+Tabla2[[#This Row],[Difer. Investing]]</f>
        <v>5.8434399117971214E-2</v>
      </c>
      <c r="I47" s="79">
        <f>+Tabla2[[#This Row],[Objetivo div2]]</f>
        <v>0.18060000000000001</v>
      </c>
      <c r="J47" s="75" cm="1">
        <f t="array" aca="1" ref="J47" ca="1">_FV(A47,"High")</f>
        <v>0.18440000000000001</v>
      </c>
      <c r="K47" s="75" cm="1">
        <f t="array" aca="1" ref="K47" ca="1">_FV(A47,"Low")</f>
        <v>0.1782</v>
      </c>
      <c r="L47" s="75" cm="1">
        <f t="array" aca="1" ref="L47" ca="1">_FV(Tabla2[[#This Row],[valor]],"52 week high",TRUE)</f>
        <v>0.20699999999999999</v>
      </c>
      <c r="M47" s="75">
        <f ca="1">+L47*0.9</f>
        <v>0.18629999999999999</v>
      </c>
      <c r="N47" s="75">
        <f ca="1">+L47*0.95</f>
        <v>0.19664999999999999</v>
      </c>
      <c r="O47" s="75" cm="1">
        <f t="array" aca="1" ref="O47" ca="1">_FV(A47,"52 week low",TRUE)</f>
        <v>0.123</v>
      </c>
      <c r="P47" s="220">
        <f ca="1">+TODAY()-Tabla2[[#This Row],[F. compra]]</f>
        <v>356</v>
      </c>
      <c r="Q47" s="220">
        <f ca="1">GESTEP(D47,M47)</f>
        <v>0</v>
      </c>
      <c r="R47" s="220">
        <f ca="1">GESTEP(D47,N47)</f>
        <v>0</v>
      </c>
      <c r="S47" s="75" t="s">
        <v>75</v>
      </c>
      <c r="T47" s="110" t="s">
        <v>78</v>
      </c>
      <c r="V47" s="16">
        <v>45784</v>
      </c>
      <c r="W47" s="16">
        <v>45784</v>
      </c>
      <c r="X47" s="80"/>
      <c r="Y47" s="79">
        <v>0.15140000000000001</v>
      </c>
      <c r="Z47" s="79">
        <v>0.15140000000000001</v>
      </c>
      <c r="AA47" s="79">
        <f>+Tabla2[[#This Row],[Precio compra]]+Tabla2[[#This Row],[Div.]]</f>
        <v>0.15140000000000001</v>
      </c>
      <c r="AB47" s="96"/>
      <c r="AC47" s="79">
        <v>0.18060000000000001</v>
      </c>
      <c r="AD47" s="79">
        <f>+Tabla2[[#This Row],[Objetivo div2]]+Tabla2[[#This Row],[Div.]]</f>
        <v>0.18060000000000001</v>
      </c>
      <c r="AE47" s="159">
        <f ca="1">IF(Z47="-",+AC47/Y47-1,AC47/D47-1)</f>
        <v>-4.4101433296581671E-3</v>
      </c>
      <c r="AF47" s="81">
        <v>0.192</v>
      </c>
      <c r="AG47" s="253">
        <f ca="1">IF(Z47="-",+AF47/D47-1,AF47/D47-1)</f>
        <v>5.8434399117971214E-2</v>
      </c>
      <c r="AH47" s="81">
        <v>0.1368</v>
      </c>
      <c r="AI47" s="147">
        <f ca="1">IF(Z47="-",AH47/Y47-1,+AH47/D47-1)</f>
        <v>-0.24586549062844543</v>
      </c>
      <c r="AJ47" s="121">
        <f ca="1">IF(Z47="-","-",+(D47/Z47)-1)</f>
        <v>0.1981505944517834</v>
      </c>
      <c r="AK47" s="120">
        <f ca="1">IF(AA47="-","-",+(D47/AA47)-1)</f>
        <v>0.1981505944517834</v>
      </c>
      <c r="AM47" s="49" t="str">
        <f>IF(AL47=0,"-",+AL47/Z47-1)</f>
        <v>-</v>
      </c>
      <c r="AN47" s="28">
        <f ca="1">+D47/Y47-1</f>
        <v>0.1981505944517834</v>
      </c>
      <c r="AO47" s="75">
        <f ca="1">VLOOKUP(Tabla2[[#This Row],[TCKR]],'2026'!$D$5:$AH$257,8,FALSE)</f>
        <v>41782</v>
      </c>
      <c r="AP47" s="193">
        <f ca="1">VLOOKUP(Tabla2[[#This Row],[TCKR]],'2026'!$D$5:$AH$257,26,FALSE)</f>
        <v>-1929.2875787024391</v>
      </c>
      <c r="AQ47" s="5" cm="1">
        <f t="array" aca="1" ref="AQ47" ca="1">_FV(Tabla2[[#This Row],[valor]],"P/E",TRUE)</f>
        <v>152</v>
      </c>
      <c r="AR47" s="4"/>
      <c r="AT47" s="193">
        <f ca="1">+Tabla2[[#This Row],[Titulos2]]*Tabla2[[#This Row],[Neto]]</f>
        <v>0</v>
      </c>
      <c r="AU47" s="28">
        <f>+Tabla2[[#This Row],[Neto]]/Tabla2[[#This Row],[Precio compra2]]</f>
        <v>0</v>
      </c>
    </row>
    <row r="48" spans="1:47" ht="16" customHeight="1" x14ac:dyDescent="0.2">
      <c r="A48" s="75" t="e" vm="69">
        <v>#VALUE!</v>
      </c>
      <c r="B48" s="75" t="str" cm="1">
        <f t="array" aca="1" ref="B48" ca="1">_FV(A48,"Ticker symbol",TRUE)</f>
        <v>YACHT</v>
      </c>
      <c r="C48" s="217" cm="1">
        <f t="array" aca="1" ref="C48" ca="1">_FV(A48,"Change (%)",TRUE)</f>
        <v>1.2048000000000001E-2</v>
      </c>
      <c r="D48" s="144" cm="1">
        <f t="array" aca="1" ref="D48" ca="1">_FV(A48,"Price")</f>
        <v>4.032</v>
      </c>
      <c r="E48" s="159">
        <v>0.01</v>
      </c>
      <c r="F48" s="321">
        <f ca="1">+Tabla2[[#This Row],[Rentab. Parcial]]</f>
        <v>0.26672950047125354</v>
      </c>
      <c r="G48" s="321">
        <f ca="1">+Tabla2[[#This Row],[Rentab. Parcial2]]</f>
        <v>0.19289940828402363</v>
      </c>
      <c r="H48" s="253">
        <f ca="1">+Tabla2[[#This Row],[Difer. Investing]]</f>
        <v>1.6865079365079305E-2</v>
      </c>
      <c r="I48" s="79">
        <f>+Tabla2[[#This Row],[Objetivo div2]]</f>
        <v>3.923</v>
      </c>
      <c r="J48" s="75" cm="1">
        <f t="array" aca="1" ref="J48" ca="1">_FV(A48,"High")</f>
        <v>4.1059999999999999</v>
      </c>
      <c r="K48" s="75" cm="1">
        <f t="array" aca="1" ref="K48" ca="1">_FV(A48,"Low")</f>
        <v>3.7360000000000002</v>
      </c>
      <c r="L48" s="75" t="e" cm="1" vm="224">
        <f t="array" ref="L48">_FV(Tabla2[[#This Row],[valor]],"52 week high",TRUE)</f>
        <v>#VALUE!</v>
      </c>
      <c r="M48" s="75" t="e" vm="225">
        <f>+L48*0.9</f>
        <v>#VALUE!</v>
      </c>
      <c r="N48" s="75" t="e" vm="225">
        <f>+L48*0.95</f>
        <v>#VALUE!</v>
      </c>
      <c r="O48" s="75" t="e" cm="1" vm="226">
        <f t="array" ref="O48">_FV(A48,"52 week low",TRUE)</f>
        <v>#VALUE!</v>
      </c>
      <c r="P48" s="220">
        <f ca="1">+TODAY()-Tabla2[[#This Row],[F. compra]]</f>
        <v>784</v>
      </c>
      <c r="Q48" s="220" t="e" vm="225">
        <f>GESTEP(D48,M48)</f>
        <v>#VALUE!</v>
      </c>
      <c r="R48" s="220" t="e" vm="225">
        <f>GESTEP(D48,N48)</f>
        <v>#VALUE!</v>
      </c>
      <c r="S48" s="75" t="s">
        <v>75</v>
      </c>
      <c r="T48" s="110" t="s">
        <v>78</v>
      </c>
      <c r="U48" s="110" t="s">
        <v>72</v>
      </c>
      <c r="V48" s="16">
        <v>45355</v>
      </c>
      <c r="W48" s="16">
        <v>45356</v>
      </c>
      <c r="X48" s="80" t="s">
        <v>11</v>
      </c>
      <c r="Y48" s="79">
        <v>3.3719999999999999</v>
      </c>
      <c r="Z48" s="79">
        <f>3.38-Tabla2[[#This Row],[Div.]]</f>
        <v>3.1829999999999998</v>
      </c>
      <c r="AA48" s="79">
        <f>+Tabla2[[#This Row],[Precio compra]]+Tabla2[[#This Row],[Div.]]</f>
        <v>3.38</v>
      </c>
      <c r="AB48" s="96">
        <v>0.19700000000000001</v>
      </c>
      <c r="AC48" s="79">
        <f>4.12-Tabla2[[#This Row],[Div.]]</f>
        <v>3.923</v>
      </c>
      <c r="AD48" s="79">
        <f>+Tabla2[[#This Row],[Objetivo div2]]+Tabla2[[#This Row],[Div.]]</f>
        <v>4.12</v>
      </c>
      <c r="AE48" s="159">
        <f ca="1">IF(Z48="-",+AC48/Y48-1,AC48/D48-1)</f>
        <v>-2.7033730158730118E-2</v>
      </c>
      <c r="AF48" s="81">
        <v>4.0999999999999996</v>
      </c>
      <c r="AG48" s="253">
        <f ca="1">IF(Z48="-",+AF48/D48-1,AF48/D48-1)</f>
        <v>1.6865079365079305E-2</v>
      </c>
      <c r="AH48" s="81">
        <f>2.996-Tabla2[[#This Row],[Div.]]</f>
        <v>2.7989999999999999</v>
      </c>
      <c r="AI48" s="147">
        <f ca="1">IF(Z48="-",AH48/Y48-1,+AH48/D48-1)</f>
        <v>-0.3058035714285714</v>
      </c>
      <c r="AJ48" s="121">
        <f ca="1">IF(Z48="-","-",+(D48/Z48)-1)</f>
        <v>0.26672950047125354</v>
      </c>
      <c r="AK48" s="120">
        <f ca="1">IF(AA48="-","-",+(D48/AA48)-1)</f>
        <v>0.19289940828402363</v>
      </c>
      <c r="AM48" s="49" t="str">
        <f>IF(AL48=0,"-",+AL48/Z48-1)</f>
        <v>-</v>
      </c>
      <c r="AN48" s="28">
        <f ca="1">+D48/Y48-1</f>
        <v>0.19572953736654819</v>
      </c>
      <c r="AO48" s="75">
        <f ca="1">VLOOKUP(Tabla2[[#This Row],[TCKR]],'2026'!$D$5:$AH$257,8,FALSE)</f>
        <v>2529</v>
      </c>
      <c r="AP48" s="193">
        <f ca="1">VLOOKUP(Tabla2[[#This Row],[TCKR]],'2026'!$D$5:$AH$257,26,FALSE)</f>
        <v>1271.314773700733</v>
      </c>
      <c r="AQ48" s="5" cm="1">
        <f t="array" aca="1" ref="AQ48" ca="1">_FV(Tabla2[[#This Row],[valor]],"P/E",TRUE)</f>
        <v>14.9831</v>
      </c>
      <c r="AR48" s="4"/>
      <c r="AT48" s="193">
        <f ca="1">+Tabla2[[#This Row],[Titulos2]]*Tabla2[[#This Row],[Neto]]</f>
        <v>0</v>
      </c>
      <c r="AU48" s="28">
        <f>+Tabla2[[#This Row],[Neto]]/Tabla2[[#This Row],[Precio compra2]]</f>
        <v>0</v>
      </c>
    </row>
    <row r="49" spans="1:47" ht="16" customHeight="1" x14ac:dyDescent="0.2">
      <c r="A49" s="75" t="e" vm="227">
        <v>#VALUE!</v>
      </c>
      <c r="B49" s="75" t="str" cm="1">
        <f t="array" aca="1" ref="B49" ca="1">_FV(A49,"Ticker symbol",TRUE)</f>
        <v>WCH</v>
      </c>
      <c r="C49" s="217" cm="1">
        <f t="array" aca="1" ref="C49" ca="1">_FV(A49,"Change (%)",TRUE)</f>
        <v>-1.3028E-2</v>
      </c>
      <c r="D49" s="144" cm="1">
        <f t="array" aca="1" ref="D49" ca="1">_FV(A49,"Price")</f>
        <v>94.7</v>
      </c>
      <c r="E49" s="159">
        <f ca="1">AE49</f>
        <v>1.0559662090813049E-2</v>
      </c>
      <c r="F49" s="321">
        <f ca="1">+Tabla2[[#This Row],[Rentab. Parcial]]</f>
        <v>0.24376149198844232</v>
      </c>
      <c r="G49" s="321">
        <f ca="1">+Tabla2[[#This Row],[Rentab. Parcial2]]</f>
        <v>0.20422177009155651</v>
      </c>
      <c r="H49" s="253">
        <f ca="1">+Tabla2[[#This Row],[Difer. Investing]]</f>
        <v>4.3294614572333412E-3</v>
      </c>
      <c r="I49" s="79">
        <f>+Tabla2[[#This Row],[Objetivo div2]]</f>
        <v>95.7</v>
      </c>
      <c r="J49" s="75" cm="1">
        <f t="array" aca="1" ref="J49" ca="1">_FV(A49,"High")</f>
        <v>94.7</v>
      </c>
      <c r="K49" s="75" cm="1">
        <f t="array" aca="1" ref="K49" ca="1">_FV(A49,"Low")</f>
        <v>94.7</v>
      </c>
      <c r="L49" s="75" cm="1">
        <f t="array" aca="1" ref="L49" ca="1">_FV(Tabla2[[#This Row],[valor]],"52 week high",TRUE)</f>
        <v>185.8</v>
      </c>
      <c r="M49" s="75">
        <f ca="1">+L49*0.9</f>
        <v>167.22000000000003</v>
      </c>
      <c r="N49" s="75">
        <f ca="1">+L49*0.95</f>
        <v>176.51</v>
      </c>
      <c r="O49" s="75" cm="1">
        <f t="array" aca="1" ref="O49" ca="1">_FV(A49,"52 week low",TRUE)</f>
        <v>30.87</v>
      </c>
      <c r="P49" s="220">
        <f ca="1">+TODAY()-Tabla2[[#This Row],[F. compra]]</f>
        <v>411</v>
      </c>
      <c r="Q49" s="220">
        <f ca="1">GESTEP(D49,M49)</f>
        <v>0</v>
      </c>
      <c r="R49" s="220">
        <f ca="1">GESTEP(D49,N49)</f>
        <v>0</v>
      </c>
      <c r="S49" s="75" t="s">
        <v>75</v>
      </c>
      <c r="T49" s="110" t="s">
        <v>78</v>
      </c>
      <c r="U49" s="110" t="s">
        <v>26</v>
      </c>
      <c r="V49" s="16">
        <v>45729</v>
      </c>
      <c r="W49" s="16">
        <v>45729</v>
      </c>
      <c r="X49" s="80"/>
      <c r="Y49" s="79">
        <v>81.02</v>
      </c>
      <c r="Z49" s="79">
        <f>78.64-Tabla2[[#This Row],[Div.]]</f>
        <v>76.14</v>
      </c>
      <c r="AA49" s="79">
        <f>+Tabla2[[#This Row],[Precio compra]]+Tabla2[[#This Row],[Div.]]</f>
        <v>78.64</v>
      </c>
      <c r="AB49" s="96">
        <v>2.5</v>
      </c>
      <c r="AC49" s="79">
        <f>98.2-Tabla2[[#This Row],[Div.]]</f>
        <v>95.7</v>
      </c>
      <c r="AD49" s="79">
        <f>+Tabla2[[#This Row],[Objetivo div2]]+Tabla2[[#This Row],[Div.]]</f>
        <v>98.2</v>
      </c>
      <c r="AE49" s="159">
        <f ca="1">IF(Z49="-",+AC49/Y49-1,AC49/D49-1)</f>
        <v>1.0559662090813049E-2</v>
      </c>
      <c r="AF49" s="81">
        <v>95.11</v>
      </c>
      <c r="AG49" s="253">
        <f ca="1">IF(Z49="-",+AF49/D49-1,AF49/D49-1)</f>
        <v>4.3294614572333412E-3</v>
      </c>
      <c r="AH49" s="81">
        <f>72.44-Tabla2[[#This Row],[Div.]]</f>
        <v>69.94</v>
      </c>
      <c r="AI49" s="147">
        <f ca="1">IF(Z49="-",AH49/Y49-1,+AH49/D49-1)</f>
        <v>-0.26145723336853222</v>
      </c>
      <c r="AJ49" s="121">
        <f ca="1">IF(Z49="-","-",+(D49/Z49)-1)</f>
        <v>0.24376149198844232</v>
      </c>
      <c r="AK49" s="120">
        <f ca="1">IF(AA49="-","-",+(D49/AA49)-1)</f>
        <v>0.20422177009155651</v>
      </c>
      <c r="AM49" s="49" t="str">
        <f>IF(AL49=0,"-",+AL49/Z49-1)</f>
        <v>-</v>
      </c>
      <c r="AN49" s="28">
        <f ca="1">+D49/Y49-1</f>
        <v>0.16884719822266114</v>
      </c>
      <c r="AO49" s="75">
        <f ca="1">VLOOKUP(Tabla2[[#This Row],[TCKR]],'2026'!$D$5:$AH$257,8,FALSE)</f>
        <v>118</v>
      </c>
      <c r="AP49" s="193">
        <f ca="1">VLOOKUP(Tabla2[[#This Row],[TCKR]],'2026'!$D$5:$AH$257,26,FALSE)</f>
        <v>1758.1178943660279</v>
      </c>
      <c r="AQ49" s="5" t="e" cm="1" vm="221">
        <f t="array" ref="AQ49">_FV(Tabla2[[#This Row],[valor]],"P/E",TRUE)</f>
        <v>#VALUE!</v>
      </c>
      <c r="AR49" s="4"/>
      <c r="AT49" s="193">
        <f ca="1">+Tabla2[[#This Row],[Titulos2]]*Tabla2[[#This Row],[Neto]]</f>
        <v>0</v>
      </c>
      <c r="AU49" s="28">
        <f>+Tabla2[[#This Row],[Neto]]/Tabla2[[#This Row],[Precio compra2]]</f>
        <v>0</v>
      </c>
    </row>
    <row r="50" spans="1:47" ht="16" customHeight="1" x14ac:dyDescent="0.2">
      <c r="A50" s="323" t="e" vm="82">
        <v>#VALUE!</v>
      </c>
      <c r="B50" s="75" t="str" cm="1">
        <f t="array" aca="1" ref="B50" ca="1">_FV(A50,"Ticker symbol",TRUE)</f>
        <v>GFS</v>
      </c>
      <c r="C50" s="217" cm="1">
        <f t="array" aca="1" ref="C50" ca="1">_FV(A50,"Change (%)",TRUE)</f>
        <v>-2.3304999999999999E-2</v>
      </c>
      <c r="D50" s="144" cm="1">
        <f t="array" aca="1" ref="D50" ca="1">_FV(A50,"Price")</f>
        <v>60.35</v>
      </c>
      <c r="E50" s="159">
        <f ca="1">AE50</f>
        <v>2.4855012427504874E-3</v>
      </c>
      <c r="F50" s="321">
        <f ca="1">+Tabla2[[#This Row],[Rentab. Parcial]]</f>
        <v>2.1587512454335211E-3</v>
      </c>
      <c r="G50" s="321">
        <f ca="1">+Tabla2[[#This Row],[Rentab. Parcial2]]</f>
        <v>2.1587512454335211E-3</v>
      </c>
      <c r="H50" s="253">
        <f ca="1">+Tabla2[[#This Row],[Difer. Investing]]</f>
        <v>-0.14995857497928755</v>
      </c>
      <c r="I50" s="79">
        <f>+Tabla2[[#This Row],[Objetivo div2]]</f>
        <v>60.5</v>
      </c>
      <c r="J50" s="75" cm="1">
        <f t="array" aca="1" ref="J50" ca="1">_FV(A50,"High")</f>
        <v>61.98</v>
      </c>
      <c r="K50" s="75" cm="1">
        <f t="array" aca="1" ref="K50" ca="1">_FV(A50,"Low")</f>
        <v>59.2</v>
      </c>
      <c r="L50" s="75" cm="1">
        <f t="array" aca="1" ref="L50" ca="1">_FV(Tabla2[[#This Row],[valor]],"52 week high",TRUE)</f>
        <v>65.05</v>
      </c>
      <c r="M50" s="75">
        <f ca="1">+Tabla2[[#This Row],[52 high]]*0.9</f>
        <v>58.545000000000002</v>
      </c>
      <c r="N50" s="75">
        <f ca="1">+Tabla2[[#This Row],[52 high]]*0.95</f>
        <v>61.797499999999992</v>
      </c>
      <c r="O50" s="75" cm="1">
        <f t="array" aca="1" ref="O50" ca="1">_FV(Tabla2[[#This Row],[valor]],"52 week low",TRUE)</f>
        <v>31.51</v>
      </c>
      <c r="P50" s="220">
        <f ca="1">+TODAY()-Tabla2[[#This Row],[F. compra]]</f>
        <v>1484</v>
      </c>
      <c r="Q50" s="220">
        <f ca="1">GESTEP(Tabla2[[#This Row],[price]],Tabla2[[#This Row],[HIGH 10%]])</f>
        <v>1</v>
      </c>
      <c r="R50" s="220">
        <f ca="1">GESTEP(Tabla2[[#This Row],[price]],Tabla2[[#This Row],[HIGH 5%]])</f>
        <v>0</v>
      </c>
      <c r="S50" s="75" t="s">
        <v>75</v>
      </c>
      <c r="T50" s="110" t="s">
        <v>78</v>
      </c>
      <c r="U50" s="110" t="s">
        <v>72</v>
      </c>
      <c r="V50" s="16" t="s">
        <v>11</v>
      </c>
      <c r="W50" s="16">
        <v>44656</v>
      </c>
      <c r="X50" s="80"/>
      <c r="Y50" s="79" t="s">
        <v>11</v>
      </c>
      <c r="Z50" s="79">
        <v>60.22</v>
      </c>
      <c r="AA50" s="79">
        <f>+Tabla2[[#This Row],[Precio compra]]+Tabla2[[#This Row],[Div.]]</f>
        <v>60.22</v>
      </c>
      <c r="AB50" s="96"/>
      <c r="AC50" s="79">
        <v>60.5</v>
      </c>
      <c r="AD50" s="79">
        <f>+Tabla2[[#This Row],[Objetivo div2]]+Tabla2[[#This Row],[Div.]]</f>
        <v>60.5</v>
      </c>
      <c r="AE50" s="159">
        <f ca="1">IF(Z50="-",+AC50/Y50-1,AC50/D50-1)</f>
        <v>2.4855012427504874E-3</v>
      </c>
      <c r="AF50" s="81">
        <v>51.3</v>
      </c>
      <c r="AG50" s="253">
        <f ca="1">IF(Z50="-",+AF50/D50-1,AF50/D50-1)</f>
        <v>-0.14995857497928755</v>
      </c>
      <c r="AH50" s="81" t="s">
        <v>11</v>
      </c>
      <c r="AI50" s="147"/>
      <c r="AJ50" s="121">
        <f ca="1">IF(Z50="-","-",+(D50/Z50)-1)</f>
        <v>2.1587512454335211E-3</v>
      </c>
      <c r="AK50" s="120">
        <f ca="1">IF(AA50="-","-",+(D50/AA50)-1)</f>
        <v>2.1587512454335211E-3</v>
      </c>
      <c r="AM50" s="49" t="str">
        <f>IF(AL50=0,"-",+AL50/Z50-1)</f>
        <v>-</v>
      </c>
      <c r="AN50" s="28" t="e">
        <f ca="1">+D50/Y50-1</f>
        <v>#VALUE!</v>
      </c>
      <c r="AO50" s="75">
        <f ca="1">VLOOKUP(Tabla2[[#This Row],[TCKR]],'2026'!$D$5:$AH$257,8,FALSE)</f>
        <v>260</v>
      </c>
      <c r="AP50" s="193">
        <f ca="1">VLOOKUP(Tabla2[[#This Row],[TCKR]],'2026'!$D$5:$AH$257,26,FALSE)</f>
        <v>-737.03237978047548</v>
      </c>
      <c r="AQ50" s="5" cm="1">
        <f t="array" aca="1" ref="AQ50" ca="1">_FV(Tabla2[[#This Row],[valor]],"P/E",TRUE)</f>
        <v>38.046900000000001</v>
      </c>
      <c r="AR50" s="4"/>
      <c r="AT50" s="193">
        <f ca="1">+Tabla2[[#This Row],[Titulos2]]*Tabla2[[#This Row],[Neto]]</f>
        <v>0</v>
      </c>
      <c r="AU50" s="28">
        <f>+Tabla2[[#This Row],[Neto]]/Tabla2[[#This Row],[Precio compra2]]</f>
        <v>0</v>
      </c>
    </row>
    <row r="51" spans="1:47" ht="16" customHeight="1" x14ac:dyDescent="0.2">
      <c r="A51" s="325" t="e" vm="109">
        <v>#VALUE!</v>
      </c>
      <c r="B51" s="75" t="str" cm="1">
        <f t="array" aca="1" ref="B51" ca="1">_FV(A51,"Ticker symbol",TRUE)</f>
        <v>LDA</v>
      </c>
      <c r="C51" s="217" cm="1">
        <f t="array" aca="1" ref="C51" ca="1">_FV(A51,"Change (%)",TRUE)</f>
        <v>-6.6559999999999996E-3</v>
      </c>
      <c r="D51" s="144" cm="1">
        <f t="array" aca="1" ref="D51" ca="1">_FV(A51,"Price")</f>
        <v>1.194</v>
      </c>
      <c r="E51" s="289">
        <f ca="1">AE51</f>
        <v>2.1950235459369916E-2</v>
      </c>
      <c r="F51" s="321">
        <f ca="1">+Tabla2[[#This Row],[Rentab. Parcial]]</f>
        <v>3.6270706142648601E-2</v>
      </c>
      <c r="G51" s="321">
        <f ca="1">+Tabla2[[#This Row],[Rentab. Parcial2]]</f>
        <v>2.4013722126929649E-2</v>
      </c>
      <c r="H51" s="253">
        <f ca="1">+Tabla2[[#This Row],[Difer. Investing]]</f>
        <v>0.15577889447236171</v>
      </c>
      <c r="I51" s="79">
        <f>+Tabla2[[#This Row],[Objetivo div2]]</f>
        <v>1.2202085811384877</v>
      </c>
      <c r="J51" s="75" cm="1">
        <f t="array" aca="1" ref="J51" ca="1">_FV(A51,"High")</f>
        <v>1.304</v>
      </c>
      <c r="K51" s="75" cm="1">
        <f t="array" aca="1" ref="K51" ca="1">_FV(A51,"Low")</f>
        <v>1.194</v>
      </c>
      <c r="L51" s="75" cm="1">
        <f t="array" aca="1" ref="L51" ca="1">_FV(Tabla2[[#This Row],[valor]],"52 week high",TRUE)</f>
        <v>1.44</v>
      </c>
      <c r="M51" s="75">
        <f ca="1">+L51*0.9</f>
        <v>1.296</v>
      </c>
      <c r="N51" s="75">
        <f ca="1">+L51*0.95</f>
        <v>1.3679999999999999</v>
      </c>
      <c r="O51" s="75" cm="1">
        <f t="array" aca="1" ref="O51" ca="1">_FV(A51,"52 week low",TRUE)</f>
        <v>1.0660000000000001</v>
      </c>
      <c r="P51" s="220">
        <f ca="1">+TODAY()-Tabla2[[#This Row],[F. compra]]</f>
        <v>97</v>
      </c>
      <c r="Q51" s="220">
        <f ca="1">GESTEP(D51,M51)</f>
        <v>0</v>
      </c>
      <c r="R51" s="220">
        <f ca="1">GESTEP(D51,N51)</f>
        <v>0</v>
      </c>
      <c r="S51" s="75" t="s">
        <v>76</v>
      </c>
      <c r="T51" s="110" t="s">
        <v>26</v>
      </c>
      <c r="U51" s="110" t="s">
        <v>72</v>
      </c>
      <c r="V51" s="16">
        <v>46043</v>
      </c>
      <c r="W51" s="16">
        <v>46043</v>
      </c>
      <c r="X51" s="80"/>
      <c r="Y51" s="79">
        <v>1.1499999999999999</v>
      </c>
      <c r="Z51" s="96">
        <f>1.166-Tabla2[[#This Row],[Div.]]</f>
        <v>1.1522085811384877</v>
      </c>
      <c r="AA51" s="96">
        <f>+Tabla2[[#This Row],[Precio compra]]+Tabla2[[#This Row],[Div.]]</f>
        <v>1.1659999999999999</v>
      </c>
      <c r="AB51" s="96">
        <f>+'dividendos 26'!E65</f>
        <v>1.3791418861512321E-2</v>
      </c>
      <c r="AC51" s="79">
        <f>1.234-Tabla2[[#This Row],[Div.]]</f>
        <v>1.2202085811384877</v>
      </c>
      <c r="AD51" s="82">
        <f>+Tabla2[[#This Row],[Objetivo div2]]+Tabla2[[#This Row],[Div.]]</f>
        <v>1.234</v>
      </c>
      <c r="AE51" s="289">
        <f ca="1">IF(Z51="-",+AC51/Y51-1,AC51/D51-1)</f>
        <v>2.1950235459369916E-2</v>
      </c>
      <c r="AF51" s="76">
        <v>1.38</v>
      </c>
      <c r="AG51" s="253">
        <f ca="1">IF(Z51="-",+AF51/D51-1,AF51/D51-1)</f>
        <v>0.15577889447236171</v>
      </c>
      <c r="AH51" s="76">
        <f>160.89-Tabla2[[#This Row],[Div.]]</f>
        <v>160.87620858113848</v>
      </c>
      <c r="AI51" s="145">
        <f ca="1">IF(Z51="-",AH51/Y51-1,+AH51/D51-1)</f>
        <v>133.73719311653139</v>
      </c>
      <c r="AJ51" s="121">
        <f ca="1">IF(Z51="-","-",+(D51/Z51)-1)</f>
        <v>3.6270706142648601E-2</v>
      </c>
      <c r="AK51" s="120">
        <f ca="1">IF(AA51="-","-",+(D51/AA51)-1)</f>
        <v>2.4013722126929649E-2</v>
      </c>
      <c r="AM51" s="49" t="str">
        <f>IF(AL51=0,"-",+AL51/Z51-1)</f>
        <v>-</v>
      </c>
      <c r="AN51" s="28">
        <f ca="1">+D51/Y51-1</f>
        <v>3.8260869565217348E-2</v>
      </c>
      <c r="AO51" s="75"/>
      <c r="AP51" s="193">
        <f ca="1">VLOOKUP(Tabla2[[#This Row],[TCKR]],'2026'!$D$5:$AH$257,26,FALSE)</f>
        <v>149.81511588239596</v>
      </c>
      <c r="AR51" s="4"/>
      <c r="AU51" s="28"/>
    </row>
    <row r="52" spans="1:47" ht="16" customHeight="1" x14ac:dyDescent="0.2">
      <c r="A52" s="75" t="e" vm="23">
        <v>#VALUE!</v>
      </c>
      <c r="B52" s="75" t="str" cm="1">
        <f t="array" aca="1" ref="B52" ca="1">_FV(A52,"Ticker symbol",TRUE)</f>
        <v>A3M</v>
      </c>
      <c r="C52" s="217" cm="1">
        <f t="array" aca="1" ref="C52" ca="1">_FV(A52,"Change (%)",TRUE)</f>
        <v>7.7520000000000002E-3</v>
      </c>
      <c r="D52" s="144" cm="1">
        <f t="array" aca="1" ref="D52" ca="1">_FV(A52,"Price")</f>
        <v>5.2</v>
      </c>
      <c r="E52" s="159">
        <f ca="1">AE52</f>
        <v>2.3076923076922995E-2</v>
      </c>
      <c r="F52" s="321">
        <f ca="1">+Tabla2[[#This Row],[Rentab. Parcial]]</f>
        <v>7.2164948453608213E-2</v>
      </c>
      <c r="G52" s="321">
        <f ca="1">+Tabla2[[#This Row],[Rentab. Parcial2]]</f>
        <v>3.3797216699801069E-2</v>
      </c>
      <c r="H52" s="253">
        <f ca="1">+Tabla2[[#This Row],[Difer. Investing]]</f>
        <v>8.0769230769230704E-2</v>
      </c>
      <c r="I52" s="79">
        <f>+Tabla2[[#This Row],[Objetivo div2]]</f>
        <v>5.32</v>
      </c>
      <c r="J52" s="75" cm="1">
        <f t="array" aca="1" ref="J52" ca="1">_FV(A52,"High")</f>
        <v>5.21</v>
      </c>
      <c r="K52" s="75" cm="1">
        <f t="array" aca="1" ref="K52" ca="1">_FV(A52,"Low")</f>
        <v>5.12</v>
      </c>
      <c r="L52" s="75" cm="1">
        <f t="array" aca="1" ref="L52" ca="1">_FV(Tabla2[[#This Row],[valor]],"52 week high",TRUE)</f>
        <v>6.29</v>
      </c>
      <c r="M52" s="75">
        <f ca="1">+L52*0.9</f>
        <v>5.6610000000000005</v>
      </c>
      <c r="N52" s="75">
        <f ca="1">+L52*0.95</f>
        <v>5.9754999999999994</v>
      </c>
      <c r="O52" s="75" cm="1">
        <f t="array" aca="1" ref="O52" ca="1">_FV(A52,"52 week low",TRUE)</f>
        <v>4.5650000000000004</v>
      </c>
      <c r="P52" s="220">
        <f ca="1">+TODAY()-Tabla2[[#This Row],[F. compra]]</f>
        <v>305</v>
      </c>
      <c r="Q52" s="220">
        <f ca="1">GESTEP(D52,M52)</f>
        <v>0</v>
      </c>
      <c r="R52" s="220">
        <f ca="1">GESTEP(D52,N52)</f>
        <v>0</v>
      </c>
      <c r="S52" s="75" t="s">
        <v>166</v>
      </c>
      <c r="T52" s="110" t="s">
        <v>78</v>
      </c>
      <c r="U52" s="110" t="s">
        <v>26</v>
      </c>
      <c r="V52" s="16">
        <v>45835</v>
      </c>
      <c r="W52" s="16">
        <v>45835</v>
      </c>
      <c r="X52" s="80"/>
      <c r="Y52" s="79">
        <v>5</v>
      </c>
      <c r="Z52" s="79">
        <f>5.03-Tabla2[[#This Row],[Div.]]</f>
        <v>4.8500000000000005</v>
      </c>
      <c r="AA52" s="79">
        <f>+Tabla2[[#This Row],[Precio compra]]+Tabla2[[#This Row],[Div.]]</f>
        <v>5.03</v>
      </c>
      <c r="AB52" s="96">
        <v>0.18</v>
      </c>
      <c r="AC52" s="79">
        <f>5.5-Tabla2[[#This Row],[Div.]]</f>
        <v>5.32</v>
      </c>
      <c r="AD52" s="79">
        <f>+Tabla2[[#This Row],[Objetivo div2]]+Tabla2[[#This Row],[Div.]]</f>
        <v>5.5</v>
      </c>
      <c r="AE52" s="159">
        <f ca="1">IF(Z52="-",+AC52/Y52-1,AC52/D52-1)</f>
        <v>2.3076923076922995E-2</v>
      </c>
      <c r="AF52" s="81">
        <v>5.62</v>
      </c>
      <c r="AG52" s="253">
        <f ca="1">IF(Z52="-",+AF52/D52-1,AF52/D52-1)</f>
        <v>8.0769230769230704E-2</v>
      </c>
      <c r="AH52" s="81">
        <v>112.89</v>
      </c>
      <c r="AI52" s="147">
        <f ca="1">IF(Z52="-",AH52/Y52-1,+AH52/D52-1)</f>
        <v>20.709615384615383</v>
      </c>
      <c r="AJ52" s="121">
        <f ca="1">IF(Z52="-","-",+(D52/Z52)-1)</f>
        <v>7.2164948453608213E-2</v>
      </c>
      <c r="AK52" s="120">
        <f ca="1">IF(AA52="-","-",+(D52/AA52)-1)</f>
        <v>3.3797216699801069E-2</v>
      </c>
      <c r="AM52" s="49" t="str">
        <f>IF(AL52=0,"-",+AL52/Z52-1)</f>
        <v>-</v>
      </c>
      <c r="AN52" s="28">
        <f ca="1">+D52/Y52-1</f>
        <v>4.0000000000000036E-2</v>
      </c>
      <c r="AO52" s="75">
        <f ca="1">VLOOKUP(Tabla2[[#This Row],[TCKR]],'2026'!$D$5:$AH$257,8,FALSE)</f>
        <v>2385</v>
      </c>
      <c r="AP52" s="193">
        <f ca="1">VLOOKUP(Tabla2[[#This Row],[TCKR]],'2026'!$D$5:$AH$257,26,FALSE)</f>
        <v>261.90265804079957</v>
      </c>
      <c r="AQ52" s="5" cm="1">
        <f t="array" aca="1" ref="AQ52" ca="1">_FV(Tabla2[[#This Row],[valor]],"P/E",TRUE)</f>
        <v>18.709199999999999</v>
      </c>
      <c r="AR52" s="4"/>
      <c r="AT52" s="193">
        <f ca="1">+Tabla2[[#This Row],[Titulos2]]*Tabla2[[#This Row],[Neto]]</f>
        <v>0</v>
      </c>
      <c r="AU52" s="28">
        <f>+Tabla2[[#This Row],[Neto]]/Tabla2[[#This Row],[Precio compra2]]</f>
        <v>0</v>
      </c>
    </row>
    <row r="53" spans="1:47" ht="16" customHeight="1" x14ac:dyDescent="0.2">
      <c r="A53" s="306" t="e" vm="103">
        <v>#VALUE!</v>
      </c>
      <c r="B53" s="75" t="str" cm="1">
        <f t="array" aca="1" ref="B53" ca="1">_FV(A53,"Ticker symbol",TRUE)</f>
        <v>LI</v>
      </c>
      <c r="C53" s="217" cm="1">
        <f t="array" aca="1" ref="C53" ca="1">_FV(A53,"Change (%)",TRUE)</f>
        <v>0</v>
      </c>
      <c r="D53" s="144" cm="1">
        <f t="array" aca="1" ref="D53" ca="1">_FV(A53,"Price")</f>
        <v>34.82</v>
      </c>
      <c r="E53" s="307">
        <f ca="1">AE53</f>
        <v>2.7857553130384849E-2</v>
      </c>
      <c r="F53" s="321">
        <f ca="1">+Tabla2[[#This Row],[Rentab. Parcial]]</f>
        <v>9.3936537857367108E-2</v>
      </c>
      <c r="G53" s="321">
        <f ca="1">+Tabla2[[#This Row],[Rentab. Parcial2]]</f>
        <v>6.2233068944478331E-2</v>
      </c>
      <c r="H53" s="253">
        <f ca="1">+Tabla2[[#This Row],[Difer. Investing]]</f>
        <v>3.0729465824238966E-2</v>
      </c>
      <c r="I53" s="79">
        <f ca="1">+Tabla2[[#This Row],[Objetivo div2]]</f>
        <v>35.79</v>
      </c>
      <c r="J53" s="75" cm="1">
        <f t="array" aca="1" ref="J53" ca="1">_FV(A53,"High")</f>
        <v>34.92</v>
      </c>
      <c r="K53" s="75" cm="1">
        <f t="array" aca="1" ref="K53" ca="1">_FV(A53,"Low")</f>
        <v>34.6</v>
      </c>
      <c r="L53" s="75" cm="1">
        <f t="array" aca="1" ref="L53" ca="1">_FV(Tabla2[[#This Row],[valor]],"52 week high",TRUE)</f>
        <v>36.06</v>
      </c>
      <c r="M53" s="75">
        <f ca="1">+L53*0.9</f>
        <v>32.454000000000001</v>
      </c>
      <c r="N53" s="75">
        <f ca="1">+L53*0.95</f>
        <v>34.256999999999998</v>
      </c>
      <c r="O53" s="75" cm="1">
        <f t="array" aca="1" ref="O53" ca="1">_FV(A53,"52 week low",TRUE)</f>
        <v>30.86</v>
      </c>
      <c r="P53" s="220">
        <f ca="1">+TODAY()-Tabla2[[#This Row],[F. compra]]</f>
        <v>195</v>
      </c>
      <c r="Q53" s="220">
        <f ca="1">GESTEP(D53,M53)</f>
        <v>1</v>
      </c>
      <c r="R53" s="220">
        <f ca="1">GESTEP(D53,N53)</f>
        <v>1</v>
      </c>
      <c r="S53" s="75" t="s">
        <v>166</v>
      </c>
      <c r="T53" s="110" t="s">
        <v>78</v>
      </c>
      <c r="U53" s="110" t="s">
        <v>26</v>
      </c>
      <c r="V53" s="16">
        <v>45945</v>
      </c>
      <c r="W53" s="16">
        <v>45945</v>
      </c>
      <c r="X53" s="80"/>
      <c r="Y53" s="79">
        <v>32.880000000000003</v>
      </c>
      <c r="Z53" s="79">
        <f ca="1">32.78-Tabla2[[#This Row],[Div.]]</f>
        <v>31.830000000000002</v>
      </c>
      <c r="AA53" s="79">
        <v>32.78</v>
      </c>
      <c r="AB53" s="79">
        <f ca="1">+'dividendos 26'!E40</f>
        <v>0.95</v>
      </c>
      <c r="AC53" s="79">
        <f ca="1">36.74-Tabla2[[#This Row],[Div.]]</f>
        <v>35.79</v>
      </c>
      <c r="AD53" s="79">
        <f ca="1">+Tabla2[[#This Row],[Objetivo div2]]+Tabla2[[#This Row],[Div.]]</f>
        <v>36.74</v>
      </c>
      <c r="AE53" s="307">
        <f ca="1">IF(Z53="-",+AC53/Y53-1,AC53/D53-1)</f>
        <v>2.7857553130384849E-2</v>
      </c>
      <c r="AF53" s="76">
        <v>35.89</v>
      </c>
      <c r="AG53" s="253">
        <f ca="1">IF(Z53="-",+AF53/D53-1,AF53/D53-1)</f>
        <v>3.0729465824238966E-2</v>
      </c>
      <c r="AH53" s="76">
        <f ca="1">30.96-Tabla2[[#This Row],[Div.]]</f>
        <v>30.01</v>
      </c>
      <c r="AI53" s="147">
        <f ca="1">IF(Z53="-",AH53/Y53-1,+AH53/D53-1)</f>
        <v>-0.13813900057438255</v>
      </c>
      <c r="AJ53" s="121">
        <f ca="1">IF(Z53="-","-",+(D53/Z53)-1)</f>
        <v>9.3936537857367108E-2</v>
      </c>
      <c r="AK53" s="120">
        <f ca="1">IF(AA53="-","-",+(D53/AA53)-1)</f>
        <v>6.2233068944478331E-2</v>
      </c>
      <c r="AM53" s="49" t="str">
        <f>IF(AL53=0,"-",+AL53/Z53-1)</f>
        <v>-</v>
      </c>
      <c r="AN53" s="28">
        <f ca="1">+D53/Y53-1</f>
        <v>5.9002433090024287E-2</v>
      </c>
      <c r="AO53" s="75">
        <f ca="1">VLOOKUP(Tabla2[[#This Row],[TCKR]],'2026'!$D$5:$AH$257,8,FALSE)</f>
        <v>400</v>
      </c>
      <c r="AP53" s="193">
        <f ca="1">VLOOKUP(Tabla2[[#This Row],[TCKR]],'2026'!$D$5:$AH$257,26,FALSE)</f>
        <v>621.0755444865564</v>
      </c>
      <c r="AQ53" s="5" cm="1">
        <f t="array" aca="1" ref="AQ53" ca="1">_FV(Tabla2[[#This Row],[valor]],"P/E",TRUE)</f>
        <v>7.6654</v>
      </c>
      <c r="AR53" s="4"/>
      <c r="AT53" s="193">
        <f ca="1">+Tabla2[[#This Row],[Titulos2]]*Tabla2[[#This Row],[Neto]]</f>
        <v>0</v>
      </c>
      <c r="AU53" s="28">
        <f>+Tabla2[[#This Row],[Neto]]/Tabla2[[#This Row],[Precio compra2]]</f>
        <v>0</v>
      </c>
    </row>
    <row r="54" spans="1:47" ht="16" customHeight="1" x14ac:dyDescent="0.2">
      <c r="A54" s="306" t="e" vm="228">
        <v>#VALUE!</v>
      </c>
      <c r="B54" s="75" t="str" cm="1">
        <f t="array" aca="1" ref="B54" ca="1">_FV(A54,"Ticker symbol",TRUE)</f>
        <v>CBK</v>
      </c>
      <c r="C54" s="217" cm="1">
        <f t="array" aca="1" ref="C54" ca="1">_FV(A54,"Change (%)",TRUE)</f>
        <v>1.9747000000000001E-2</v>
      </c>
      <c r="D54" s="144" cm="1">
        <f t="array" aca="1" ref="D54" ca="1">_FV(A54,"Price")</f>
        <v>34.6</v>
      </c>
      <c r="E54" s="307">
        <f ca="1">AE54</f>
        <v>2.8612716763005919E-2</v>
      </c>
      <c r="F54" s="321">
        <f ca="1">+Tabla2[[#This Row],[Rentab. Parcial]]</f>
        <v>0.11039794608472397</v>
      </c>
      <c r="G54" s="321">
        <f ca="1">+Tabla2[[#This Row],[Rentab. Parcial2]]</f>
        <v>0.11039794608472397</v>
      </c>
      <c r="H54" s="253">
        <f ca="1">+Tabla2[[#This Row],[Difer. Investing]]</f>
        <v>0.27630057803468189</v>
      </c>
      <c r="I54" s="79">
        <f>+Tabla2[[#This Row],[Objetivo div2]]</f>
        <v>35.590000000000003</v>
      </c>
      <c r="J54" s="75" cm="1">
        <f t="array" aca="1" ref="J54" ca="1">_FV(A54,"High")</f>
        <v>34.67</v>
      </c>
      <c r="K54" s="75" cm="1">
        <f t="array" aca="1" ref="K54" ca="1">_FV(A54,"Low")</f>
        <v>34.409999999999997</v>
      </c>
      <c r="L54" s="75" cm="1">
        <f t="array" aca="1" ref="L54" ca="1">_FV(Tabla2[[#This Row],[valor]],"52 week high",TRUE)</f>
        <v>38.08</v>
      </c>
      <c r="M54" s="75">
        <f ca="1">+L54*0.9</f>
        <v>34.271999999999998</v>
      </c>
      <c r="N54" s="75">
        <f ca="1">+L54*0.95</f>
        <v>36.175999999999995</v>
      </c>
      <c r="O54" s="75" cm="1">
        <f t="array" aca="1" ref="O54" ca="1">_FV(A54,"52 week low",TRUE)</f>
        <v>1.0999999999999999E-2</v>
      </c>
      <c r="P54" s="220">
        <f ca="1">+TODAY()-Tabla2[[#This Row],[F. compra]]</f>
        <v>180</v>
      </c>
      <c r="Q54" s="220">
        <f ca="1">GESTEP(D54,M54)</f>
        <v>1</v>
      </c>
      <c r="R54" s="220">
        <f ca="1">GESTEP(D54,N54)</f>
        <v>0</v>
      </c>
      <c r="S54" s="75" t="s">
        <v>166</v>
      </c>
      <c r="T54" s="110" t="s">
        <v>78</v>
      </c>
      <c r="U54" s="110" t="s">
        <v>26</v>
      </c>
      <c r="V54" s="16">
        <v>45960</v>
      </c>
      <c r="W54" s="16">
        <v>45960</v>
      </c>
      <c r="X54" s="80"/>
      <c r="Y54" s="79">
        <v>31.16</v>
      </c>
      <c r="Z54" s="79">
        <v>31.16</v>
      </c>
      <c r="AA54" s="79">
        <v>31.16</v>
      </c>
      <c r="AB54" s="79"/>
      <c r="AC54" s="79">
        <v>35.590000000000003</v>
      </c>
      <c r="AD54" s="79">
        <f>+Tabla2[[#This Row],[Objetivo div2]]+Tabla2[[#This Row],[Div.]]</f>
        <v>35.590000000000003</v>
      </c>
      <c r="AE54" s="307">
        <f ca="1">IF(Z54="-",+AC54/Y54-1,AC54/D54-1)</f>
        <v>2.8612716763005919E-2</v>
      </c>
      <c r="AF54" s="76">
        <v>44.16</v>
      </c>
      <c r="AG54" s="253">
        <f ca="1">IF(Z54="-",+AF54/D54-1,AF54/D54-1)</f>
        <v>0.27630057803468189</v>
      </c>
      <c r="AH54" s="76">
        <v>28.98</v>
      </c>
      <c r="AI54" s="147">
        <f ca="1">IF(Z54="-",AH54/Y54-1,+AH54/D54-1)</f>
        <v>-0.16242774566473994</v>
      </c>
      <c r="AJ54" s="121">
        <f ca="1">IF(Z54="-","-",+(D54/Z54)-1)</f>
        <v>0.11039794608472397</v>
      </c>
      <c r="AK54" s="120">
        <f ca="1">IF(AA54="-","-",+(D54/AA54)-1)</f>
        <v>0.11039794608472397</v>
      </c>
      <c r="AM54" s="49" t="str">
        <f>IF(AL54=0,"-",+AL54/Z54-1)</f>
        <v>-</v>
      </c>
      <c r="AN54" s="28">
        <f ca="1">+D54/Y54-1</f>
        <v>0.11039794608472397</v>
      </c>
      <c r="AO54" s="75" t="e">
        <f ca="1">VLOOKUP(Tabla2[[#This Row],[TCKR]],'2026'!$D$5:$AH$257,8,FALSE)</f>
        <v>#N/A</v>
      </c>
      <c r="AP54" s="193" t="e">
        <f ca="1">VLOOKUP(Tabla2[[#This Row],[TCKR]],'2026'!$D$5:$AH$257,26,FALSE)</f>
        <v>#N/A</v>
      </c>
      <c r="AQ54" s="5" cm="1">
        <f t="array" aca="1" ref="AQ54" ca="1">_FV(Tabla2[[#This Row],[valor]],"P/E",TRUE)</f>
        <v>16.579999999999998</v>
      </c>
      <c r="AR54" s="4"/>
      <c r="AT54" s="193" t="e">
        <f ca="1">+Tabla2[[#This Row],[Titulos2]]*Tabla2[[#This Row],[Neto]]</f>
        <v>#N/A</v>
      </c>
      <c r="AU54" s="28">
        <f>+Tabla2[[#This Row],[Neto]]/Tabla2[[#This Row],[Precio compra2]]</f>
        <v>0</v>
      </c>
    </row>
    <row r="55" spans="1:47" ht="16" customHeight="1" x14ac:dyDescent="0.2">
      <c r="A55" s="75" t="e" vm="67">
        <v>#VALUE!</v>
      </c>
      <c r="B55" s="75" t="str" cm="1">
        <f t="array" aca="1" ref="B55" ca="1">_FV(A55,"Ticker symbol",TRUE)</f>
        <v>EVK</v>
      </c>
      <c r="C55" s="217" cm="1">
        <f t="array" aca="1" ref="C55" ca="1">_FV(A55,"Change (%)",TRUE)</f>
        <v>8.005E-3</v>
      </c>
      <c r="D55" s="144" cm="1">
        <f t="array" aca="1" ref="D55" ca="1">_FV(A55,"Price")</f>
        <v>17.63</v>
      </c>
      <c r="E55" s="159">
        <f ca="1">AE55</f>
        <v>2.9495178672716893E-2</v>
      </c>
      <c r="F55" s="321">
        <f ca="1">+Tabla2[[#This Row],[Rentab. Parcial]]</f>
        <v>0.12472089314194568</v>
      </c>
      <c r="G55" s="321">
        <f ca="1">+Tabla2[[#This Row],[Rentab. Parcial2]]</f>
        <v>-8.1052905916080276E-2</v>
      </c>
      <c r="H55" s="253">
        <f ca="1">+Tabla2[[#This Row],[Difer. Investing]]</f>
        <v>0.3834373227453205</v>
      </c>
      <c r="I55" s="79">
        <f>+Tabla2[[#This Row],[Objetivo div2]]</f>
        <v>18.149999999999999</v>
      </c>
      <c r="J55" s="75" cm="1">
        <f t="array" aca="1" ref="J55" ca="1">_FV(A55,"High")</f>
        <v>17.690000000000001</v>
      </c>
      <c r="K55" s="75" cm="1">
        <f t="array" aca="1" ref="K55" ca="1">_FV(A55,"Low")</f>
        <v>17.47</v>
      </c>
      <c r="L55" s="75" cm="1">
        <f t="array" aca="1" ref="L55" ca="1">_FV(Tabla2[[#This Row],[valor]],"52 week high",TRUE)</f>
        <v>32.86</v>
      </c>
      <c r="M55" s="75">
        <f ca="1">+Tabla2[[#This Row],[52 high]]*0.9</f>
        <v>29.574000000000002</v>
      </c>
      <c r="N55" s="75">
        <f ca="1">+Tabla2[[#This Row],[52 high]]*0.95</f>
        <v>31.216999999999999</v>
      </c>
      <c r="O55" s="75" cm="1">
        <f t="array" aca="1" ref="O55" ca="1">_FV(Tabla2[[#This Row],[valor]],"52 week low",TRUE)</f>
        <v>12.51</v>
      </c>
      <c r="P55" s="220">
        <f ca="1">+TODAY()-Tabla2[[#This Row],[F. compra]]</f>
        <v>1133</v>
      </c>
      <c r="Q55" s="220">
        <f ca="1">GESTEP(Tabla2[[#This Row],[price]],Tabla2[[#This Row],[HIGH 10%]])</f>
        <v>0</v>
      </c>
      <c r="R55" s="220">
        <f ca="1">GESTEP(Tabla2[[#This Row],[price]],Tabla2[[#This Row],[HIGH 5%]])</f>
        <v>0</v>
      </c>
      <c r="S55" s="75" t="s">
        <v>75</v>
      </c>
      <c r="T55" s="110" t="s">
        <v>78</v>
      </c>
      <c r="U55" s="110" t="s">
        <v>72</v>
      </c>
      <c r="V55" s="16">
        <v>45007</v>
      </c>
      <c r="W55" s="16">
        <v>45007</v>
      </c>
      <c r="X55" s="80"/>
      <c r="Y55" s="79" t="s">
        <v>11</v>
      </c>
      <c r="Z55" s="79">
        <f>19.185-AB55</f>
        <v>15.674999999999999</v>
      </c>
      <c r="AA55" s="79">
        <f>+Tabla2[[#This Row],[Precio compra]]+Tabla2[[#This Row],[Div.]]</f>
        <v>19.184999999999999</v>
      </c>
      <c r="AB55" s="96">
        <v>3.51</v>
      </c>
      <c r="AC55" s="79">
        <f>21.66-AB55</f>
        <v>18.149999999999999</v>
      </c>
      <c r="AD55" s="79">
        <f>+Tabla2[[#This Row],[Objetivo div2]]+Tabla2[[#This Row],[Div.]]</f>
        <v>21.659999999999997</v>
      </c>
      <c r="AE55" s="159">
        <f ca="1">IF(Z55="-",+AC55/Y55-1,AC55/D55-1)</f>
        <v>2.9495178672716893E-2</v>
      </c>
      <c r="AF55" s="81">
        <v>24.39</v>
      </c>
      <c r="AG55" s="253">
        <f ca="1">IF(Z55="-",+AF55/D55-1,AF55/D55-1)</f>
        <v>0.3834373227453205</v>
      </c>
      <c r="AH55" s="81">
        <f>17.98-AB55</f>
        <v>14.47</v>
      </c>
      <c r="AI55" s="147">
        <f ca="1">IF(Z55="-",AH55/Y55-1,+AH55/D55-1)</f>
        <v>-0.17923993193420296</v>
      </c>
      <c r="AJ55" s="121">
        <f ca="1">IF(Z55="-","-",+(D55/Z55)-1)</f>
        <v>0.12472089314194568</v>
      </c>
      <c r="AK55" s="120">
        <f ca="1">IF(AA55="-","-",+(D55/AA55)-1)</f>
        <v>-8.1052905916080276E-2</v>
      </c>
      <c r="AM55" s="49" t="str">
        <f>IF(AL55=0,"-",+AL55/Z55-1)</f>
        <v>-</v>
      </c>
      <c r="AN55" s="28" t="e">
        <f ca="1">+D55/Y55-1</f>
        <v>#VALUE!</v>
      </c>
      <c r="AO55" s="75">
        <f ca="1">VLOOKUP(Tabla2[[#This Row],[TCKR]],'2026'!$D$5:$AH$257,8,FALSE)</f>
        <v>624</v>
      </c>
      <c r="AP55" s="193">
        <f ca="1">VLOOKUP(Tabla2[[#This Row],[TCKR]],'2026'!$D$5:$AH$257,26,FALSE)</f>
        <v>-784.52271544971723</v>
      </c>
      <c r="AQ55" s="5" cm="1">
        <f t="array" aca="1" ref="AQ55" ca="1">_FV(Tabla2[[#This Row],[valor]],"P/E",TRUE)</f>
        <v>30.48</v>
      </c>
      <c r="AR55" s="4"/>
      <c r="AT55" s="193">
        <f ca="1">+Tabla2[[#This Row],[Titulos2]]*Tabla2[[#This Row],[Neto]]</f>
        <v>0</v>
      </c>
      <c r="AU55" s="28">
        <f>+Tabla2[[#This Row],[Neto]]/Tabla2[[#This Row],[Precio compra2]]</f>
        <v>0</v>
      </c>
    </row>
    <row r="56" spans="1:47" ht="16" customHeight="1" x14ac:dyDescent="0.2">
      <c r="A56" s="75" t="e" vm="62">
        <v>#VALUE!</v>
      </c>
      <c r="B56" s="75" t="str" cm="1">
        <f t="array" aca="1" ref="B56" ca="1">_FV(A56,"Ticker symbol",TRUE)</f>
        <v>ENG</v>
      </c>
      <c r="C56" s="217" cm="1">
        <f t="array" aca="1" ref="C56" ca="1">_FV(A56,"Change (%)",TRUE)</f>
        <v>-3.5399999999999997E-3</v>
      </c>
      <c r="D56" s="144" cm="1">
        <f t="array" aca="1" ref="D56" ca="1">_FV(A56,"Price")</f>
        <v>16.89</v>
      </c>
      <c r="E56" s="159">
        <f ca="1">AE56</f>
        <v>3.5523978685612745E-2</v>
      </c>
      <c r="F56" s="321">
        <f ca="1">+Tabla2[[#This Row],[Rentab. Parcial]]</f>
        <v>0.1987224982256921</v>
      </c>
      <c r="G56" s="321">
        <f ca="1">+Tabla2[[#This Row],[Rentab. Parcial2]]</f>
        <v>0.1987224982256921</v>
      </c>
      <c r="H56" s="253">
        <f ca="1">+Tabla2[[#This Row],[Difer. Investing]]</f>
        <v>-3.5523978685612856E-2</v>
      </c>
      <c r="I56" s="79">
        <f>+Tabla2[[#This Row],[Objetivo div2]]</f>
        <v>17.489999999999998</v>
      </c>
      <c r="J56" s="75" cm="1">
        <f t="array" aca="1" ref="J56" ca="1">_FV(A56,"High")</f>
        <v>16.989999999999998</v>
      </c>
      <c r="K56" s="75" cm="1">
        <f t="array" aca="1" ref="K56" ca="1">_FV(A56,"Low")</f>
        <v>16.850000000000001</v>
      </c>
      <c r="L56" s="75" cm="1">
        <f t="array" aca="1" ref="L56" ca="1">_FV(Tabla2[[#This Row],[valor]],"52 week high",TRUE)</f>
        <v>17.37</v>
      </c>
      <c r="M56" s="75">
        <f ca="1">+L56*0.9</f>
        <v>15.633000000000001</v>
      </c>
      <c r="N56" s="75">
        <f ca="1">+L56*0.95</f>
        <v>16.5015</v>
      </c>
      <c r="O56" s="75" cm="1">
        <f t="array" aca="1" ref="O56" ca="1">_FV(A56,"52 week low",TRUE)</f>
        <v>13</v>
      </c>
      <c r="P56" s="220">
        <f ca="1">+TODAY()-Tabla2[[#This Row],[F. compra]]</f>
        <v>334</v>
      </c>
      <c r="Q56" s="220">
        <f ca="1">GESTEP(D56,M56)</f>
        <v>1</v>
      </c>
      <c r="R56" s="220">
        <f ca="1">GESTEP(D56,N56)</f>
        <v>1</v>
      </c>
      <c r="S56" s="75" t="s">
        <v>75</v>
      </c>
      <c r="T56" s="110" t="s">
        <v>78</v>
      </c>
      <c r="U56" s="110" t="s">
        <v>72</v>
      </c>
      <c r="V56" s="16">
        <v>45803</v>
      </c>
      <c r="W56" s="16">
        <v>45806</v>
      </c>
      <c r="X56" s="80"/>
      <c r="Y56" s="79">
        <v>14.09</v>
      </c>
      <c r="Z56" s="79">
        <v>14.09</v>
      </c>
      <c r="AA56" s="79">
        <f>+Tabla2[[#This Row],[Precio compra]]+Tabla2[[#This Row],[Div.]]</f>
        <v>14.09</v>
      </c>
      <c r="AB56" s="96"/>
      <c r="AC56" s="79">
        <v>17.489999999999998</v>
      </c>
      <c r="AD56" s="79">
        <f>+Tabla2[[#This Row],[Objetivo div2]]+Tabla2[[#This Row],[Div.]]</f>
        <v>17.489999999999998</v>
      </c>
      <c r="AE56" s="159">
        <f ca="1">IF(Z56="-",+AC56/Y56-1,AC56/D56-1)</f>
        <v>3.5523978685612745E-2</v>
      </c>
      <c r="AF56" s="81">
        <v>16.29</v>
      </c>
      <c r="AG56" s="253">
        <f ca="1">IF(Z56="-",+AF56/D56-1,AF56/D56-1)</f>
        <v>-3.5523978685612856E-2</v>
      </c>
      <c r="AH56" s="81">
        <v>12.39</v>
      </c>
      <c r="AI56" s="147">
        <f ca="1">IF(Z56="-",AH56/Y56-1,+AH56/D56-1)</f>
        <v>-0.26642984014209592</v>
      </c>
      <c r="AJ56" s="121">
        <f ca="1">IF(Z56="-","-",+(D56/Z56)-1)</f>
        <v>0.1987224982256921</v>
      </c>
      <c r="AK56" s="120">
        <f ca="1">IF(AA56="-","-",+(D56/AA56)-1)</f>
        <v>0.1987224982256921</v>
      </c>
      <c r="AM56" s="49" t="str">
        <f>IF(AL56=0,"-",+AL56/Z56-1)</f>
        <v>-</v>
      </c>
      <c r="AN56" s="28">
        <f ca="1">+D56/Y56-1</f>
        <v>0.1987224982256921</v>
      </c>
      <c r="AO56" s="75">
        <f ca="1">VLOOKUP(Tabla2[[#This Row],[TCKR]],'2026'!$D$5:$AH$257,8,FALSE)</f>
        <v>495</v>
      </c>
      <c r="AP56" s="193">
        <f ca="1">VLOOKUP(Tabla2[[#This Row],[TCKR]],'2026'!$D$5:$AH$257,26,FALSE)</f>
        <v>1055.2753049132273</v>
      </c>
      <c r="AQ56" s="5" cm="1">
        <f t="array" aca="1" ref="AQ56" ca="1">_FV(Tabla2[[#This Row],[valor]],"P/E",TRUE)</f>
        <v>13.4321</v>
      </c>
      <c r="AR56" s="4"/>
      <c r="AT56" s="193">
        <f ca="1">+Tabla2[[#This Row],[Titulos2]]*Tabla2[[#This Row],[Neto]]</f>
        <v>0</v>
      </c>
      <c r="AU56" s="28">
        <f>+Tabla2[[#This Row],[Neto]]/Tabla2[[#This Row],[Precio compra2]]</f>
        <v>0</v>
      </c>
    </row>
    <row r="57" spans="1:47" ht="16" customHeight="1" x14ac:dyDescent="0.2">
      <c r="A57" s="75" t="e" vm="229">
        <v>#VALUE!</v>
      </c>
      <c r="B57" s="75" t="str" cm="1">
        <f t="array" aca="1" ref="B57" ca="1">_FV(A57,"Ticker symbol",TRUE)</f>
        <v>CON</v>
      </c>
      <c r="C57" s="217" cm="1">
        <f t="array" aca="1" ref="C57" ca="1">_FV(A57,"Change (%)",TRUE)</f>
        <v>-1.2797000000000001E-2</v>
      </c>
      <c r="D57" s="144" cm="1">
        <f t="array" aca="1" ref="D57" ca="1">_FV(A57,"Price")</f>
        <v>64.8</v>
      </c>
      <c r="E57" s="159">
        <f ca="1">AE57</f>
        <v>3.9814814814814747E-2</v>
      </c>
      <c r="F57" s="321">
        <f ca="1">+Tabla2[[#This Row],[Rentab. Parcial]]</f>
        <v>0.12813370473537611</v>
      </c>
      <c r="G57" s="321">
        <f ca="1">+Tabla2[[#This Row],[Rentab. Parcial2]]</f>
        <v>8.1081081081081141E-2</v>
      </c>
      <c r="H57" s="253">
        <f ca="1">+Tabla2[[#This Row],[Difer. Investing]]</f>
        <v>0.37237654320987668</v>
      </c>
      <c r="I57" s="79">
        <f>+Tabla2[[#This Row],[Objetivo div2]]</f>
        <v>67.38</v>
      </c>
      <c r="J57" s="75" cm="1">
        <f t="array" aca="1" ref="J57" ca="1">_FV(A57,"High")</f>
        <v>65.819999999999993</v>
      </c>
      <c r="K57" s="75" cm="1">
        <f t="array" aca="1" ref="K57" ca="1">_FV(A57,"Low")</f>
        <v>64.62</v>
      </c>
      <c r="L57" s="75" cm="1">
        <f t="array" aca="1" ref="L57" ca="1">_FV(Tabla2[[#This Row],[valor]],"52 week high",TRUE)</f>
        <v>75.36</v>
      </c>
      <c r="M57" s="75">
        <f ca="1">+Tabla2[[#This Row],[52 high]]*0.9</f>
        <v>67.823999999999998</v>
      </c>
      <c r="N57" s="75">
        <f ca="1">+Tabla2[[#This Row],[52 high]]*0.95</f>
        <v>71.591999999999999</v>
      </c>
      <c r="O57" s="75" cm="1">
        <f t="array" aca="1" ref="O57" ca="1">_FV(Tabla2[[#This Row],[valor]],"52 week low",TRUE)</f>
        <v>51.116</v>
      </c>
      <c r="P57" s="220">
        <f ca="1">+TODAY()-Tabla2[[#This Row],[F. compra]]</f>
        <v>601</v>
      </c>
      <c r="Q57" s="220">
        <f ca="1">GESTEP(Tabla2[[#This Row],[price]],Tabla2[[#This Row],[HIGH 10%]])</f>
        <v>0</v>
      </c>
      <c r="R57" s="220">
        <f ca="1">GESTEP(Tabla2[[#This Row],[price]],Tabla2[[#This Row],[HIGH 5%]])</f>
        <v>0</v>
      </c>
      <c r="S57" s="75" t="s">
        <v>76</v>
      </c>
      <c r="T57" s="110" t="s">
        <v>78</v>
      </c>
      <c r="U57" s="110" t="s">
        <v>72</v>
      </c>
      <c r="V57" s="16">
        <v>45532</v>
      </c>
      <c r="W57" s="16">
        <v>45539</v>
      </c>
      <c r="X57" s="80" t="s">
        <v>11</v>
      </c>
      <c r="Y57" s="79">
        <v>59.94</v>
      </c>
      <c r="Z57" s="79">
        <f>59.94-Tabla2[[#This Row],[Div.]]</f>
        <v>57.44</v>
      </c>
      <c r="AA57" s="79">
        <v>59.94</v>
      </c>
      <c r="AB57" s="96">
        <v>2.5</v>
      </c>
      <c r="AC57" s="79">
        <f>69.88-Tabla2[[#This Row],[Div.]]</f>
        <v>67.38</v>
      </c>
      <c r="AD57" s="79">
        <f>+Tabla2[[#This Row],[Objetivo div2]]+Tabla2[[#This Row],[Div.]]</f>
        <v>69.88</v>
      </c>
      <c r="AE57" s="159">
        <f ca="1">IF(Z57="-",+AC57/Y57-1,AC57/D57-1)</f>
        <v>3.9814814814814747E-2</v>
      </c>
      <c r="AF57" s="81">
        <v>88.93</v>
      </c>
      <c r="AG57" s="253">
        <f ca="1">IF(Z57="-",+AF57/D57-1,AF57/D57-1)</f>
        <v>0.37237654320987668</v>
      </c>
      <c r="AH57" s="81">
        <f>55.94-Tabla2[[#This Row],[Div.]]</f>
        <v>53.44</v>
      </c>
      <c r="AI57" s="147">
        <f ca="1">IF(Z57="-",AH57/Y57-1,+AH57/D57-1)</f>
        <v>-0.1753086419753086</v>
      </c>
      <c r="AJ57" s="121">
        <f ca="1">IF(Z57="-","-",+(D57/Z57)-1)</f>
        <v>0.12813370473537611</v>
      </c>
      <c r="AK57" s="120">
        <f ca="1">IF(AA57="-","-",+(D57/AA57)-1)</f>
        <v>8.1081081081081141E-2</v>
      </c>
      <c r="AM57" s="49" t="str">
        <f>IF(AL57=0,"-",+AL57/Z57-1)</f>
        <v>-</v>
      </c>
      <c r="AN57" s="28">
        <f ca="1">+D57/Y57-1</f>
        <v>8.1081081081081141E-2</v>
      </c>
      <c r="AO57" s="75">
        <f ca="1">VLOOKUP(Tabla2[[#This Row],[TCKR]],'2026'!$D$5:$AH$257,8,FALSE)</f>
        <v>150</v>
      </c>
      <c r="AP57" s="193">
        <f ca="1">VLOOKUP(Tabla2[[#This Row],[TCKR]],'2026'!$D$5:$AH$257,26,FALSE)</f>
        <v>2150.8494046977185</v>
      </c>
      <c r="AQ57" s="5" cm="1">
        <f t="array" aca="1" ref="AQ57" ca="1">_FV(Tabla2[[#This Row],[valor]],"P/E",TRUE)</f>
        <v>0</v>
      </c>
      <c r="AR57" s="4" t="s">
        <v>11</v>
      </c>
      <c r="AT57" s="193">
        <f ca="1">+Tabla2[[#This Row],[Titulos2]]*Tabla2[[#This Row],[Neto]]</f>
        <v>0</v>
      </c>
      <c r="AU57" s="28">
        <f>+Tabla2[[#This Row],[Neto]]/Tabla2[[#This Row],[Precio compra2]]</f>
        <v>0</v>
      </c>
    </row>
    <row r="58" spans="1:47" ht="16" customHeight="1" x14ac:dyDescent="0.2">
      <c r="A58" s="75" t="e" vm="81">
        <v>#VALUE!</v>
      </c>
      <c r="B58" s="75" t="str" cm="1">
        <f t="array" aca="1" ref="B58" ca="1">_FV(A58,"Ticker symbol",TRUE)</f>
        <v>DOM</v>
      </c>
      <c r="C58" s="217" cm="1">
        <f t="array" aca="1" ref="C58" ca="1">_FV(A58,"Change (%)",TRUE)</f>
        <v>-2.9989999999999999E-3</v>
      </c>
      <c r="D58" s="144" cm="1">
        <f t="array" aca="1" ref="D58" ca="1">_FV(A58,"Price")</f>
        <v>3.3250000000000002</v>
      </c>
      <c r="E58" s="159">
        <f ca="1">AE58</f>
        <v>5.864661654135328E-2</v>
      </c>
      <c r="F58" s="321">
        <f ca="1">+Tabla2[[#This Row],[Rentab. Parcial]]</f>
        <v>0.13095238095238093</v>
      </c>
      <c r="G58" s="321">
        <f ca="1">+Tabla2[[#This Row],[Rentab. Parcial2]]</f>
        <v>-2.7777777777777679E-2</v>
      </c>
      <c r="H58" s="253">
        <f ca="1">+Tabla2[[#This Row],[Difer. Investing]]</f>
        <v>0.76842105263157889</v>
      </c>
      <c r="I58" s="79">
        <f>+Tabla2[[#This Row],[Objetivo div2]]</f>
        <v>3.52</v>
      </c>
      <c r="J58" s="75" cm="1">
        <f t="array" aca="1" ref="J58" ca="1">_FV(A58,"High")</f>
        <v>3.36</v>
      </c>
      <c r="K58" s="75" cm="1">
        <f t="array" aca="1" ref="K58" ca="1">_FV(A58,"Low")</f>
        <v>3.3149999999999999</v>
      </c>
      <c r="L58" s="75" cm="1">
        <f t="array" aca="1" ref="L58" ca="1">_FV(Tabla2[[#This Row],[valor]],"52 week high",TRUE)</f>
        <v>3.69</v>
      </c>
      <c r="M58" s="75">
        <f ca="1">+L58*0.9</f>
        <v>3.3210000000000002</v>
      </c>
      <c r="N58" s="75">
        <f ca="1">+L58*0.95</f>
        <v>3.5054999999999996</v>
      </c>
      <c r="O58" s="75" cm="1">
        <f t="array" aca="1" ref="O58" ca="1">_FV(A58,"52 week low",TRUE)</f>
        <v>2.83</v>
      </c>
      <c r="P58" s="220">
        <f ca="1">+TODAY()-Tabla2[[#This Row],[F. compra]]</f>
        <v>1483</v>
      </c>
      <c r="Q58" s="220">
        <f ca="1">GESTEP(D58,M58)</f>
        <v>1</v>
      </c>
      <c r="R58" s="220">
        <f ca="1">GESTEP(D58,N58)</f>
        <v>0</v>
      </c>
      <c r="S58" s="75" t="s">
        <v>75</v>
      </c>
      <c r="T58" s="110" t="s">
        <v>136</v>
      </c>
      <c r="U58" s="110" t="s">
        <v>108</v>
      </c>
      <c r="V58" s="16">
        <v>44657</v>
      </c>
      <c r="W58" s="16">
        <f>+V58</f>
        <v>44657</v>
      </c>
      <c r="X58" s="80"/>
      <c r="Y58" s="79" t="s">
        <v>11</v>
      </c>
      <c r="Z58" s="79">
        <f>3.42-Tabla2[[#This Row],[Div.]]</f>
        <v>2.94</v>
      </c>
      <c r="AA58" s="79">
        <f>+Tabla2[[#This Row],[Precio compra]]+Tabla2[[#This Row],[Div.]]</f>
        <v>3.42</v>
      </c>
      <c r="AB58" s="96">
        <v>0.48</v>
      </c>
      <c r="AC58" s="79">
        <f>4-Tabla2[[#This Row],[Div.]]</f>
        <v>3.52</v>
      </c>
      <c r="AD58" s="79">
        <f>+Tabla2[[#This Row],[Objetivo div2]]+Tabla2[[#This Row],[Div.]]</f>
        <v>4</v>
      </c>
      <c r="AE58" s="159">
        <f ca="1">IF(Z58="-",+AC58/Y58-1,AC58/D58-1)</f>
        <v>5.864661654135328E-2</v>
      </c>
      <c r="AF58" s="81">
        <v>5.88</v>
      </c>
      <c r="AG58" s="253">
        <f ca="1">IF(Z58="-",+AF58/D58-1,AF58/D58-1)</f>
        <v>0.76842105263157889</v>
      </c>
      <c r="AH58" s="81">
        <f>2.8-Tabla2[[#This Row],[Div.]]</f>
        <v>2.3199999999999998</v>
      </c>
      <c r="AI58" s="147">
        <f ca="1">IF(Z58="-",AH58/Y58-1,+AH58/D58-1)</f>
        <v>-0.30225563909774444</v>
      </c>
      <c r="AJ58" s="121">
        <f ca="1">IF(Z58="-","-",+(D58/Z58)-1)</f>
        <v>0.13095238095238093</v>
      </c>
      <c r="AK58" s="120">
        <f ca="1">IF(AA58="-","-",+(D58/AA58)-1)</f>
        <v>-2.7777777777777679E-2</v>
      </c>
      <c r="AM58" s="49" t="str">
        <f>IF(AL58=0,"-",+AL58/Z58-1)</f>
        <v>-</v>
      </c>
      <c r="AN58" s="28" t="e">
        <f ca="1">+D58/Y58-1</f>
        <v>#VALUE!</v>
      </c>
      <c r="AO58" s="75">
        <f ca="1">VLOOKUP(Tabla2[[#This Row],[TCKR]],'2026'!$D$5:$AH$257,8,FALSE)</f>
        <v>4000</v>
      </c>
      <c r="AP58" s="193">
        <f ca="1">VLOOKUP(Tabla2[[#This Row],[TCKR]],'2026'!$D$5:$AH$257,26,FALSE)</f>
        <v>-331.87242835159503</v>
      </c>
      <c r="AQ58" s="5" cm="1">
        <f t="array" aca="1" ref="AQ58" ca="1">_FV(Tabla2[[#This Row],[valor]],"P/E",TRUE)</f>
        <v>48.972099999999998</v>
      </c>
      <c r="AR58" s="4"/>
      <c r="AT58" s="193">
        <f ca="1">+Tabla2[[#This Row],[Titulos2]]*Tabla2[[#This Row],[Neto]]</f>
        <v>0</v>
      </c>
      <c r="AU58" s="28">
        <f>+Tabla2[[#This Row],[Neto]]/Tabla2[[#This Row],[Precio compra2]]</f>
        <v>0</v>
      </c>
    </row>
    <row r="59" spans="1:47" ht="16" customHeight="1" x14ac:dyDescent="0.2">
      <c r="A59" s="75" t="e" vm="46">
        <v>#VALUE!</v>
      </c>
      <c r="B59" s="75" t="str" cm="1">
        <f t="array" aca="1" ref="B59" ca="1">_FV(A59,"Ticker symbol",TRUE)</f>
        <v>CIE</v>
      </c>
      <c r="C59" s="217" cm="1">
        <f t="array" aca="1" ref="C59" ca="1">_FV(A59,"Change (%)",TRUE)</f>
        <v>-1.7669999999999999E-3</v>
      </c>
      <c r="D59" s="144" cm="1">
        <f t="array" aca="1" ref="D59" ca="1">_FV(A59,"Price")</f>
        <v>28.25</v>
      </c>
      <c r="E59" s="159">
        <f ca="1">AE59</f>
        <v>7.0088495575221232E-2</v>
      </c>
      <c r="F59" s="321">
        <f ca="1">+Tabla2[[#This Row],[Rentab. Parcial]]</f>
        <v>0.10093530787217464</v>
      </c>
      <c r="G59" s="321">
        <f ca="1">+Tabla2[[#This Row],[Rentab. Parcial2]]</f>
        <v>2.7272727272727337E-2</v>
      </c>
      <c r="H59" s="253">
        <f ca="1">+Tabla2[[#This Row],[Difer. Investing]]</f>
        <v>0.23221238938053101</v>
      </c>
      <c r="I59" s="79">
        <f ca="1">+Tabla2[[#This Row],[Objetivo div2]]</f>
        <v>30.23</v>
      </c>
      <c r="J59" s="75" cm="1">
        <f t="array" aca="1" ref="J59" ca="1">_FV(A59,"High")</f>
        <v>28.6</v>
      </c>
      <c r="K59" s="75" cm="1">
        <f t="array" aca="1" ref="K59" ca="1">_FV(A59,"Low")</f>
        <v>27.7</v>
      </c>
      <c r="L59" s="75" cm="1">
        <f t="array" aca="1" ref="L59" ca="1">_FV(Tabla2[[#This Row],[valor]],"52 week high",TRUE)</f>
        <v>33</v>
      </c>
      <c r="M59" s="75">
        <f ca="1">+Tabla2[[#This Row],[52 high]]*0.9</f>
        <v>29.7</v>
      </c>
      <c r="N59" s="75">
        <f ca="1">+Tabla2[[#This Row],[52 high]]*0.95</f>
        <v>31.349999999999998</v>
      </c>
      <c r="O59" s="75" cm="1">
        <f t="array" aca="1" ref="O59" ca="1">_FV(Tabla2[[#This Row],[valor]],"52 week low",TRUE)</f>
        <v>22.9</v>
      </c>
      <c r="P59" s="220">
        <f ca="1">+TODAY()-Tabla2[[#This Row],[F. compra]]</f>
        <v>713</v>
      </c>
      <c r="Q59" s="220">
        <f ca="1">GESTEP(Tabla2[[#This Row],[price]],Tabla2[[#This Row],[HIGH 10%]])</f>
        <v>0</v>
      </c>
      <c r="R59" s="220">
        <f ca="1">GESTEP(Tabla2[[#This Row],[price]],Tabla2[[#This Row],[HIGH 5%]])</f>
        <v>0</v>
      </c>
      <c r="S59" s="75" t="s">
        <v>75</v>
      </c>
      <c r="T59" s="110" t="s">
        <v>78</v>
      </c>
      <c r="U59" s="110" t="s">
        <v>72</v>
      </c>
      <c r="V59" s="16">
        <v>45427</v>
      </c>
      <c r="W59" s="16">
        <v>45427</v>
      </c>
      <c r="X59" s="80" t="s">
        <v>11</v>
      </c>
      <c r="Y59" s="79">
        <v>27.25</v>
      </c>
      <c r="Z59" s="79">
        <f ca="1">27.5-Tabla2[[#This Row],[Div.]]</f>
        <v>25.66</v>
      </c>
      <c r="AA59" s="79">
        <f ca="1">+Tabla2[[#This Row],[Precio compra]]+Tabla2[[#This Row],[Div.]]</f>
        <v>27.5</v>
      </c>
      <c r="AB59" s="96">
        <f ca="1">1.37+'dividendos 26'!E6</f>
        <v>1.84</v>
      </c>
      <c r="AC59" s="79">
        <f ca="1">32.07-Tabla2[[#This Row],[Div.]]</f>
        <v>30.23</v>
      </c>
      <c r="AD59" s="79">
        <f ca="1">+Tabla2[[#This Row],[Objetivo div2]]+Tabla2[[#This Row],[Div.]]</f>
        <v>32.07</v>
      </c>
      <c r="AE59" s="159">
        <f ca="1">IF(Z59="-",+AC59/Y59-1,AC59/D59-1)</f>
        <v>7.0088495575221232E-2</v>
      </c>
      <c r="AF59" s="81">
        <v>34.81</v>
      </c>
      <c r="AG59" s="253">
        <f ca="1">IF(Z59="-",+AF59/D59-1,AF59/D59-1)</f>
        <v>0.23221238938053101</v>
      </c>
      <c r="AH59" s="81">
        <f ca="1">23.1-Tabla2[[#This Row],[Div.]]</f>
        <v>21.26</v>
      </c>
      <c r="AI59" s="147">
        <f ca="1">IF(Z59="-",AH59/Y59-1,+AH59/D59-1)</f>
        <v>-0.24743362831858406</v>
      </c>
      <c r="AJ59" s="121">
        <f ca="1">IF(Z59="-","-",+(D59/Z59)-1)</f>
        <v>0.10093530787217464</v>
      </c>
      <c r="AK59" s="120">
        <f ca="1">IF(AA59="-","-",+(D59/AA59)-1)</f>
        <v>2.7272727272727337E-2</v>
      </c>
      <c r="AM59" s="49" t="str">
        <f>IF(AL59=0,"-",+AL59/Z59-1)</f>
        <v>-</v>
      </c>
      <c r="AN59" s="28">
        <f ca="1">+D59/Y59-1</f>
        <v>3.669724770642202E-2</v>
      </c>
      <c r="AO59" s="75">
        <f ca="1">VLOOKUP(Tabla2[[#This Row],[TCKR]],'2026'!$D$5:$AH$257,8,FALSE)</f>
        <v>399</v>
      </c>
      <c r="AP59" s="193">
        <f ca="1">VLOOKUP(Tabla2[[#This Row],[TCKR]],'2026'!$D$5:$AH$257,26,FALSE)</f>
        <v>179.54298373821382</v>
      </c>
      <c r="AQ59" s="5" cm="1">
        <f t="array" aca="1" ref="AQ59" ca="1">_FV(Tabla2[[#This Row],[valor]],"P/E",TRUE)</f>
        <v>10.0974</v>
      </c>
      <c r="AR59" s="4"/>
      <c r="AT59" s="193">
        <f ca="1">+Tabla2[[#This Row],[Titulos2]]*Tabla2[[#This Row],[Neto]]</f>
        <v>0</v>
      </c>
      <c r="AU59" s="28">
        <f ca="1">+Tabla2[[#This Row],[Neto]]/Tabla2[[#This Row],[Precio compra2]]</f>
        <v>0</v>
      </c>
    </row>
    <row r="60" spans="1:47" ht="16" customHeight="1" x14ac:dyDescent="0.2">
      <c r="A60" s="323" t="e" vm="18">
        <v>#VALUE!</v>
      </c>
      <c r="B60" s="75" t="str" cm="1">
        <f t="array" aca="1" ref="B60" ca="1">_FV(A60,"Ticker symbol",TRUE)</f>
        <v>ABUS</v>
      </c>
      <c r="C60" s="217" cm="1">
        <f t="array" aca="1" ref="C60" ca="1">_FV(A60,"Change (%)",TRUE)</f>
        <v>1.9047999999999999E-2</v>
      </c>
      <c r="D60" s="144" cm="1">
        <f t="array" aca="1" ref="D60" ca="1">_FV(A60,"Price")</f>
        <v>4.28</v>
      </c>
      <c r="E60" s="159">
        <f ca="1">AE60</f>
        <v>9.1121495327102675E-2</v>
      </c>
      <c r="F60" s="321">
        <f ca="1">+Tabla2[[#This Row],[Rentab. Parcial]]</f>
        <v>0.13527851458885953</v>
      </c>
      <c r="G60" s="321">
        <f ca="1">+Tabla2[[#This Row],[Rentab. Parcial2]]</f>
        <v>0.13527851458885953</v>
      </c>
      <c r="H60" s="253">
        <f ca="1">+Tabla2[[#This Row],[Difer. Investing]]</f>
        <v>0.31775700934579421</v>
      </c>
      <c r="I60" s="79">
        <f>+Tabla2[[#This Row],[Objetivo div2]]</f>
        <v>4.67</v>
      </c>
      <c r="J60" s="75" cm="1">
        <f t="array" aca="1" ref="J60" ca="1">_FV(A60,"High")</f>
        <v>4.33</v>
      </c>
      <c r="K60" s="75" cm="1">
        <f t="array" aca="1" ref="K60" ca="1">_FV(A60,"Low")</f>
        <v>4.17</v>
      </c>
      <c r="L60" s="75" cm="1">
        <f t="array" aca="1" ref="L60" ca="1">_FV(Tabla2[[#This Row],[valor]],"52 week high",TRUE)</f>
        <v>5.0999999999999996</v>
      </c>
      <c r="M60" s="75">
        <f ca="1">+Tabla2[[#This Row],[52 high]]*0.9</f>
        <v>4.59</v>
      </c>
      <c r="N60" s="75">
        <f ca="1">+Tabla2[[#This Row],[52 high]]*0.95</f>
        <v>4.8449999999999998</v>
      </c>
      <c r="O60" s="75" cm="1">
        <f t="array" aca="1" ref="O60" ca="1">_FV(Tabla2[[#This Row],[valor]],"52 week low",TRUE)</f>
        <v>2.94</v>
      </c>
      <c r="P60" s="220">
        <f ca="1">+TODAY()-Tabla2[[#This Row],[F. compra]]</f>
        <v>509</v>
      </c>
      <c r="Q60" s="220">
        <f ca="1">GESTEP(Tabla2[[#This Row],[price]],Tabla2[[#This Row],[HIGH 10%]])</f>
        <v>0</v>
      </c>
      <c r="R60" s="220">
        <f ca="1">GESTEP(Tabla2[[#This Row],[price]],Tabla2[[#This Row],[HIGH 5%]])</f>
        <v>0</v>
      </c>
      <c r="S60" s="75" t="s">
        <v>76</v>
      </c>
      <c r="T60" s="110" t="s">
        <v>78</v>
      </c>
      <c r="U60" s="110" t="s">
        <v>26</v>
      </c>
      <c r="V60" s="16">
        <v>45631</v>
      </c>
      <c r="W60" s="16">
        <v>45631</v>
      </c>
      <c r="X60" s="80" t="s">
        <v>11</v>
      </c>
      <c r="Y60" s="79">
        <v>3.77</v>
      </c>
      <c r="Z60" s="79">
        <v>3.77</v>
      </c>
      <c r="AA60" s="79">
        <f>+Tabla2[[#This Row],[Precio compra]]+Tabla2[[#This Row],[Div.]]</f>
        <v>3.77</v>
      </c>
      <c r="AB60" s="96"/>
      <c r="AC60" s="79">
        <v>4.67</v>
      </c>
      <c r="AD60" s="79">
        <f>+Tabla2[[#This Row],[Objetivo div2]]</f>
        <v>4.67</v>
      </c>
      <c r="AE60" s="159">
        <f ca="1">IF(Z60="-",+AC60/Y60-1,AC60/D60-1)</f>
        <v>9.1121495327102675E-2</v>
      </c>
      <c r="AF60" s="81">
        <v>5.64</v>
      </c>
      <c r="AG60" s="253">
        <f ca="1">IF(Z60="-",+AF60/D60-1,AF60/D60-1)</f>
        <v>0.31775700934579421</v>
      </c>
      <c r="AH60" s="81">
        <v>3.32</v>
      </c>
      <c r="AI60" s="147">
        <f ca="1">IF(Z60="-",AH60/Y60-1,+AH60/D60-1)</f>
        <v>-0.22429906542056088</v>
      </c>
      <c r="AJ60" s="121">
        <f ca="1">IF(Z60="-","-",+(D60/Z60)-1)</f>
        <v>0.13527851458885953</v>
      </c>
      <c r="AK60" s="120">
        <f ca="1">IF(AA60="-","-",+(D60/AA60)-1)</f>
        <v>0.13527851458885953</v>
      </c>
      <c r="AM60" s="49" t="str">
        <f>IF(AL60=0,"-",+AL60/Z60-1)</f>
        <v>-</v>
      </c>
      <c r="AN60" s="28">
        <f ca="1">+D60/Y60-1</f>
        <v>0.13527851458885953</v>
      </c>
      <c r="AO60" s="75">
        <f ca="1">VLOOKUP(Tabla2[[#This Row],[TCKR]],'2026'!$D$5:$AH$257,8,FALSE)</f>
        <v>1500</v>
      </c>
      <c r="AP60" s="193">
        <f ca="1">VLOOKUP(Tabla2[[#This Row],[TCKR]],'2026'!$D$5:$AH$257,26,FALSE)</f>
        <v>54.991261377859338</v>
      </c>
      <c r="AQ60" s="5" cm="1">
        <f t="array" aca="1" ref="AQ60" ca="1">_FV(Tabla2[[#This Row],[valor]],"P/E",TRUE)</f>
        <v>0</v>
      </c>
      <c r="AR60" s="4"/>
      <c r="AT60" s="193">
        <f ca="1">+Tabla2[[#This Row],[Titulos2]]*Tabla2[[#This Row],[Neto]]</f>
        <v>0</v>
      </c>
      <c r="AU60" s="28">
        <f>+Tabla2[[#This Row],[Neto]]/Tabla2[[#This Row],[Precio compra2]]</f>
        <v>0</v>
      </c>
    </row>
    <row r="61" spans="1:47" ht="16" customHeight="1" x14ac:dyDescent="0.2">
      <c r="A61" s="323" t="e" vm="97">
        <v>#VALUE!</v>
      </c>
      <c r="B61" s="242" t="str" cm="1">
        <f t="array" aca="1" ref="B61" ca="1">_FV(A61,"Ticker symbol",TRUE)</f>
        <v>IRDM</v>
      </c>
      <c r="C61" s="217" cm="1">
        <f t="array" aca="1" ref="C61" ca="1">_FV(A61,"Change (%)",TRUE)</f>
        <v>-4.0041E-2</v>
      </c>
      <c r="D61" s="144" cm="1">
        <f t="array" aca="1" ref="D61" ca="1">_FV(A61,"Price")</f>
        <v>37.4</v>
      </c>
      <c r="E61" s="159">
        <f ca="1">AE61</f>
        <v>6.2032085561497308E-2</v>
      </c>
      <c r="F61" s="321">
        <f ca="1">+Tabla2[[#This Row],[Rentab. Parcial]]</f>
        <v>0.23964202850513749</v>
      </c>
      <c r="G61" s="321">
        <f ca="1">+Tabla2[[#This Row],[Rentab. Parcial2]]</f>
        <v>0.22945430637738329</v>
      </c>
      <c r="H61" s="253">
        <f ca="1">+Tabla2[[#This Row],[Difer. Investing]]</f>
        <v>9.1711229946524142E-2</v>
      </c>
      <c r="I61" s="79">
        <f>+Tabla2[[#This Row],[Objetivo div2]]</f>
        <v>39.72</v>
      </c>
      <c r="J61" s="75" cm="1">
        <f t="array" aca="1" ref="J61" ca="1">_FV(A61,"High")</f>
        <v>39.81</v>
      </c>
      <c r="K61" s="75" cm="1">
        <f t="array" aca="1" ref="K61" ca="1">_FV(A61,"Low")</f>
        <v>35.82</v>
      </c>
      <c r="L61" s="75" cm="1">
        <f t="array" aca="1" ref="L61" ca="1">_FV(Tabla2[[#This Row],[valor]],"52 week high",TRUE)</f>
        <v>44.3596</v>
      </c>
      <c r="M61" s="75">
        <f ca="1">+L61*0.9</f>
        <v>39.923639999999999</v>
      </c>
      <c r="N61" s="75">
        <f ca="1">+L61*0.95</f>
        <v>42.141619999999996</v>
      </c>
      <c r="O61" s="75" cm="1">
        <f t="array" aca="1" ref="O61" ca="1">_FV(A61,"52 week low",TRUE)</f>
        <v>15.645</v>
      </c>
      <c r="P61" s="220">
        <f ca="1">+TODAY()-Tabla2[[#This Row],[F. compra]]</f>
        <v>456</v>
      </c>
      <c r="Q61" s="220">
        <f ca="1">GESTEP(D61,M61)</f>
        <v>0</v>
      </c>
      <c r="R61" s="220">
        <f ca="1">GESTEP(D61,N61)</f>
        <v>0</v>
      </c>
      <c r="S61" s="75" t="s">
        <v>75</v>
      </c>
      <c r="T61" s="110" t="s">
        <v>78</v>
      </c>
      <c r="U61" s="110" t="s">
        <v>131</v>
      </c>
      <c r="V61" s="16">
        <v>45684</v>
      </c>
      <c r="W61" s="16">
        <v>45684</v>
      </c>
      <c r="X61" s="80" t="s">
        <v>11</v>
      </c>
      <c r="Y61" s="79">
        <v>31.25</v>
      </c>
      <c r="Z61" s="79">
        <f>30.42-Tabla2[[#This Row],[Div.]]</f>
        <v>30.17</v>
      </c>
      <c r="AA61" s="79">
        <f>+Tabla2[[#This Row],[Precio compra]]+Tabla2[[#This Row],[Div.]]</f>
        <v>30.42</v>
      </c>
      <c r="AB61" s="96">
        <v>0.25</v>
      </c>
      <c r="AC61" s="79">
        <f>39.97-Tabla2[[#This Row],[Div.]]</f>
        <v>39.72</v>
      </c>
      <c r="AD61" s="79">
        <f>+Tabla2[[#This Row],[Objetivo div2]]+Tabla2[[#This Row],[Div.]]</f>
        <v>39.97</v>
      </c>
      <c r="AE61" s="159">
        <f ca="1">IF(Z61="-",+AC61/Y61-1,AC61/D61-1)</f>
        <v>6.2032085561497308E-2</v>
      </c>
      <c r="AF61" s="81">
        <v>40.83</v>
      </c>
      <c r="AG61" s="253">
        <f ca="1">IF(Z61="-",+AF61/D61-1,AF61/D61-1)</f>
        <v>9.1711229946524142E-2</v>
      </c>
      <c r="AH61" s="81">
        <f>26.89-Tabla2[[#This Row],[Div.]]</f>
        <v>26.64</v>
      </c>
      <c r="AI61" s="147">
        <f ca="1">IF(Z61="-",AH61/Y61-1,+AH61/D61-1)</f>
        <v>-0.2877005347593582</v>
      </c>
      <c r="AJ61" s="121">
        <f ca="1">IF(Z61="-","-",+(D61/Z61)-1)</f>
        <v>0.23964202850513749</v>
      </c>
      <c r="AK61" s="120">
        <f ca="1">IF(AA61="-","-",+(D61/AA61)-1)</f>
        <v>0.22945430637738329</v>
      </c>
      <c r="AM61" s="49" t="str">
        <f>IF(AL61=0,"-",+AL61/Z61-1)</f>
        <v>-</v>
      </c>
      <c r="AN61" s="28">
        <f ca="1">+D61/Y61-1</f>
        <v>0.19679999999999986</v>
      </c>
      <c r="AO61" s="75">
        <f ca="1">VLOOKUP(Tabla2[[#This Row],[TCKR]],'2026'!$D$5:$AH$257,8,FALSE)</f>
        <v>250</v>
      </c>
      <c r="AP61" s="193">
        <f ca="1">VLOOKUP(Tabla2[[#This Row],[TCKR]],'2026'!$D$5:$AH$257,26,FALSE)</f>
        <v>580.48614947426745</v>
      </c>
      <c r="AQ61" s="5" cm="1">
        <f t="array" aca="1" ref="AQ61" ca="1">_FV(Tabla2[[#This Row],[valor]],"P/E",TRUE)</f>
        <v>39.288499999999999</v>
      </c>
      <c r="AR61" s="4"/>
      <c r="AT61" s="193">
        <f ca="1">+Tabla2[[#This Row],[Titulos2]]*Tabla2[[#This Row],[Neto]]</f>
        <v>0</v>
      </c>
      <c r="AU61" s="28">
        <f>+Tabla2[[#This Row],[Neto]]/Tabla2[[#This Row],[Precio compra2]]</f>
        <v>0</v>
      </c>
    </row>
    <row r="62" spans="1:47" ht="16" customHeight="1" x14ac:dyDescent="0.2">
      <c r="A62" s="323" t="e" vm="32">
        <v>#VALUE!</v>
      </c>
      <c r="B62" s="75" t="str" cm="1">
        <f t="array" aca="1" ref="B62" ca="1">_FV(A62,"Ticker symbol",TRUE)</f>
        <v>BCRX</v>
      </c>
      <c r="C62" s="217" cm="1">
        <f t="array" aca="1" ref="C62" ca="1">_FV(A62,"Change (%)",TRUE)</f>
        <v>-4.4740000000000005E-3</v>
      </c>
      <c r="D62" s="144" cm="1">
        <f t="array" aca="1" ref="D62" ca="1">_FV(A62,"Price")</f>
        <v>8.9</v>
      </c>
      <c r="E62" s="159">
        <f ca="1">AE62</f>
        <v>0.14494382022471908</v>
      </c>
      <c r="F62" s="321">
        <f ca="1">+Tabla2[[#This Row],[Rentab. Parcial]]</f>
        <v>8.4241944326003404E-2</v>
      </c>
      <c r="G62" s="321">
        <f ca="1">+Tabla2[[#This Row],[Rentab. Parcial2]]</f>
        <v>8.4241944326003404E-2</v>
      </c>
      <c r="H62" s="253">
        <f ca="1">+Tabla2[[#This Row],[Difer. Investing]]</f>
        <v>0.65393258426966283</v>
      </c>
      <c r="I62" s="79">
        <f>+Tabla2[[#This Row],[Objetivo div2]]</f>
        <v>10.19</v>
      </c>
      <c r="J62" s="75" cm="1">
        <f t="array" aca="1" ref="J62" ca="1">_FV(A62,"High")</f>
        <v>9.1999999999999993</v>
      </c>
      <c r="K62" s="75" cm="1">
        <f t="array" aca="1" ref="K62" ca="1">_FV(A62,"Low")</f>
        <v>8.8800000000000008</v>
      </c>
      <c r="L62" s="75" cm="1">
        <f t="array" aca="1" ref="L62" ca="1">_FV(Tabla2[[#This Row],[valor]],"52 week high",TRUE)</f>
        <v>11.31</v>
      </c>
      <c r="M62" s="75">
        <f ca="1">+Tabla2[[#This Row],[52 high]]*0.9</f>
        <v>10.179</v>
      </c>
      <c r="N62" s="75">
        <f ca="1">+Tabla2[[#This Row],[52 high]]*0.95</f>
        <v>10.7445</v>
      </c>
      <c r="O62" s="75" cm="1">
        <f t="array" aca="1" ref="O62" ca="1">_FV(Tabla2[[#This Row],[valor]],"52 week low",TRUE)</f>
        <v>6</v>
      </c>
      <c r="P62" s="220">
        <f ca="1">+TODAY()-Tabla2[[#This Row],[F. compra]]</f>
        <v>609</v>
      </c>
      <c r="Q62" s="220">
        <f ca="1">GESTEP(Tabla2[[#This Row],[price]],Tabla2[[#This Row],[HIGH 10%]])</f>
        <v>0</v>
      </c>
      <c r="R62" s="220">
        <f ca="1">GESTEP(Tabla2[[#This Row],[price]],Tabla2[[#This Row],[HIGH 5%]])</f>
        <v>0</v>
      </c>
      <c r="S62" s="75" t="s">
        <v>76</v>
      </c>
      <c r="T62" s="110" t="s">
        <v>78</v>
      </c>
      <c r="U62" s="110" t="s">
        <v>26</v>
      </c>
      <c r="V62" s="16">
        <v>45531</v>
      </c>
      <c r="W62" s="16">
        <v>45531</v>
      </c>
      <c r="X62" s="80" t="s">
        <v>134</v>
      </c>
      <c r="Y62" s="79">
        <v>8.24</v>
      </c>
      <c r="Z62" s="79">
        <v>8.2085000000000008</v>
      </c>
      <c r="AA62" s="79">
        <f>+Tabla2[[#This Row],[Precio compra]]+Tabla2[[#This Row],[Div.]]</f>
        <v>8.2085000000000008</v>
      </c>
      <c r="AB62" s="96"/>
      <c r="AC62" s="79">
        <v>10.19</v>
      </c>
      <c r="AD62" s="79">
        <f>+Tabla2[[#This Row],[Objetivo div2]]+Tabla2[[#This Row],[Div.]]</f>
        <v>10.19</v>
      </c>
      <c r="AE62" s="159">
        <f ca="1">IF(Z62="-",+AC62/Y62-1,AC62/D62-1)</f>
        <v>0.14494382022471908</v>
      </c>
      <c r="AF62" s="81">
        <v>14.72</v>
      </c>
      <c r="AG62" s="253">
        <f ca="1">IF(Z62="-",+AF62/D62-1,AF62/D62-1)</f>
        <v>0.65393258426966283</v>
      </c>
      <c r="AH62" s="81">
        <v>7.33</v>
      </c>
      <c r="AI62" s="147">
        <f ca="1">IF(Z62="-",AH62/Y62-1,+AH62/D62-1)</f>
        <v>-0.17640449438202255</v>
      </c>
      <c r="AJ62" s="121">
        <f ca="1">IF(Z62="-","-",+(D62/Z62)-1)</f>
        <v>8.4241944326003404E-2</v>
      </c>
      <c r="AK62" s="120">
        <f ca="1">IF(AA62="-","-",+(D62/AA62)-1)</f>
        <v>8.4241944326003404E-2</v>
      </c>
      <c r="AM62" s="49" t="str">
        <f>IF(AL62=0,"-",+AL62/Z62-1)</f>
        <v>-</v>
      </c>
      <c r="AN62" s="28">
        <f ca="1">+D62/Y62-1</f>
        <v>8.0097087378640852E-2</v>
      </c>
      <c r="AO62" s="75">
        <f ca="1">VLOOKUP(Tabla2[[#This Row],[TCKR]],'2026'!$D$5:$AH$257,8,FALSE)</f>
        <v>487</v>
      </c>
      <c r="AP62" s="193">
        <f ca="1">VLOOKUP(Tabla2[[#This Row],[TCKR]],'2026'!$D$5:$AH$257,26,FALSE)</f>
        <v>56.855941091041302</v>
      </c>
      <c r="AQ62" s="5" cm="1">
        <f t="array" aca="1" ref="AQ62" ca="1">_FV(Tabla2[[#This Row],[valor]],"P/E",TRUE)</f>
        <v>7.3975999999999997</v>
      </c>
      <c r="AR62" s="4"/>
      <c r="AT62" s="193">
        <f ca="1">+Tabla2[[#This Row],[Titulos2]]*Tabla2[[#This Row],[Neto]]</f>
        <v>0</v>
      </c>
      <c r="AU62" s="28">
        <f>+Tabla2[[#This Row],[Neto]]/Tabla2[[#This Row],[Precio compra2]]</f>
        <v>0</v>
      </c>
    </row>
    <row r="63" spans="1:47" ht="16" customHeight="1" x14ac:dyDescent="0.2">
      <c r="A63" s="75" t="e" vm="138">
        <v>#VALUE!</v>
      </c>
      <c r="B63" s="75" t="str" cm="1">
        <f t="array" aca="1" ref="B63" ca="1">_FV(A63,"Ticker symbol",TRUE)</f>
        <v>PUIG</v>
      </c>
      <c r="C63" s="217" cm="1">
        <f t="array" aca="1" ref="C63" ca="1">_FV(A63,"Change (%)",TRUE)</f>
        <v>0</v>
      </c>
      <c r="D63" s="144" cm="1">
        <f t="array" aca="1" ref="D63" ca="1">_FV(A63,"Price")</f>
        <v>18.38</v>
      </c>
      <c r="E63" s="159">
        <f ca="1">AE63</f>
        <v>0.1267682263329708</v>
      </c>
      <c r="F63" s="321">
        <f ca="1">+Tabla2[[#This Row],[Rentab. Parcial]]</f>
        <v>3.5201351731906305E-2</v>
      </c>
      <c r="G63" s="321">
        <f ca="1">+Tabla2[[#This Row],[Rentab. Parcial2]]</f>
        <v>1.3509787703335885E-2</v>
      </c>
      <c r="H63" s="253">
        <f ca="1">+Tabla2[[#This Row],[Difer. Investing]]</f>
        <v>8.1610446137105663E-2</v>
      </c>
      <c r="I63" s="79">
        <f>+Tabla2[[#This Row],[Objetivo div2]]</f>
        <v>20.71</v>
      </c>
      <c r="J63" s="75" cm="1">
        <f t="array" aca="1" ref="J63" ca="1">_FV(A63,"High")</f>
        <v>18.559999999999999</v>
      </c>
      <c r="K63" s="75" cm="1">
        <f t="array" aca="1" ref="K63" ca="1">_FV(A63,"Low")</f>
        <v>18.25</v>
      </c>
      <c r="L63" s="75" cm="1">
        <f t="array" aca="1" ref="L63" ca="1">_FV(Tabla2[[#This Row],[valor]],"52 week high",TRUE)</f>
        <v>18.89</v>
      </c>
      <c r="M63" s="75">
        <f ca="1">+L63*0.9</f>
        <v>17.001000000000001</v>
      </c>
      <c r="N63" s="75">
        <f ca="1">+L63*0.95</f>
        <v>17.945499999999999</v>
      </c>
      <c r="O63" s="75" cm="1">
        <f t="array" aca="1" ref="O63" ca="1">_FV(A63,"52 week low",TRUE)</f>
        <v>13.11</v>
      </c>
      <c r="P63" s="220">
        <f ca="1">+TODAY()-Tabla2[[#This Row],[F. compra]]</f>
        <v>466</v>
      </c>
      <c r="Q63" s="220">
        <f ca="1">GESTEP(D63,M63)</f>
        <v>1</v>
      </c>
      <c r="R63" s="220">
        <f ca="1">GESTEP(D63,N63)</f>
        <v>1</v>
      </c>
      <c r="S63" s="75" t="s">
        <v>75</v>
      </c>
      <c r="T63" s="110" t="s">
        <v>78</v>
      </c>
      <c r="U63" s="110" t="s">
        <v>26</v>
      </c>
      <c r="V63" s="16">
        <v>45674</v>
      </c>
      <c r="W63" s="16">
        <v>45674</v>
      </c>
      <c r="X63" s="80" t="s">
        <v>11</v>
      </c>
      <c r="Y63" s="79">
        <v>18.32</v>
      </c>
      <c r="Z63" s="79">
        <f>18.135-Tabla2[[#This Row],[Div.]]</f>
        <v>17.755000000000003</v>
      </c>
      <c r="AA63" s="79">
        <f>+Tabla2[[#This Row],[Precio compra]]+Tabla2[[#This Row],[Div.]]</f>
        <v>18.135000000000002</v>
      </c>
      <c r="AB63" s="96">
        <v>0.38</v>
      </c>
      <c r="AC63" s="79">
        <f>21.09-Tabla2[[#This Row],[Div.]]</f>
        <v>20.71</v>
      </c>
      <c r="AD63" s="79">
        <f>+Tabla2[[#This Row],[Objetivo div2]]+Tabla2[[#This Row],[Div.]]</f>
        <v>21.09</v>
      </c>
      <c r="AE63" s="159">
        <f ca="1">IF(Z63="-",+AC63/Y63-1,AC63/D63-1)</f>
        <v>0.1267682263329708</v>
      </c>
      <c r="AF63" s="81">
        <v>19.88</v>
      </c>
      <c r="AG63" s="253">
        <f ca="1">IF(Z63="-",+AF63/D63-1,AF63/D63-1)</f>
        <v>8.1610446137105663E-2</v>
      </c>
      <c r="AH63" s="81">
        <f>16.94-Tabla2[[#This Row],[Div.]]</f>
        <v>16.560000000000002</v>
      </c>
      <c r="AI63" s="147">
        <f ca="1">IF(Z63="-",AH63/Y63-1,+AH63/D63-1)</f>
        <v>-9.9020674646354556E-2</v>
      </c>
      <c r="AJ63" s="121">
        <f ca="1">IF(Z63="-","-",+(D63/Z63)-1)</f>
        <v>3.5201351731906305E-2</v>
      </c>
      <c r="AK63" s="120">
        <f ca="1">IF(AA63="-","-",+(D63/AA63)-1)</f>
        <v>1.3509787703335885E-2</v>
      </c>
      <c r="AM63" s="49" t="str">
        <f>IF(AL63=0,"-",+AL63/Z63-1)</f>
        <v>-</v>
      </c>
      <c r="AN63" s="28">
        <f ca="1">+D63/Y63-1</f>
        <v>3.2751091703056012E-3</v>
      </c>
      <c r="AO63" s="75">
        <f ca="1">VLOOKUP(Tabla2[[#This Row],[TCKR]],'2026'!$D$5:$AH$257,8,FALSE)</f>
        <v>550</v>
      </c>
      <c r="AP63" s="193">
        <f ca="1">VLOOKUP(Tabla2[[#This Row],[TCKR]],'2026'!$D$5:$AH$257,26,FALSE)</f>
        <v>63.80642521283643</v>
      </c>
      <c r="AQ63" s="5" cm="1">
        <f t="array" aca="1" ref="AQ63" ca="1">_FV(Tabla2[[#This Row],[valor]],"P/E",TRUE)</f>
        <v>17.438300000000002</v>
      </c>
      <c r="AR63" s="4"/>
      <c r="AT63" s="193">
        <f ca="1">+Tabla2[[#This Row],[Titulos2]]*Tabla2[[#This Row],[Neto]]</f>
        <v>0</v>
      </c>
      <c r="AU63" s="28">
        <f>+Tabla2[[#This Row],[Neto]]/Tabla2[[#This Row],[Precio compra2]]</f>
        <v>0</v>
      </c>
    </row>
    <row r="64" spans="1:47" ht="16" customHeight="1" x14ac:dyDescent="0.2">
      <c r="A64" s="330" t="e" vm="110">
        <v>#VALUE!</v>
      </c>
      <c r="B64" s="75" t="str" cm="1">
        <f t="array" aca="1" ref="B64" ca="1">_FV(A64,"Ticker symbol",TRUE)</f>
        <v>ALHG</v>
      </c>
      <c r="C64" s="217" cm="1">
        <f t="array" aca="1" ref="C64" ca="1">_FV(A64,"Change (%)",TRUE)</f>
        <v>9.3620000000000005E-3</v>
      </c>
      <c r="D64" s="144" cm="1">
        <f t="array" aca="1" ref="D64" ca="1">_FV(A64,"Price")</f>
        <v>1.7250000000000001</v>
      </c>
      <c r="E64" s="289">
        <f ca="1">AE64</f>
        <v>0.12886956521739124</v>
      </c>
      <c r="F64" s="321">
        <f ca="1">+Tabla2[[#This Row],[Rentab. Parcial]]</f>
        <v>0.11290322580645173</v>
      </c>
      <c r="G64" s="321">
        <f ca="1">+Tabla2[[#This Row],[Rentab. Parcial2]]</f>
        <v>0.11290322580645173</v>
      </c>
      <c r="H64" s="253">
        <f ca="1">+Tabla2[[#This Row],[Difer. Investing]]</f>
        <v>0.30434782608695654</v>
      </c>
      <c r="I64" s="79">
        <f>+Tabla2[[#This Row],[Objetivo div2]]</f>
        <v>1.9473</v>
      </c>
      <c r="J64" s="75" cm="1">
        <f t="array" aca="1" ref="J64" ca="1">_FV(A64,"High")</f>
        <v>1.7250000000000001</v>
      </c>
      <c r="K64" s="75" cm="1">
        <f t="array" aca="1" ref="K64" ca="1">_FV(A64,"Low")</f>
        <v>1.6919999999999999</v>
      </c>
      <c r="L64" s="75" cm="1">
        <f t="array" aca="1" ref="L64" ca="1">_FV(Tabla2[[#This Row],[valor]],"52 week high",TRUE)</f>
        <v>1.79</v>
      </c>
      <c r="M64" s="75">
        <f ca="1">+L64*0.9</f>
        <v>1.611</v>
      </c>
      <c r="N64" s="75">
        <f ca="1">+L64*0.95</f>
        <v>1.7004999999999999</v>
      </c>
      <c r="O64" s="75" cm="1">
        <f t="array" aca="1" ref="O64" ca="1">_FV(A64,"52 week low",TRUE)</f>
        <v>1.28</v>
      </c>
      <c r="P64" s="220">
        <f ca="1">+TODAY()-Tabla2[[#This Row],[F. compra]]</f>
        <v>115</v>
      </c>
      <c r="Q64" s="220">
        <f ca="1">GESTEP(D64,M64)</f>
        <v>1</v>
      </c>
      <c r="R64" s="220">
        <f ca="1">GESTEP(D64,N64)</f>
        <v>1</v>
      </c>
      <c r="S64" s="75" t="s">
        <v>75</v>
      </c>
      <c r="T64" s="110" t="s">
        <v>78</v>
      </c>
      <c r="U64" s="110" t="s">
        <v>72</v>
      </c>
      <c r="V64" s="16">
        <v>46025</v>
      </c>
      <c r="W64" s="16">
        <v>46025</v>
      </c>
      <c r="X64" s="80" t="s">
        <v>323</v>
      </c>
      <c r="Y64" s="79">
        <v>1.569</v>
      </c>
      <c r="Z64" s="79">
        <v>1.55</v>
      </c>
      <c r="AA64" s="79">
        <v>1.55</v>
      </c>
      <c r="AB64" s="79"/>
      <c r="AC64" s="79">
        <v>1.9473</v>
      </c>
      <c r="AD64" s="82">
        <f>+Tabla2[[#This Row],[Objetivo div2]]+Tabla2[[#This Row],[Div.]]</f>
        <v>1.9473</v>
      </c>
      <c r="AE64" s="289">
        <f ca="1">IF(Z64="-",+AC64/Y64-1,AC64/D64-1)</f>
        <v>0.12886956521739124</v>
      </c>
      <c r="AF64" s="76">
        <v>2.25</v>
      </c>
      <c r="AG64" s="253">
        <f ca="1">IF(Z64="-",+AF64/D64-1,AF64/D64-1)</f>
        <v>0.30434782608695654</v>
      </c>
      <c r="AH64" s="76">
        <v>1.4095</v>
      </c>
      <c r="AI64" s="147">
        <f ca="1">IF(Z64="-",AH64/Y64-1,+AH64/D64-1)</f>
        <v>-0.18289855072463779</v>
      </c>
      <c r="AJ64" s="121">
        <f ca="1">IF(Z64="-","-",+(D64/Z64)-1)</f>
        <v>0.11290322580645173</v>
      </c>
      <c r="AK64" s="120">
        <f ca="1">IF(AA64="-","-",+(D64/AA64)-1)</f>
        <v>0.11290322580645173</v>
      </c>
      <c r="AM64" s="49" t="str">
        <f>IF(AL64=0,"-",+AL64/Z64-1)</f>
        <v>-</v>
      </c>
      <c r="AN64" s="28">
        <f ca="1">+D64/Y64-1</f>
        <v>9.9426386233269604E-2</v>
      </c>
      <c r="AO64" s="75">
        <f ca="1">VLOOKUP(Tabla2[[#This Row],[TCKR]],'2026'!$D$5:$AH$257,8,FALSE)</f>
        <v>10000</v>
      </c>
      <c r="AP64" s="193">
        <f ca="1">VLOOKUP(Tabla2[[#This Row],[TCKR]],'2026'!$D$5:$AH$257,26,FALSE)</f>
        <v>1349.7962816262977</v>
      </c>
      <c r="AQ64" s="5" cm="1">
        <f t="array" aca="1" ref="AQ64" ca="1">_FV(Tabla2[[#This Row],[valor]],"P/E",TRUE)</f>
        <v>76.981999999999999</v>
      </c>
      <c r="AR64" s="4"/>
      <c r="AT64" s="193">
        <f ca="1">+Tabla2[[#This Row],[Titulos2]]*Tabla2[[#This Row],[Neto]]</f>
        <v>0</v>
      </c>
      <c r="AU64" s="28">
        <f>+Tabla2[[#This Row],[Neto]]/Tabla2[[#This Row],[Precio compra2]]</f>
        <v>0</v>
      </c>
    </row>
    <row r="65" spans="1:47" ht="16" customHeight="1" x14ac:dyDescent="0.2">
      <c r="A65" s="325" t="e" vm="52">
        <v>#VALUE!</v>
      </c>
      <c r="B65" s="75" t="str" cm="1">
        <f t="array" aca="1" ref="B65" ca="1">_FV(A65,"Ticker symbol",TRUE)</f>
        <v>ACA</v>
      </c>
      <c r="C65" s="217" cm="1">
        <f t="array" aca="1" ref="C65" ca="1">_FV(A65,"Change (%)",TRUE)</f>
        <v>2.3400000000000001E-3</v>
      </c>
      <c r="D65" s="144" cm="1">
        <f t="array" aca="1" ref="D65" ca="1">_FV(A65,"Price")</f>
        <v>17.135000000000002</v>
      </c>
      <c r="E65" s="289">
        <f ca="1">AE65</f>
        <v>0.13802159323023044</v>
      </c>
      <c r="F65" s="321">
        <f ca="1">+Tabla2[[#This Row],[Rentab. Parcial]]</f>
        <v>-5.0692520775623251E-2</v>
      </c>
      <c r="G65" s="321">
        <f ca="1">+Tabla2[[#This Row],[Rentab. Parcial2]]</f>
        <v>-5.0692520775623251E-2</v>
      </c>
      <c r="H65" s="253">
        <f ca="1">+Tabla2[[#This Row],[Difer. Investing]]</f>
        <v>0.13335278669390127</v>
      </c>
      <c r="I65" s="79">
        <f>+Tabla2[[#This Row],[Objetivo div2]]</f>
        <v>19.5</v>
      </c>
      <c r="J65" s="75" cm="1">
        <f t="array" aca="1" ref="J65" ca="1">_FV(A65,"High")</f>
        <v>17.23</v>
      </c>
      <c r="K65" s="75" cm="1">
        <f t="array" aca="1" ref="K65" ca="1">_FV(A65,"Low")</f>
        <v>17.015000000000001</v>
      </c>
      <c r="L65" s="75" cm="1">
        <f t="array" aca="1" ref="L65" ca="1">_FV(Tabla2[[#This Row],[valor]],"52 week high",TRUE)</f>
        <v>19.149999999999999</v>
      </c>
      <c r="M65" s="75">
        <f ca="1">+L65*0.9</f>
        <v>17.234999999999999</v>
      </c>
      <c r="N65" s="75">
        <f ca="1">+L65*0.95</f>
        <v>18.192499999999999</v>
      </c>
      <c r="O65" s="75" cm="1">
        <f t="array" aca="1" ref="O65" ca="1">_FV(A65,"52 week low",TRUE)</f>
        <v>15.29</v>
      </c>
      <c r="P65" s="220">
        <f ca="1">+TODAY()-Tabla2[[#This Row],[F. compra]]</f>
        <v>90</v>
      </c>
      <c r="Q65" s="220">
        <f ca="1">GESTEP(D65,M65)</f>
        <v>0</v>
      </c>
      <c r="R65" s="220">
        <f ca="1">GESTEP(D65,N65)</f>
        <v>0</v>
      </c>
      <c r="S65" s="75" t="s">
        <v>75</v>
      </c>
      <c r="T65" s="110" t="s">
        <v>77</v>
      </c>
      <c r="U65" s="110" t="s">
        <v>26</v>
      </c>
      <c r="V65" s="16">
        <v>46050</v>
      </c>
      <c r="W65" s="16">
        <v>46050</v>
      </c>
      <c r="X65" s="80"/>
      <c r="Y65" s="79">
        <v>18.5</v>
      </c>
      <c r="Z65" s="79">
        <v>18.05</v>
      </c>
      <c r="AA65" s="79">
        <v>18.05</v>
      </c>
      <c r="AB65" s="79"/>
      <c r="AC65" s="79">
        <v>19.5</v>
      </c>
      <c r="AD65" s="82">
        <f>+Tabla2[[#This Row],[Objetivo div2]]+Tabla2[[#This Row],[Div.]]</f>
        <v>19.5</v>
      </c>
      <c r="AE65" s="289">
        <f ca="1">IF(Z65="-",+AC65/Y65-1,AC65/D65-1)</f>
        <v>0.13802159323023044</v>
      </c>
      <c r="AF65" s="76">
        <v>19.420000000000002</v>
      </c>
      <c r="AG65" s="253">
        <f ca="1">IF(Z65="-",+AF65/D65-1,AF65/D65-1)</f>
        <v>0.13335278669390127</v>
      </c>
      <c r="AH65" s="76">
        <v>17</v>
      </c>
      <c r="AI65" s="147">
        <f ca="1">IF(Z65="-",AH65/Y65-1,+AH65/D65-1)</f>
        <v>-7.8786110300554935E-3</v>
      </c>
      <c r="AJ65" s="121">
        <f ca="1">IF(Z65="-","-",+(D65/Z65)-1)</f>
        <v>-5.0692520775623251E-2</v>
      </c>
      <c r="AK65" s="120">
        <f ca="1">IF(AA65="-","-",+(D65/AA65)-1)</f>
        <v>-5.0692520775623251E-2</v>
      </c>
      <c r="AM65" s="49" t="str">
        <f>IF(AL65=0,"-",+AL65/Z65-1)</f>
        <v>-</v>
      </c>
      <c r="AN65" s="28">
        <f ca="1">+D65/Y65-1</f>
        <v>-7.3783783783783696E-2</v>
      </c>
      <c r="AO65" s="75"/>
      <c r="AP65" s="193">
        <f ca="1">VLOOKUP(Tabla2[[#This Row],[TCKR]],'2026'!$D$5:$AH$257,26,FALSE)</f>
        <v>-621.63261606271794</v>
      </c>
      <c r="AR65" s="4"/>
      <c r="AU65" s="28"/>
    </row>
    <row r="66" spans="1:47" ht="16" customHeight="1" x14ac:dyDescent="0.2">
      <c r="A66" s="323" t="e" vm="121">
        <v>#VALUE!</v>
      </c>
      <c r="B66" s="75" t="str" cm="1">
        <f t="array" aca="1" ref="B66" ca="1">_FV(A66,"Ticker symbol",TRUE)</f>
        <v>MTX</v>
      </c>
      <c r="C66" s="217" cm="1">
        <f t="array" aca="1" ref="C66" ca="1">_FV(A66,"Change (%)",TRUE)</f>
        <v>5.7060000000000001E-3</v>
      </c>
      <c r="D66" s="144" cm="1">
        <f t="array" aca="1" ref="D66" ca="1">_FV(A66,"Price")</f>
        <v>72.260000000000005</v>
      </c>
      <c r="E66" s="159">
        <f ca="1">AE66</f>
        <v>0.1429092167174093</v>
      </c>
      <c r="F66" s="321">
        <f ca="1">+Tabla2[[#This Row],[Rentab. Parcial]]</f>
        <v>0.13283945755395088</v>
      </c>
      <c r="G66" s="321">
        <f ca="1">+Tabla2[[#This Row],[Rentab. Parcial2]]</f>
        <v>0.12888611154507101</v>
      </c>
      <c r="H66" s="253">
        <f ca="1">+Tabla2[[#This Row],[Difer. Investing]]</f>
        <v>0.1255189593135897</v>
      </c>
      <c r="I66" s="79">
        <f ca="1">+Tabla2[[#This Row],[Objetivo div2]]</f>
        <v>82.586619999999996</v>
      </c>
      <c r="J66" s="75" cm="1">
        <f t="array" aca="1" ref="J66" ca="1">_FV(A66,"High")</f>
        <v>72.638000000000005</v>
      </c>
      <c r="K66" s="75" cm="1">
        <f t="array" aca="1" ref="K66" ca="1">_FV(A66,"Low")</f>
        <v>71.5</v>
      </c>
      <c r="L66" s="75" cm="1">
        <f t="array" aca="1" ref="L66" ca="1">_FV(Tabla2[[#This Row],[valor]],"52 week high",TRUE)</f>
        <v>75.295000000000002</v>
      </c>
      <c r="M66" s="75">
        <f ca="1">+L66*0.9</f>
        <v>67.765500000000003</v>
      </c>
      <c r="N66" s="75">
        <f ca="1">+L66*0.95</f>
        <v>71.530249999999995</v>
      </c>
      <c r="O66" s="75" cm="1">
        <f t="array" aca="1" ref="O66" ca="1">_FV(A66,"52 week low",TRUE)</f>
        <v>49.54</v>
      </c>
      <c r="P66" s="220">
        <f ca="1">+TODAY()-Tabla2[[#This Row],[F. compra]]</f>
        <v>274</v>
      </c>
      <c r="Q66" s="220">
        <f ca="1">GESTEP(D66,M66)</f>
        <v>1</v>
      </c>
      <c r="R66" s="220">
        <f ca="1">GESTEP(D66,N66)</f>
        <v>1</v>
      </c>
      <c r="S66" s="75" t="s">
        <v>166</v>
      </c>
      <c r="T66" s="110" t="s">
        <v>78</v>
      </c>
      <c r="U66" s="110" t="s">
        <v>88</v>
      </c>
      <c r="V66" s="16">
        <v>45866</v>
      </c>
      <c r="W66" s="16">
        <v>45866</v>
      </c>
      <c r="X66" s="80"/>
      <c r="Y66" s="79">
        <v>65.03</v>
      </c>
      <c r="Z66" s="79">
        <f ca="1">64.01-Tabla2[[#This Row],[Div.]]</f>
        <v>63.786620000000006</v>
      </c>
      <c r="AA66" s="79">
        <f ca="1">+Tabla2[[#This Row],[Precio compra]]+Tabla2[[#This Row],[Div.]]</f>
        <v>64.010000000000005</v>
      </c>
      <c r="AB66" s="96">
        <f ca="1">0.12+'dividendos 26'!E38</f>
        <v>0.22338000000000002</v>
      </c>
      <c r="AC66" s="79">
        <f ca="1">82.81-Tabla2[[#This Row],[Div.]]</f>
        <v>82.586619999999996</v>
      </c>
      <c r="AD66" s="79">
        <f ca="1">+Tabla2[[#This Row],[Objetivo div2]]+Tabla2[[#This Row],[Div.]]</f>
        <v>82.81</v>
      </c>
      <c r="AE66" s="159">
        <f ca="1">IF(Z66="-",+AC66/Y66-1,AC66/D66-1)</f>
        <v>0.1429092167174093</v>
      </c>
      <c r="AF66" s="81">
        <v>81.33</v>
      </c>
      <c r="AG66" s="253">
        <f ca="1">IF(Z66="-",+AF66/D66-1,AF66/D66-1)</f>
        <v>0.1255189593135897</v>
      </c>
      <c r="AH66" s="81">
        <f ca="1">56.14-Tabla2[[#This Row],[Div.]]</f>
        <v>55.916620000000002</v>
      </c>
      <c r="AI66" s="147">
        <f ca="1">IF(Z66="-",AH66/Y66-1,+AH66/D66-1)</f>
        <v>-0.22617464710766677</v>
      </c>
      <c r="AJ66" s="121">
        <f ca="1">IF(Z66="-","-",+(D66/Z66)-1)</f>
        <v>0.13283945755395088</v>
      </c>
      <c r="AK66" s="120">
        <f ca="1">IF(AA66="-","-",+(D66/AA66)-1)</f>
        <v>0.12888611154507101</v>
      </c>
      <c r="AM66" s="49" t="str">
        <f>IF(AL66=0,"-",+AL66/Z66-1)</f>
        <v>-</v>
      </c>
      <c r="AN66" s="28">
        <f ca="1">+D66/Y66-1</f>
        <v>0.11117945563586051</v>
      </c>
      <c r="AO66" s="75">
        <f ca="1">VLOOKUP(Tabla2[[#This Row],[TCKR]],'2026'!$D$5:$AH$257,8,FALSE)</f>
        <v>50</v>
      </c>
      <c r="AP66" s="193">
        <f ca="1">VLOOKUP(Tabla2[[#This Row],[TCKR]],'2026'!$D$5:$AH$257,26,FALSE)</f>
        <v>86.700763208538362</v>
      </c>
      <c r="AQ66" s="5" t="e" cm="1" vm="221">
        <f t="array" ref="AQ66">_FV(Tabla2[[#This Row],[valor]],"P/E",TRUE)</f>
        <v>#VALUE!</v>
      </c>
      <c r="AR66" s="4"/>
      <c r="AT66" s="193">
        <f ca="1">+Tabla2[[#This Row],[Titulos2]]*Tabla2[[#This Row],[Neto]]</f>
        <v>0</v>
      </c>
      <c r="AU66" s="28">
        <f ca="1">+Tabla2[[#This Row],[Neto]]/Tabla2[[#This Row],[Precio compra2]]</f>
        <v>0</v>
      </c>
    </row>
    <row r="67" spans="1:47" ht="16" customHeight="1" x14ac:dyDescent="0.2">
      <c r="A67" s="75" t="e" vm="230">
        <v>#VALUE!</v>
      </c>
      <c r="B67" s="75" t="str" cm="1">
        <f t="array" aca="1" ref="B67" ca="1">_FV(A67,"Ticker symbol",TRUE)</f>
        <v>S92</v>
      </c>
      <c r="C67" s="217" cm="1">
        <f t="array" aca="1" ref="C67" ca="1">_FV(A67,"Change (%)",TRUE)</f>
        <v>-3.2754999999999999E-2</v>
      </c>
      <c r="D67" s="144" cm="1">
        <f t="array" aca="1" ref="D67" ca="1">_FV(A67,"Price")</f>
        <v>50.2</v>
      </c>
      <c r="E67" s="159">
        <f ca="1">AE67</f>
        <v>0.15537848605577675</v>
      </c>
      <c r="F67" s="321">
        <f ca="1">+Tabla2[[#This Row],[Rentab. Parcial]]</f>
        <v>-0.12998266897746968</v>
      </c>
      <c r="G67" s="321">
        <f ca="1">+Tabla2[[#This Row],[Rentab. Parcial2]]</f>
        <v>-0.13745704467353947</v>
      </c>
      <c r="H67" s="253">
        <f ca="1">+Tabla2[[#This Row],[Difer. Investing]]</f>
        <v>-9.7211155378486125E-2</v>
      </c>
      <c r="I67" s="79">
        <f>+Tabla2[[#This Row],[Objetivo div2]]</f>
        <v>58</v>
      </c>
      <c r="J67" s="75" cm="1">
        <f t="array" aca="1" ref="J67" ca="1">_FV(A67,"High")</f>
        <v>53.2</v>
      </c>
      <c r="K67" s="75" cm="1">
        <f t="array" aca="1" ref="K67" ca="1">_FV(A67,"Low")</f>
        <v>50.2</v>
      </c>
      <c r="L67" s="75" cm="1">
        <f t="array" aca="1" ref="L67" ca="1">_FV(Tabla2[[#This Row],[valor]],"52 week high",TRUE)</f>
        <v>112.2</v>
      </c>
      <c r="M67" s="75">
        <f ca="1">+Tabla2[[#This Row],[52 high]]*0.9</f>
        <v>100.98</v>
      </c>
      <c r="N67" s="75">
        <f ca="1">+Tabla2[[#This Row],[52 high]]*0.95</f>
        <v>106.59</v>
      </c>
      <c r="O67" s="75" cm="1">
        <f t="array" aca="1" ref="O67" ca="1">_FV(Tabla2[[#This Row],[valor]],"52 week low",TRUE)</f>
        <v>10.9</v>
      </c>
      <c r="P67" s="220">
        <f ca="1">+TODAY()-Tabla2[[#This Row],[F. compra]]</f>
        <v>916</v>
      </c>
      <c r="Q67" s="220">
        <f ca="1">GESTEP(Tabla2[[#This Row],[price]],Tabla2[[#This Row],[HIGH 10%]])</f>
        <v>0</v>
      </c>
      <c r="R67" s="220">
        <f ca="1">GESTEP(Tabla2[[#This Row],[price]],Tabla2[[#This Row],[HIGH 5%]])</f>
        <v>0</v>
      </c>
      <c r="S67" s="75" t="s">
        <v>75</v>
      </c>
      <c r="T67" s="110" t="s">
        <v>78</v>
      </c>
      <c r="U67" s="110" t="s">
        <v>26</v>
      </c>
      <c r="V67" s="16">
        <v>45224</v>
      </c>
      <c r="W67" s="16">
        <v>45224</v>
      </c>
      <c r="X67" s="80"/>
      <c r="Y67" s="79">
        <v>62.3</v>
      </c>
      <c r="Z67" s="79">
        <f>58.2-AB67</f>
        <v>57.7</v>
      </c>
      <c r="AA67" s="79">
        <f>+Tabla2[[#This Row],[Precio compra]]+Tabla2[[#This Row],[Div.]]</f>
        <v>58.2</v>
      </c>
      <c r="AB67" s="96">
        <v>0.5</v>
      </c>
      <c r="AC67" s="79">
        <f>58.5-Tabla2[[#This Row],[Div.]]</f>
        <v>58</v>
      </c>
      <c r="AD67" s="79">
        <f>+Tabla2[[#This Row],[Objetivo div2]]+Tabla2[[#This Row],[Div.]]</f>
        <v>58.5</v>
      </c>
      <c r="AE67" s="159">
        <f ca="1">IF(Z67="-",+AC67/Y67-1,AC67/D67-1)</f>
        <v>0.15537848605577675</v>
      </c>
      <c r="AF67" s="81">
        <v>45.32</v>
      </c>
      <c r="AG67" s="253">
        <f ca="1">IF(Z67="-",+AF67/D67-1,AF67/D67-1)</f>
        <v>-9.7211155378486125E-2</v>
      </c>
      <c r="AH67" s="81">
        <f>59.95-AB67</f>
        <v>59.45</v>
      </c>
      <c r="AI67" s="147">
        <f ca="1">IF(Z67="-",AH67/Y67-1,+AH67/D67-1)</f>
        <v>0.18426294820717137</v>
      </c>
      <c r="AJ67" s="121">
        <f ca="1">IF(Z67="-","-",+(D67/Z67)-1)</f>
        <v>-0.12998266897746968</v>
      </c>
      <c r="AK67" s="120">
        <f ca="1">IF(AA67="-","-",+(D67/AA67)-1)</f>
        <v>-0.13745704467353947</v>
      </c>
      <c r="AM67" s="49" t="str">
        <f>IF(AL67=0,"-",+AL67/Z67-1)</f>
        <v>-</v>
      </c>
      <c r="AN67" s="28">
        <f ca="1">+D67/Y67-1</f>
        <v>-0.19422150882825029</v>
      </c>
      <c r="AO67" s="75">
        <f ca="1">VLOOKUP(Tabla2[[#This Row],[TCKR]],'2026'!$D$5:$AH$257,8,FALSE)</f>
        <v>155</v>
      </c>
      <c r="AP67" s="193">
        <f ca="1">VLOOKUP(Tabla2[[#This Row],[TCKR]],'2026'!$D$5:$AH$257,26,FALSE)</f>
        <v>-1450.55907225343</v>
      </c>
      <c r="AQ67" s="5" t="e" cm="1" vm="221">
        <f t="array" ref="AQ67">_FV(Tabla2[[#This Row],[valor]],"P/E",TRUE)</f>
        <v>#VALUE!</v>
      </c>
      <c r="AR67" s="4"/>
      <c r="AT67" s="193">
        <f ca="1">+Tabla2[[#This Row],[Titulos2]]*Tabla2[[#This Row],[Neto]]</f>
        <v>0</v>
      </c>
      <c r="AU67" s="28">
        <f>+Tabla2[[#This Row],[Neto]]/Tabla2[[#This Row],[Precio compra2]]</f>
        <v>0</v>
      </c>
    </row>
    <row r="68" spans="1:47" ht="16" customHeight="1" x14ac:dyDescent="0.2">
      <c r="A68" s="355" t="e" vm="10">
        <v>#VALUE!</v>
      </c>
      <c r="B68" s="75" t="str" cm="1">
        <f t="array" aca="1" ref="B68" ca="1">_FV(A68,"Ticker symbol",TRUE)</f>
        <v>A</v>
      </c>
      <c r="C68" s="217" cm="1">
        <f t="array" aca="1" ref="C68" ca="1">_FV(A68,"Change (%)",TRUE)</f>
        <v>6.0579999999999998E-4</v>
      </c>
      <c r="D68" s="144" cm="1">
        <f t="array" aca="1" ref="D68" ca="1">_FV(A68,"Price")</f>
        <v>115.62</v>
      </c>
      <c r="E68" s="356">
        <f>AE68</f>
        <v>0.1617940199335548</v>
      </c>
      <c r="F68" s="321">
        <f ca="1">+Tabla2[[#This Row],[Rentab. Parcial]]</f>
        <v>-3.9700996677740852E-2</v>
      </c>
      <c r="G68" s="321">
        <f ca="1">+Tabla2[[#This Row],[Rentab. Parcial2]]</f>
        <v>-3.9700996677740852E-2</v>
      </c>
      <c r="H68" s="253">
        <f ca="1">+Tabla2[[#This Row],[Difer. Investing]]</f>
        <v>0.38981145130600225</v>
      </c>
      <c r="I68" s="79">
        <v>263.48</v>
      </c>
      <c r="J68" s="75" cm="1">
        <f t="array" aca="1" ref="J68" ca="1">_FV(A68,"High")</f>
        <v>117.33</v>
      </c>
      <c r="K68" s="75" cm="1">
        <f t="array" aca="1" ref="K68" ca="1">_FV(A68,"Low")</f>
        <v>115.18</v>
      </c>
      <c r="L68" s="75" cm="1">
        <f t="array" aca="1" ref="L68" ca="1">_FV(A68,"52 week high",TRUE)</f>
        <v>160.27000000000001</v>
      </c>
      <c r="M68" s="75">
        <f ca="1">+L68*0.9</f>
        <v>144.24300000000002</v>
      </c>
      <c r="N68" s="75">
        <f ca="1">+L68*0.95</f>
        <v>152.25649999999999</v>
      </c>
      <c r="O68" s="75" cm="1">
        <f t="array" aca="1" ref="O68" ca="1">_FV(A68,"52 week low",TRUE)</f>
        <v>104.1014</v>
      </c>
      <c r="P68" s="220">
        <f ca="1">+TODAY()-Tabla2[[#This Row],[F. compra]]</f>
        <v>13</v>
      </c>
      <c r="Q68" s="220">
        <f ca="1">GESTEP(D68,M68)</f>
        <v>0</v>
      </c>
      <c r="R68" s="220">
        <f ca="1">GESTEP(D68,N68)</f>
        <v>0</v>
      </c>
      <c r="S68" s="75" t="s">
        <v>76</v>
      </c>
      <c r="T68" s="110" t="s">
        <v>78</v>
      </c>
      <c r="U68" s="110" t="s">
        <v>26</v>
      </c>
      <c r="V68" s="16">
        <v>46127</v>
      </c>
      <c r="W68" s="16">
        <v>46127</v>
      </c>
      <c r="X68" s="80"/>
      <c r="Y68" s="79">
        <v>121.06</v>
      </c>
      <c r="Z68" s="79">
        <v>120.4</v>
      </c>
      <c r="AA68" s="79">
        <v>120.4</v>
      </c>
      <c r="AB68" s="79"/>
      <c r="AC68" s="79">
        <v>139.88</v>
      </c>
      <c r="AD68" s="79">
        <f>+Tabla2[[#This Row],[Objetivo div2]]+Tabla2[[#This Row],[Div.]]</f>
        <v>139.88</v>
      </c>
      <c r="AE68" s="356">
        <f>IF(Z68="",+AC68/Y68-1,AC68/Z68-1)</f>
        <v>0.1617940199335548</v>
      </c>
      <c r="AF68" s="76">
        <v>160.69</v>
      </c>
      <c r="AG68" s="253">
        <f ca="1">IF(Z68="-",+AF68/D68-1,AF68/D68-1)</f>
        <v>0.38981145130600225</v>
      </c>
      <c r="AH68" s="76">
        <v>112.48</v>
      </c>
      <c r="AI68" s="147">
        <f ca="1">IF(Z68="-",AH68/Y68-1,+AH68/D68-1)</f>
        <v>-2.7157931153779624E-2</v>
      </c>
      <c r="AJ68" s="121">
        <f ca="1">IF(Z68="-","-",+(D68/Z68)-1)</f>
        <v>-3.9700996677740852E-2</v>
      </c>
      <c r="AK68" s="120">
        <f ca="1">IF(AA68="-","-",+(D68/AA68)-1)</f>
        <v>-3.9700996677740852E-2</v>
      </c>
      <c r="AM68" s="49" t="str">
        <f>IF(AL68=0,"-",+AL68/Z68-1)</f>
        <v>-</v>
      </c>
      <c r="AN68" s="28">
        <f ca="1">+D68/Y68-1</f>
        <v>-4.4936395175945831E-2</v>
      </c>
      <c r="AO68" s="75"/>
      <c r="AP68" s="193"/>
      <c r="AR68" s="4"/>
      <c r="AU68" s="28"/>
    </row>
    <row r="69" spans="1:47" ht="16" customHeight="1" x14ac:dyDescent="0.2">
      <c r="A69" s="324" t="e" vm="3">
        <v>#VALUE!</v>
      </c>
      <c r="B69" s="75" t="str" cm="1">
        <f t="array" aca="1" ref="B69" ca="1">_FV(A69,"Ticker symbol",TRUE)</f>
        <v>ACHC</v>
      </c>
      <c r="C69" s="217" cm="1">
        <f t="array" aca="1" ref="C69" ca="1">_FV(A69,"Change (%)",TRUE)</f>
        <v>2.8122999999999999E-2</v>
      </c>
      <c r="D69" s="144" cm="1">
        <f t="array" aca="1" ref="D69" ca="1">_FV(A69,"Price")</f>
        <v>28.15</v>
      </c>
      <c r="E69" s="307">
        <f ca="1">AE69</f>
        <v>0.1360568383658971</v>
      </c>
      <c r="F69" s="321">
        <f ca="1">+Tabla2[[#This Row],[Rentab. Parcial]]</f>
        <v>0.14663951120162921</v>
      </c>
      <c r="G69" s="321">
        <f ca="1">+Tabla2[[#This Row],[Rentab. Parcial2]]</f>
        <v>0.14663951120162921</v>
      </c>
      <c r="H69" s="253">
        <f ca="1">+Tabla2[[#This Row],[Difer. Investing]]</f>
        <v>-0.21172291296625212</v>
      </c>
      <c r="I69" s="79">
        <f>+Tabla2[[#This Row],[Objetivo div2]]</f>
        <v>31.98</v>
      </c>
      <c r="J69" s="75" cm="1">
        <f t="array" aca="1" ref="J69" ca="1">_FV(A69,"High")</f>
        <v>28.47</v>
      </c>
      <c r="K69" s="75" cm="1">
        <f t="array" aca="1" ref="K69" ca="1">_FV(A69,"Low")</f>
        <v>27.26</v>
      </c>
      <c r="L69" s="75" cm="1">
        <f t="array" aca="1" ref="L69" ca="1">_FV(Tabla2[[#This Row],[valor]],"52 week high",TRUE)</f>
        <v>28.48</v>
      </c>
      <c r="M69" s="75">
        <f ca="1">+L69*0.9</f>
        <v>25.632000000000001</v>
      </c>
      <c r="N69" s="75">
        <f ca="1">+L69*0.95</f>
        <v>27.055999999999997</v>
      </c>
      <c r="O69" s="75" cm="1">
        <f t="array" aca="1" ref="O69" ca="1">_FV(A69,"52 week low",TRUE)</f>
        <v>11.43</v>
      </c>
      <c r="P69" s="220">
        <f ca="1">+TODAY()-Tabla2[[#This Row],[F. compra]]</f>
        <v>215</v>
      </c>
      <c r="Q69" s="220">
        <f ca="1">GESTEP(D69,M69)</f>
        <v>1</v>
      </c>
      <c r="R69" s="220">
        <f ca="1">GESTEP(D69,N69)</f>
        <v>1</v>
      </c>
      <c r="S69" s="75" t="s">
        <v>76</v>
      </c>
      <c r="T69" s="110" t="s">
        <v>78</v>
      </c>
      <c r="U69" s="110" t="s">
        <v>88</v>
      </c>
      <c r="V69" s="16">
        <v>45925</v>
      </c>
      <c r="W69" s="16">
        <v>45925</v>
      </c>
      <c r="X69" s="80"/>
      <c r="Y69" s="79">
        <v>24.7</v>
      </c>
      <c r="Z69" s="79">
        <v>24.55</v>
      </c>
      <c r="AA69" s="79">
        <v>24.55</v>
      </c>
      <c r="AB69" s="79"/>
      <c r="AC69" s="79">
        <v>31.98</v>
      </c>
      <c r="AD69" s="82">
        <f>+Tabla2[[#This Row],[Objetivo div2]]+Tabla2[[#This Row],[Div.]]</f>
        <v>31.98</v>
      </c>
      <c r="AE69" s="307">
        <f ca="1">IF(Z69="-",+AC69/Y69-1,AC69/D69-1)</f>
        <v>0.1360568383658971</v>
      </c>
      <c r="AF69" s="76">
        <v>22.19</v>
      </c>
      <c r="AG69" s="253">
        <f ca="1">IF(Z69="-",+AF69/D69-1,AF69/D69-1)</f>
        <v>-0.21172291296625212</v>
      </c>
      <c r="AH69" s="76">
        <v>20.89</v>
      </c>
      <c r="AI69" s="147">
        <f ca="1">IF(Z69="-",AH69/Y69-1,+AH69/D69-1)</f>
        <v>-0.25790408525754882</v>
      </c>
      <c r="AJ69" s="121">
        <f ca="1">IF(Z69="-","-",+(D69/Z69)-1)</f>
        <v>0.14663951120162921</v>
      </c>
      <c r="AK69" s="120">
        <f ca="1">IF(AA69="-","-",+(D69/AA69)-1)</f>
        <v>0.14663951120162921</v>
      </c>
      <c r="AM69" s="49" t="str">
        <f>IF(AL69=0,"-",+AL69/Z69-1)</f>
        <v>-</v>
      </c>
      <c r="AN69" s="28">
        <f ca="1">+D69/Y69-1</f>
        <v>0.13967611336032393</v>
      </c>
      <c r="AO69" s="75">
        <f ca="1">VLOOKUP(Tabla2[[#This Row],[TCKR]],'2026'!$D$5:$AH$257,8,FALSE)</f>
        <v>203</v>
      </c>
      <c r="AP69" s="193">
        <f ca="1">VLOOKUP(Tabla2[[#This Row],[TCKR]],'2026'!$D$5:$AH$257,26,FALSE)</f>
        <v>495.41544723275342</v>
      </c>
      <c r="AQ69" s="5" cm="1">
        <f t="array" aca="1" ref="AQ69" ca="1">_FV(Tabla2[[#This Row],[valor]],"P/E",TRUE)</f>
        <v>0</v>
      </c>
      <c r="AR69" s="4"/>
      <c r="AT69" s="193">
        <f ca="1">+Tabla2[[#This Row],[Titulos2]]*Tabla2[[#This Row],[Neto]]</f>
        <v>0</v>
      </c>
      <c r="AU69" s="28">
        <f>+Tabla2[[#This Row],[Neto]]/Tabla2[[#This Row],[Precio compra2]]</f>
        <v>0</v>
      </c>
    </row>
    <row r="70" spans="1:47" ht="16" customHeight="1" x14ac:dyDescent="0.2">
      <c r="A70" s="325" t="e" vm="231">
        <v>#VALUE!</v>
      </c>
      <c r="B70" s="75" t="str" cm="1">
        <f t="array" aca="1" ref="B70" ca="1">_FV(A70,"Ticker symbol",TRUE)</f>
        <v>GRND</v>
      </c>
      <c r="C70" s="217" cm="1">
        <f t="array" aca="1" ref="C70" ca="1">_FV(A70,"Change (%)",TRUE)</f>
        <v>5.1929999999999997E-3</v>
      </c>
      <c r="D70" s="144" cm="1">
        <f t="array" aca="1" ref="D70" ca="1">_FV(A70,"Price")</f>
        <v>13.55</v>
      </c>
      <c r="E70" s="289">
        <f>AE70</f>
        <v>0.17376775271512113</v>
      </c>
      <c r="F70" s="321">
        <f ca="1">+Tabla2[[#This Row],[Rentab. Parcial]]</f>
        <v>0.13199665831244789</v>
      </c>
      <c r="G70" s="321">
        <f ca="1">+Tabla2[[#This Row],[Rentab. Parcial2]]</f>
        <v>0.13199665831244789</v>
      </c>
      <c r="H70" s="253">
        <f ca="1">+Tabla2[[#This Row],[Difer. Investing]]</f>
        <v>0.32841328413284132</v>
      </c>
      <c r="I70" s="79">
        <v>262.48</v>
      </c>
      <c r="J70" s="75" cm="1">
        <f t="array" aca="1" ref="J70" ca="1">_FV(A70,"High")</f>
        <v>13.9</v>
      </c>
      <c r="K70" s="75" cm="1">
        <f t="array" aca="1" ref="K70" ca="1">_FV(A70,"Low")</f>
        <v>13.41</v>
      </c>
      <c r="L70" s="75" cm="1">
        <f t="array" aca="1" ref="L70" ca="1">_FV(A70,"52 week high",TRUE)</f>
        <v>25.13</v>
      </c>
      <c r="M70" s="75">
        <f ca="1">+L70*0.9</f>
        <v>22.617000000000001</v>
      </c>
      <c r="N70" s="75">
        <f ca="1">+L70*0.95</f>
        <v>23.873499999999996</v>
      </c>
      <c r="O70" s="75" cm="1">
        <f t="array" aca="1" ref="O70" ca="1">_FV(A70,"52 week low",TRUE)</f>
        <v>9.7316000000000003</v>
      </c>
      <c r="P70" s="220"/>
      <c r="Q70" s="220">
        <f ca="1">GESTEP(D70,M70)</f>
        <v>0</v>
      </c>
      <c r="R70" s="220">
        <f ca="1">GESTEP(D70,N70)</f>
        <v>0</v>
      </c>
      <c r="S70" s="75" t="s">
        <v>75</v>
      </c>
      <c r="T70" s="110" t="s">
        <v>78</v>
      </c>
      <c r="U70" s="110" t="s">
        <v>88</v>
      </c>
      <c r="V70" s="16">
        <v>46104</v>
      </c>
      <c r="W70" s="16">
        <v>46105</v>
      </c>
      <c r="X70" s="80" t="s">
        <v>400</v>
      </c>
      <c r="Y70" s="79">
        <v>12.77</v>
      </c>
      <c r="Z70" s="79">
        <v>11.97</v>
      </c>
      <c r="AA70" s="79">
        <v>11.97</v>
      </c>
      <c r="AB70" s="79"/>
      <c r="AC70" s="79">
        <v>14.05</v>
      </c>
      <c r="AD70" s="79">
        <f>+Tabla2[[#This Row],[Objetivo div2]]+Tabla2[[#This Row],[Div.]]</f>
        <v>14.05</v>
      </c>
      <c r="AE70" s="289">
        <f>IF(Z70="",+AC70/Y70-1,AC70/Z70-1)</f>
        <v>0.17376775271512113</v>
      </c>
      <c r="AF70" s="76">
        <v>18</v>
      </c>
      <c r="AG70" s="253">
        <f ca="1">IF(Z70="-",+AF70/D70-1,AF70/D70-1)</f>
        <v>0.32841328413284132</v>
      </c>
      <c r="AH70" s="76">
        <v>10.74</v>
      </c>
      <c r="AI70" s="147">
        <f ca="1">IF(Z70="-",AH70/Y70-1,+AH70/D70-1)</f>
        <v>-0.20738007380073809</v>
      </c>
      <c r="AJ70" s="121">
        <f ca="1">IF(Z70="-","-",+(D70/Z70)-1)</f>
        <v>0.13199665831244789</v>
      </c>
      <c r="AK70" s="120">
        <f ca="1">IF(AA70="-","-",+(D70/AA70)-1)</f>
        <v>0.13199665831244789</v>
      </c>
      <c r="AM70" s="49" t="str">
        <f>IF(AL70=0,"-",+AL70/Z70-1)</f>
        <v>-</v>
      </c>
      <c r="AN70" s="28">
        <f ca="1">+D70/Y70-1</f>
        <v>6.1080657791699355E-2</v>
      </c>
      <c r="AO70" s="75"/>
      <c r="AP70" s="193"/>
      <c r="AR70" s="4"/>
      <c r="AU70" s="28"/>
    </row>
    <row r="71" spans="1:47" ht="16" customHeight="1" x14ac:dyDescent="0.2">
      <c r="A71" s="323" t="e" vm="156">
        <v>#VALUE!</v>
      </c>
      <c r="B71" s="323" t="str" cm="1">
        <f t="array" aca="1" ref="B71" ca="1">_FV(A71,"Ticker symbol",TRUE)</f>
        <v>SNOW</v>
      </c>
      <c r="C71" s="217" cm="1">
        <f t="array" aca="1" ref="C71" ca="1">_FV(A71,"Change (%)",TRUE)</f>
        <v>2.7936000000000002E-2</v>
      </c>
      <c r="D71" s="144" cm="1">
        <f t="array" aca="1" ref="D71" ca="1">_FV(A71,"Price")</f>
        <v>144.24</v>
      </c>
      <c r="E71" s="159">
        <f ca="1">AE71</f>
        <v>0.17859123682750955</v>
      </c>
      <c r="F71" s="321">
        <f ca="1">+Tabla2[[#This Row],[Rentab. Parcial]]</f>
        <v>-0.14382382620051037</v>
      </c>
      <c r="G71" s="321">
        <f ca="1">+Tabla2[[#This Row],[Rentab. Parcial2]]</f>
        <v>-0.14382382620051037</v>
      </c>
      <c r="H71" s="253">
        <f ca="1">+Tabla2[[#This Row],[Difer. Investing]]</f>
        <v>0.96131447587354391</v>
      </c>
      <c r="I71" s="79">
        <f>+Tabla2[[#This Row],[Objetivo div2]]</f>
        <v>170</v>
      </c>
      <c r="J71" s="75" cm="1">
        <f t="array" aca="1" ref="J71" ca="1">_FV(A71,"High")</f>
        <v>146.10499999999999</v>
      </c>
      <c r="K71" s="75" cm="1">
        <f t="array" aca="1" ref="K71" ca="1">_FV(A71,"Low")</f>
        <v>140</v>
      </c>
      <c r="L71" s="75" cm="1">
        <f t="array" aca="1" ref="L71" ca="1">_FV(Tabla2[[#This Row],[valor]],"52 week high",TRUE)</f>
        <v>280.67</v>
      </c>
      <c r="M71" s="75">
        <f ca="1">+Tabla2[[#This Row],[52 high]]*0.9</f>
        <v>252.60300000000001</v>
      </c>
      <c r="N71" s="75">
        <f ca="1">+Tabla2[[#This Row],[52 high]]*0.95</f>
        <v>266.63650000000001</v>
      </c>
      <c r="O71" s="75" cm="1">
        <f t="array" aca="1" ref="O71" ca="1">_FV(Tabla2[[#This Row],[valor]],"52 week low",TRUE)</f>
        <v>118.3</v>
      </c>
      <c r="P71" s="220">
        <f ca="1">+TODAY()-Tabla2[[#This Row],[F. compra]]</f>
        <v>813</v>
      </c>
      <c r="Q71" s="220">
        <f ca="1">GESTEP(Tabla2[[#This Row],[price]],Tabla2[[#This Row],[HIGH 10%]])</f>
        <v>0</v>
      </c>
      <c r="R71" s="220">
        <f ca="1">GESTEP(Tabla2[[#This Row],[price]],Tabla2[[#This Row],[HIGH 5%]])</f>
        <v>0</v>
      </c>
      <c r="S71" s="75" t="s">
        <v>75</v>
      </c>
      <c r="T71" s="110" t="s">
        <v>78</v>
      </c>
      <c r="U71" s="110" t="s">
        <v>26</v>
      </c>
      <c r="V71" s="16">
        <v>45327</v>
      </c>
      <c r="W71" s="16">
        <v>45327</v>
      </c>
      <c r="X71" s="80"/>
      <c r="Y71" s="79"/>
      <c r="Z71" s="79">
        <v>168.47</v>
      </c>
      <c r="AA71" s="79">
        <v>168.47</v>
      </c>
      <c r="AB71" s="96"/>
      <c r="AC71" s="79">
        <v>170</v>
      </c>
      <c r="AD71" s="79">
        <f>+Tabla2[[#This Row],[Objetivo div2]]+Tabla2[[#This Row],[Div.]]</f>
        <v>170</v>
      </c>
      <c r="AE71" s="159">
        <f ca="1">IF(Z71="-",+AC71/Y71-1,AC71/D71-1)</f>
        <v>0.17859123682750955</v>
      </c>
      <c r="AF71" s="81">
        <v>282.89999999999998</v>
      </c>
      <c r="AG71" s="253">
        <f ca="1">IF(Z71="-",+AF71/D71-1,AF71/D71-1)</f>
        <v>0.96131447587354391</v>
      </c>
      <c r="AH71" s="81"/>
      <c r="AI71" s="147" t="s">
        <v>11</v>
      </c>
      <c r="AJ71" s="121">
        <f ca="1">IF(Z71="-","-",+(D71/Z71)-1)</f>
        <v>-0.14382382620051037</v>
      </c>
      <c r="AK71" s="120">
        <f ca="1">IF(AA71="-","-",+(D71/AA71)-1)</f>
        <v>-0.14382382620051037</v>
      </c>
      <c r="AM71" s="49" t="str">
        <f>IF(AL71=0,"-",+AL71/Z71-1)</f>
        <v>-</v>
      </c>
      <c r="AN71" s="28" t="e">
        <f ca="1">+D71/Y71-1</f>
        <v>#DIV/0!</v>
      </c>
      <c r="AO71" s="75">
        <f ca="1">VLOOKUP(Tabla2[[#This Row],[TCKR]],'2026'!$D$5:$AH$257,8,FALSE)</f>
        <v>30</v>
      </c>
      <c r="AP71" s="193">
        <f ca="1">VLOOKUP(Tabla2[[#This Row],[TCKR]],'2026'!$D$5:$AH$257,26,FALSE)</f>
        <v>-564.14041147514808</v>
      </c>
      <c r="AQ71" s="5" cm="1">
        <f t="array" aca="1" ref="AQ71" ca="1">_FV(Tabla2[[#This Row],[valor]],"P/E",TRUE)</f>
        <v>0</v>
      </c>
      <c r="AR71" s="4" t="s">
        <v>11</v>
      </c>
      <c r="AT71" s="193">
        <f ca="1">+Tabla2[[#This Row],[Titulos2]]*Tabla2[[#This Row],[Neto]]</f>
        <v>0</v>
      </c>
      <c r="AU71" s="28">
        <f>+Tabla2[[#This Row],[Neto]]/Tabla2[[#This Row],[Precio compra2]]</f>
        <v>0</v>
      </c>
    </row>
    <row r="72" spans="1:47" ht="16" customHeight="1" x14ac:dyDescent="0.2">
      <c r="A72" s="323" t="e" vm="143">
        <v>#VALUE!</v>
      </c>
      <c r="B72" s="75" t="str" cm="1">
        <f t="array" aca="1" ref="B72" ca="1">_FV(A72,"Ticker symbol",TRUE)</f>
        <v>RIOT</v>
      </c>
      <c r="C72" s="217" cm="1">
        <f t="array" aca="1" ref="C72" ca="1">_FV(A72,"Change (%)",TRUE)</f>
        <v>-1.8537999999999999E-2</v>
      </c>
      <c r="D72" s="144" cm="1">
        <f t="array" aca="1" ref="D72" ca="1">_FV(A72,"Price")</f>
        <v>18.265000000000001</v>
      </c>
      <c r="E72" s="159">
        <f ca="1">AE72</f>
        <v>0.18204215713112504</v>
      </c>
      <c r="F72" s="321">
        <f ca="1">+Tabla2[[#This Row],[Rentab. Parcial]]</f>
        <v>0.3235507246376812</v>
      </c>
      <c r="G72" s="321">
        <f ca="1">+Tabla2[[#This Row],[Rentab. Parcial2]]</f>
        <v>0.3235507246376812</v>
      </c>
      <c r="H72" s="253">
        <f ca="1">+Tabla2[[#This Row],[Difer. Investing]]</f>
        <v>0.43498494388174103</v>
      </c>
      <c r="I72" s="79">
        <f>+Tabla2[[#This Row],[Objetivo div2]]</f>
        <v>21.59</v>
      </c>
      <c r="J72" s="75" cm="1">
        <f t="array" aca="1" ref="J72" ca="1">_FV(A72,"High")</f>
        <v>18.885000000000002</v>
      </c>
      <c r="K72" s="75" cm="1">
        <f t="array" aca="1" ref="K72" ca="1">_FV(A72,"Low")</f>
        <v>18.010000000000002</v>
      </c>
      <c r="L72" s="75" cm="1">
        <f t="array" aca="1" ref="L72" ca="1">_FV(Tabla2[[#This Row],[valor]],"52 week high",TRUE)</f>
        <v>23.934999999999999</v>
      </c>
      <c r="M72" s="75">
        <f ca="1">+Tabla2[[#This Row],[52 high]]*0.9</f>
        <v>21.541499999999999</v>
      </c>
      <c r="N72" s="75">
        <f ca="1">+Tabla2[[#This Row],[52 high]]*0.95</f>
        <v>22.738249999999997</v>
      </c>
      <c r="O72" s="75" cm="1">
        <f t="array" aca="1" ref="O72" ca="1">_FV(Tabla2[[#This Row],[valor]],"52 week low",TRUE)</f>
        <v>6.96</v>
      </c>
      <c r="P72" s="220">
        <f ca="1">+TODAY()-Tabla2[[#This Row],[F. compra]]</f>
        <v>498</v>
      </c>
      <c r="Q72" s="220">
        <f ca="1">GESTEP(Tabla2[[#This Row],[price]],Tabla2[[#This Row],[HIGH 10%]])</f>
        <v>0</v>
      </c>
      <c r="R72" s="220">
        <f ca="1">GESTEP(Tabla2[[#This Row],[price]],Tabla2[[#This Row],[HIGH 5%]])</f>
        <v>0</v>
      </c>
      <c r="S72" s="75" t="s">
        <v>76</v>
      </c>
      <c r="T72" s="110" t="s">
        <v>78</v>
      </c>
      <c r="U72" s="110" t="s">
        <v>88</v>
      </c>
      <c r="V72" s="16">
        <v>45642</v>
      </c>
      <c r="W72" s="16">
        <v>45642</v>
      </c>
      <c r="X72" s="80" t="s">
        <v>11</v>
      </c>
      <c r="Y72" s="79">
        <v>14.25</v>
      </c>
      <c r="Z72" s="79">
        <v>13.8</v>
      </c>
      <c r="AA72" s="79">
        <f>+Tabla2[[#This Row],[Precio compra]]+Tabla2[[#This Row],[Div.]]</f>
        <v>13.8</v>
      </c>
      <c r="AB72" s="96"/>
      <c r="AC72" s="79">
        <v>21.59</v>
      </c>
      <c r="AD72" s="79">
        <f>+Tabla2[[#This Row],[Objetivo div2]]+Tabla2[[#This Row],[Div.]]</f>
        <v>21.59</v>
      </c>
      <c r="AE72" s="159">
        <f ca="1">IF(Z72="-",+AC72/Y72-1,AC72/D72-1)</f>
        <v>0.18204215713112504</v>
      </c>
      <c r="AF72" s="81">
        <v>26.21</v>
      </c>
      <c r="AG72" s="253">
        <f ca="1">IF(Z72="-",+AF72/D72-1,AF72/D72-1)</f>
        <v>0.43498494388174103</v>
      </c>
      <c r="AH72" s="81">
        <v>10.59</v>
      </c>
      <c r="AI72" s="147">
        <f ca="1">IF(Z72="-",AH72/Y72-1,+AH72/D72-1)</f>
        <v>-0.42020257322748433</v>
      </c>
      <c r="AJ72" s="121">
        <f ca="1">IF(Z72="-","-",+(D72/Z72)-1)</f>
        <v>0.3235507246376812</v>
      </c>
      <c r="AK72" s="120">
        <f ca="1">IF(AA72="-","-",+(D72/AA72)-1)</f>
        <v>0.3235507246376812</v>
      </c>
      <c r="AM72" s="49" t="str">
        <f>IF(AL72=0,"-",+AL72/Z72-1)</f>
        <v>-</v>
      </c>
      <c r="AN72" s="28">
        <f ca="1">+D72/Y72-1</f>
        <v>0.28175438596491231</v>
      </c>
      <c r="AO72" s="75">
        <f ca="1">VLOOKUP(Tabla2[[#This Row],[TCKR]],'2026'!$D$5:$AH$257,8,FALSE)</f>
        <v>400</v>
      </c>
      <c r="AP72" s="193">
        <f ca="1">VLOOKUP(Tabla2[[#This Row],[TCKR]],'2026'!$D$5:$AH$257,26,FALSE)</f>
        <v>770.87390871304353</v>
      </c>
      <c r="AQ72" s="5" cm="1">
        <f t="array" aca="1" ref="AQ72" ca="1">_FV(Tabla2[[#This Row],[valor]],"P/E",TRUE)</f>
        <v>0</v>
      </c>
      <c r="AR72" s="4"/>
      <c r="AT72" s="193">
        <f ca="1">+Tabla2[[#This Row],[Titulos2]]*Tabla2[[#This Row],[Neto]]</f>
        <v>0</v>
      </c>
      <c r="AU72" s="28">
        <f>+Tabla2[[#This Row],[Neto]]/Tabla2[[#This Row],[Precio compra2]]</f>
        <v>0</v>
      </c>
    </row>
    <row r="73" spans="1:47" ht="16" customHeight="1" x14ac:dyDescent="0.2">
      <c r="A73" s="355" t="e" vm="142">
        <v>#VALUE!</v>
      </c>
      <c r="B73" s="75" t="str" cm="1">
        <f t="array" aca="1" ref="B73" ca="1">_FV(A73,"Ticker symbol",TRUE)</f>
        <v>RGEN</v>
      </c>
      <c r="C73" s="217" cm="1">
        <f t="array" aca="1" ref="C73" ca="1">_FV(A73,"Change (%)",TRUE)</f>
        <v>5.8669999999999998E-3</v>
      </c>
      <c r="D73" s="144" cm="1">
        <f t="array" aca="1" ref="D73" ca="1">_FV(A73,"Price")</f>
        <v>118.29</v>
      </c>
      <c r="E73" s="356">
        <f>AE73</f>
        <v>0.18110416348940062</v>
      </c>
      <c r="F73" s="321">
        <f ca="1">+Tabla2[[#This Row],[Rentab. Parcial]]</f>
        <v>-9.7986884245844008E-2</v>
      </c>
      <c r="G73" s="321">
        <f ca="1">+Tabla2[[#This Row],[Rentab. Parcial2]]</f>
        <v>-9.7986884245844008E-2</v>
      </c>
      <c r="H73" s="253">
        <f ca="1">+Tabla2[[#This Row],[Difer. Investing]]</f>
        <v>0.5544847408910305</v>
      </c>
      <c r="I73" s="79">
        <v>28.91</v>
      </c>
      <c r="J73" s="75" cm="1">
        <f t="array" aca="1" ref="J73" ca="1">_FV(A73,"High")</f>
        <v>119.47</v>
      </c>
      <c r="K73" s="75" cm="1">
        <f t="array" aca="1" ref="K73" ca="1">_FV(A73,"Low")</f>
        <v>116.97</v>
      </c>
      <c r="L73" s="75" cm="1">
        <f t="array" aca="1" ref="L73" ca="1">_FV(A73,"52 week high",TRUE)</f>
        <v>175.77</v>
      </c>
      <c r="M73" s="75">
        <f ca="1">+L73*0.9</f>
        <v>158.19300000000001</v>
      </c>
      <c r="N73" s="75">
        <f ca="1">+L73*0.95</f>
        <v>166.98150000000001</v>
      </c>
      <c r="O73" s="75" cm="1">
        <f t="array" aca="1" ref="O73" ca="1">_FV(A73,"52 week low",TRUE)</f>
        <v>109.5</v>
      </c>
      <c r="P73" s="220">
        <f ca="1">+TODAY()-Tabla2[[#This Row],[F. compra]]</f>
        <v>14</v>
      </c>
      <c r="Q73" s="220">
        <f ca="1">GESTEP(D73,M73)</f>
        <v>0</v>
      </c>
      <c r="R73" s="220">
        <f ca="1">GESTEP(D73,N73)</f>
        <v>0</v>
      </c>
      <c r="S73" s="75" t="s">
        <v>75</v>
      </c>
      <c r="T73" s="110" t="s">
        <v>78</v>
      </c>
      <c r="U73" s="110" t="s">
        <v>199</v>
      </c>
      <c r="V73" s="16">
        <v>46126</v>
      </c>
      <c r="W73" s="16">
        <v>46126</v>
      </c>
      <c r="X73" s="80"/>
      <c r="Y73" s="79">
        <v>131.13999999999999</v>
      </c>
      <c r="Z73" s="79">
        <v>131.13999999999999</v>
      </c>
      <c r="AA73" s="79">
        <v>131.13999999999999</v>
      </c>
      <c r="AB73" s="79"/>
      <c r="AC73" s="79">
        <v>154.88999999999999</v>
      </c>
      <c r="AD73" s="79">
        <f>+Tabla2[[#This Row],[Objetivo div2]]+Tabla2[[#This Row],[Div.]]</f>
        <v>154.88999999999999</v>
      </c>
      <c r="AE73" s="356">
        <f>IF(Z73="",+AC73/Y73-1,AC73/Z73-1)</f>
        <v>0.18110416348940062</v>
      </c>
      <c r="AF73" s="76">
        <v>183.88</v>
      </c>
      <c r="AG73" s="253">
        <f ca="1">IF(Z73="-",+AF73/D73-1,AF73/D73-1)</f>
        <v>0.5544847408910305</v>
      </c>
      <c r="AH73" s="76">
        <v>113.64</v>
      </c>
      <c r="AI73" s="147">
        <f ca="1">IF(Z73="-",AH73/Y73-1,+AH73/D73-1)</f>
        <v>-3.9310169921379701E-2</v>
      </c>
      <c r="AJ73" s="121">
        <f ca="1">IF(Z73="-","-",+(D73/Z73)-1)</f>
        <v>-9.7986884245844008E-2</v>
      </c>
      <c r="AK73" s="120">
        <f ca="1">IF(AA73="-","-",+(D73/AA73)-1)</f>
        <v>-9.7986884245844008E-2</v>
      </c>
      <c r="AM73" s="49" t="str">
        <f>IF(AL73=0,"-",+AL73/Z73-1)</f>
        <v>-</v>
      </c>
      <c r="AN73" s="28">
        <f ca="1">+D73/Y73-1</f>
        <v>-9.7986884245844008E-2</v>
      </c>
      <c r="AO73" s="75"/>
      <c r="AP73" s="193"/>
      <c r="AR73" s="4"/>
      <c r="AU73" s="28"/>
    </row>
    <row r="74" spans="1:47" ht="16" customHeight="1" x14ac:dyDescent="0.2">
      <c r="A74" s="75" t="e" vm="91">
        <v>#VALUE!</v>
      </c>
      <c r="B74" s="75" t="str" cm="1">
        <f t="array" aca="1" ref="B74" ca="1">_FV(A74,"Ticker symbol",TRUE)</f>
        <v>COL</v>
      </c>
      <c r="C74" s="217" cm="1">
        <f t="array" aca="1" ref="C74" ca="1">_FV(A74,"Change (%)",TRUE)</f>
        <v>9.2000000000000003E-4</v>
      </c>
      <c r="D74" s="144" cm="1">
        <f t="array" aca="1" ref="D74" ca="1">_FV(A74,"Price")</f>
        <v>5.44</v>
      </c>
      <c r="E74" s="159">
        <f ca="1">AE74</f>
        <v>0.18198529411764719</v>
      </c>
      <c r="F74" s="321">
        <f ca="1">+Tabla2[[#This Row],[Rentab. Parcial]]</f>
        <v>3.0303030303030276E-2</v>
      </c>
      <c r="G74" s="321">
        <f ca="1">+Tabla2[[#This Row],[Rentab. Parcial2]]</f>
        <v>-2.5089605734766929E-2</v>
      </c>
      <c r="H74" s="253">
        <f ca="1">+Tabla2[[#This Row],[Difer. Investing]]</f>
        <v>0.25183823529411753</v>
      </c>
      <c r="I74" s="79">
        <f>+Tabla2[[#This Row],[Objetivo div2]]</f>
        <v>6.4300000000000006</v>
      </c>
      <c r="J74" s="75" cm="1">
        <f t="array" aca="1" ref="J74" ca="1">_FV(A74,"High")</f>
        <v>5.4749999999999996</v>
      </c>
      <c r="K74" s="75" cm="1">
        <f t="array" aca="1" ref="K74" ca="1">_FV(A74,"Low")</f>
        <v>5.4249999999999998</v>
      </c>
      <c r="L74" s="75" cm="1">
        <f t="array" aca="1" ref="L74" ca="1">_FV(Tabla2[[#This Row],[valor]],"52 week high",TRUE)</f>
        <v>6.34</v>
      </c>
      <c r="M74" s="75">
        <f ca="1">+Tabla2[[#This Row],[52 high]]*0.9</f>
        <v>5.7060000000000004</v>
      </c>
      <c r="N74" s="75">
        <f ca="1">+Tabla2[[#This Row],[52 high]]*0.95</f>
        <v>6.0229999999999997</v>
      </c>
      <c r="O74" s="75" cm="1">
        <f t="array" aca="1" ref="O74" ca="1">_FV(Tabla2[[#This Row],[valor]],"52 week low",TRUE)</f>
        <v>4.8360000000000003</v>
      </c>
      <c r="P74" s="220">
        <f ca="1">+TODAY()-Tabla2[[#This Row],[F. compra]]</f>
        <v>523</v>
      </c>
      <c r="Q74" s="220">
        <f ca="1">GESTEP(Tabla2[[#This Row],[price]],Tabla2[[#This Row],[HIGH 10%]])</f>
        <v>0</v>
      </c>
      <c r="R74" s="220">
        <f ca="1">GESTEP(Tabla2[[#This Row],[price]],Tabla2[[#This Row],[HIGH 5%]])</f>
        <v>0</v>
      </c>
      <c r="S74" s="75" t="s">
        <v>75</v>
      </c>
      <c r="T74" s="110" t="s">
        <v>78</v>
      </c>
      <c r="U74" s="110" t="s">
        <v>26</v>
      </c>
      <c r="V74" s="16">
        <v>45617</v>
      </c>
      <c r="W74" s="16">
        <v>45617</v>
      </c>
      <c r="X74" s="80" t="s">
        <v>11</v>
      </c>
      <c r="Y74" s="79">
        <v>5.6449999999999996</v>
      </c>
      <c r="Z74" s="79">
        <f>5.58-Tabla2[[#This Row],[Div.]]</f>
        <v>5.28</v>
      </c>
      <c r="AA74" s="79">
        <f>+Tabla2[[#This Row],[Precio compra]]+Tabla2[[#This Row],[Div.]]</f>
        <v>5.58</v>
      </c>
      <c r="AB74" s="96">
        <v>0.3</v>
      </c>
      <c r="AC74" s="79">
        <f>6.73-Tabla2[[#This Row],[Div.]]</f>
        <v>6.4300000000000006</v>
      </c>
      <c r="AD74" s="79">
        <f>+Tabla2[[#This Row],[Objetivo div2]]+Tabla2[[#This Row],[Div.]]</f>
        <v>6.73</v>
      </c>
      <c r="AE74" s="159">
        <f ca="1">IF(Z74="-",+AC74/Y74-1,AC74/D74-1)</f>
        <v>0.18198529411764719</v>
      </c>
      <c r="AF74" s="81">
        <v>6.81</v>
      </c>
      <c r="AG74" s="253">
        <f ca="1">IF(Z74="-",+AF74/D74-1,AF74/D74-1)</f>
        <v>0.25183823529411753</v>
      </c>
      <c r="AH74" s="81">
        <f>5.105-Tabla2[[#This Row],[Div.]]</f>
        <v>4.8050000000000006</v>
      </c>
      <c r="AI74" s="147">
        <f ca="1">IF(Z74="-",AH74/Y74-1,+AH74/D74-1)</f>
        <v>-0.11672794117647056</v>
      </c>
      <c r="AJ74" s="121">
        <f ca="1">IF(Z74="-","-",+(D74/Z74)-1)</f>
        <v>3.0303030303030276E-2</v>
      </c>
      <c r="AK74" s="120">
        <f ca="1">IF(AA74="-","-",+(D74/AA74)-1)</f>
        <v>-2.5089605734766929E-2</v>
      </c>
      <c r="AM74" s="49" t="str">
        <f>IF(AL74=0,"-",+AL74/Z74-1)</f>
        <v>-</v>
      </c>
      <c r="AN74" s="28">
        <f ca="1">+D74/Y74-1</f>
        <v>-3.631532329495113E-2</v>
      </c>
      <c r="AO74" s="75">
        <f ca="1">VLOOKUP(Tabla2[[#This Row],[TCKR]],'2026'!$D$5:$AH$257,8,FALSE)</f>
        <v>1792</v>
      </c>
      <c r="AP74" s="193">
        <f ca="1">VLOOKUP(Tabla2[[#This Row],[TCKR]],'2026'!$D$5:$AH$257,26,FALSE)</f>
        <v>-221.82511145510267</v>
      </c>
      <c r="AQ74" s="5" cm="1">
        <f t="array" aca="1" ref="AQ74" ca="1">_FV(Tabla2[[#This Row],[valor]],"P/E",TRUE)</f>
        <v>9.7105999999999995</v>
      </c>
      <c r="AR74" s="4"/>
      <c r="AT74" s="193">
        <f ca="1">+Tabla2[[#This Row],[Titulos2]]*Tabla2[[#This Row],[Neto]]</f>
        <v>0</v>
      </c>
      <c r="AU74" s="28">
        <f>+Tabla2[[#This Row],[Neto]]/Tabla2[[#This Row],[Precio compra2]]</f>
        <v>0</v>
      </c>
    </row>
    <row r="75" spans="1:47" ht="16" customHeight="1" x14ac:dyDescent="0.2">
      <c r="A75" s="323" t="e" vm="108">
        <v>#VALUE!</v>
      </c>
      <c r="B75" s="242" t="str" cm="1">
        <f t="array" aca="1" ref="B75" ca="1">_FV(A75,"Ticker symbol",TRUE)</f>
        <v>LBTYA</v>
      </c>
      <c r="C75" s="217" cm="1">
        <f t="array" aca="1" ref="C75" ca="1">_FV(A75,"Change (%)",TRUE)</f>
        <v>-2.4369999999999999E-2</v>
      </c>
      <c r="D75" s="144" cm="1">
        <f t="array" aca="1" ref="D75" ca="1">_FV(A75,"Price")</f>
        <v>11.61</v>
      </c>
      <c r="E75" s="159">
        <f ca="1">AE75</f>
        <v>0.20068906115417739</v>
      </c>
      <c r="F75" s="321">
        <f ca="1">+Tabla2[[#This Row],[Rentab. Parcial]]</f>
        <v>0.10047393364928903</v>
      </c>
      <c r="G75" s="321">
        <f ca="1">+Tabla2[[#This Row],[Rentab. Parcial2]]</f>
        <v>0.10047393364928903</v>
      </c>
      <c r="H75" s="253">
        <f ca="1">+Tabla2[[#This Row],[Difer. Investing]]</f>
        <v>0.44444444444444442</v>
      </c>
      <c r="I75" s="79">
        <f>+Tabla2[[#This Row],[Objetivo div2]]</f>
        <v>13.94</v>
      </c>
      <c r="J75" s="75" cm="1">
        <f t="array" aca="1" ref="J75" ca="1">_FV(A75,"High")</f>
        <v>12.225</v>
      </c>
      <c r="K75" s="75" cm="1">
        <f t="array" aca="1" ref="K75" ca="1">_FV(A75,"Low")</f>
        <v>11.49</v>
      </c>
      <c r="L75" s="75" cm="1">
        <f t="array" aca="1" ref="L75" ca="1">_FV(Tabla2[[#This Row],[valor]],"52 week high",TRUE)</f>
        <v>13.52</v>
      </c>
      <c r="M75" s="75">
        <f ca="1">+L75*0.9</f>
        <v>12.167999999999999</v>
      </c>
      <c r="N75" s="75">
        <f ca="1">+L75*0.95</f>
        <v>12.843999999999999</v>
      </c>
      <c r="O75" s="75" cm="1">
        <f t="array" aca="1" ref="O75" ca="1">_FV(A75,"52 week low",TRUE)</f>
        <v>9.0250000000000004</v>
      </c>
      <c r="P75" s="220">
        <f ca="1">+TODAY()-Tabla2[[#This Row],[F. compra]]</f>
        <v>267</v>
      </c>
      <c r="Q75" s="220">
        <f ca="1">GESTEP(D75,M75)</f>
        <v>0</v>
      </c>
      <c r="R75" s="220">
        <f ca="1">GESTEP(D75,N75)</f>
        <v>0</v>
      </c>
      <c r="S75" s="75" t="s">
        <v>75</v>
      </c>
      <c r="T75" s="110" t="s">
        <v>78</v>
      </c>
      <c r="U75" s="110" t="s">
        <v>88</v>
      </c>
      <c r="V75" s="16">
        <v>45873</v>
      </c>
      <c r="W75" s="16">
        <v>45873</v>
      </c>
      <c r="X75" s="80"/>
      <c r="Y75" s="79">
        <v>10.61</v>
      </c>
      <c r="Z75" s="79">
        <v>10.55</v>
      </c>
      <c r="AA75" s="79">
        <f>+Tabla2[[#This Row],[Precio compra]]+Tabla2[[#This Row],[Div.]]</f>
        <v>10.55</v>
      </c>
      <c r="AB75" s="96"/>
      <c r="AC75" s="79">
        <v>13.94</v>
      </c>
      <c r="AD75" s="79">
        <f>+Tabla2[[#This Row],[Objetivo div2]]+Tabla2[[#This Row],[Div.]]</f>
        <v>13.94</v>
      </c>
      <c r="AE75" s="159">
        <f ca="1">IF(Z75="-",+AC75/Y75-1,AC75/D75-1)</f>
        <v>0.20068906115417739</v>
      </c>
      <c r="AF75" s="81">
        <v>16.77</v>
      </c>
      <c r="AG75" s="253">
        <f ca="1">IF(Z75="-",+AF75/D75-1,AF75/D75-1)</f>
        <v>0.44444444444444442</v>
      </c>
      <c r="AH75" s="81">
        <v>9.43</v>
      </c>
      <c r="AI75" s="147">
        <f ca="1">IF(Z75="-",AH75/Y75-1,+AH75/D75-1)</f>
        <v>-0.18776916451335057</v>
      </c>
      <c r="AJ75" s="121">
        <f ca="1">IF(Z75="-","-",+(D75/Z75)-1)</f>
        <v>0.10047393364928903</v>
      </c>
      <c r="AK75" s="120">
        <f ca="1">IF(AA75="-","-",+(D75/AA75)-1)</f>
        <v>0.10047393364928903</v>
      </c>
      <c r="AM75" s="49" t="str">
        <f>IF(AL75=0,"-",+AL75/Z75-1)</f>
        <v>-</v>
      </c>
      <c r="AN75" s="28">
        <f ca="1">+D75/Y75-1</f>
        <v>9.4250706880301571E-2</v>
      </c>
      <c r="AO75" s="75">
        <f ca="1">VLOOKUP(Tabla2[[#This Row],[TCKR]],'2026'!$D$5:$AH$257,8,FALSE)</f>
        <v>515</v>
      </c>
      <c r="AP75" s="193">
        <f ca="1">VLOOKUP(Tabla2[[#This Row],[TCKR]],'2026'!$D$5:$AH$257,26,FALSE)</f>
        <v>321.22566848626923</v>
      </c>
      <c r="AQ75" s="5" cm="1">
        <f t="array" aca="1" ref="AQ75" ca="1">_FV(Tabla2[[#This Row],[valor]],"P/E",TRUE)</f>
        <v>0</v>
      </c>
      <c r="AR75" s="4"/>
      <c r="AT75" s="193">
        <f ca="1">+Tabla2[[#This Row],[Titulos2]]*Tabla2[[#This Row],[Neto]]</f>
        <v>0</v>
      </c>
      <c r="AU75" s="28">
        <f>+Tabla2[[#This Row],[Neto]]/Tabla2[[#This Row],[Precio compra2]]</f>
        <v>0</v>
      </c>
    </row>
    <row r="76" spans="1:47" ht="16" customHeight="1" x14ac:dyDescent="0.2">
      <c r="A76" s="355" t="e" vm="196">
        <v>#VALUE!</v>
      </c>
      <c r="B76" s="75" t="str" cm="1">
        <f t="array" aca="1" ref="B76" ca="1">_FV(A76,"Ticker symbol",TRUE)</f>
        <v>Z</v>
      </c>
      <c r="C76" s="217" cm="1">
        <f t="array" aca="1" ref="C76" ca="1">_FV(A76,"Change (%)",TRUE)</f>
        <v>3.9639999999999996E-3</v>
      </c>
      <c r="D76" s="144" cm="1">
        <f t="array" aca="1" ref="D76" ca="1">_FV(A76,"Price")</f>
        <v>45.59</v>
      </c>
      <c r="E76" s="356">
        <f>AE76</f>
        <v>0.1896440129449839</v>
      </c>
      <c r="F76" s="321">
        <f ca="1">+Tabla2[[#This Row],[Rentab. Parcial]]</f>
        <v>-1.6396979503775611E-2</v>
      </c>
      <c r="G76" s="321">
        <f ca="1">+Tabla2[[#This Row],[Rentab. Parcial2]]</f>
        <v>-1.6396979503775611E-2</v>
      </c>
      <c r="H76" s="253">
        <f ca="1">+Tabla2[[#This Row],[Difer. Investing]]</f>
        <v>0.57556481684579941</v>
      </c>
      <c r="I76" s="79">
        <v>263.48</v>
      </c>
      <c r="J76" s="75" cm="1">
        <f t="array" aca="1" ref="J76" ca="1">_FV(A76,"High")</f>
        <v>46.325000000000003</v>
      </c>
      <c r="K76" s="75" cm="1">
        <f t="array" aca="1" ref="K76" ca="1">_FV(A76,"Low")</f>
        <v>45.16</v>
      </c>
      <c r="L76" s="75" cm="1">
        <f t="array" aca="1" ref="L76" ca="1">_FV(A76,"52 week high",TRUE)</f>
        <v>93.88</v>
      </c>
      <c r="M76" s="75">
        <f ca="1">+L76*0.9</f>
        <v>84.492000000000004</v>
      </c>
      <c r="N76" s="75">
        <f ca="1">+L76*0.95</f>
        <v>89.185999999999993</v>
      </c>
      <c r="O76" s="75" cm="1">
        <f t="array" aca="1" ref="O76" ca="1">_FV(A76,"52 week low",TRUE)</f>
        <v>39.049999999999997</v>
      </c>
      <c r="P76" s="220">
        <f ca="1">+TODAY()-Tabla2[[#This Row],[F. compra]]</f>
        <v>8</v>
      </c>
      <c r="Q76" s="220">
        <f ca="1">GESTEP(D76,M76)</f>
        <v>0</v>
      </c>
      <c r="R76" s="220">
        <f ca="1">GESTEP(D76,N76)</f>
        <v>0</v>
      </c>
      <c r="S76" s="75" t="s">
        <v>182</v>
      </c>
      <c r="T76" s="110" t="s">
        <v>78</v>
      </c>
      <c r="U76" s="110" t="s">
        <v>88</v>
      </c>
      <c r="V76" s="16">
        <v>46132</v>
      </c>
      <c r="W76" s="16">
        <v>46132</v>
      </c>
      <c r="X76" s="80"/>
      <c r="Y76" s="79">
        <v>46.37</v>
      </c>
      <c r="Z76" s="79">
        <v>46.35</v>
      </c>
      <c r="AA76" s="79">
        <v>46.35</v>
      </c>
      <c r="AB76" s="79"/>
      <c r="AC76" s="79">
        <v>55.14</v>
      </c>
      <c r="AD76" s="79">
        <f>+Tabla2[[#This Row],[Objetivo div2]]+Tabla2[[#This Row],[Div.]]</f>
        <v>55.14</v>
      </c>
      <c r="AE76" s="356">
        <f>IF(Z76="",+AC76/Y76-1,AC76/Z76-1)</f>
        <v>0.1896440129449839</v>
      </c>
      <c r="AF76" s="76">
        <v>71.83</v>
      </c>
      <c r="AG76" s="253">
        <f ca="1">IF(Z76="-",+AF76/D76-1,AF76/D76-1)</f>
        <v>0.57556481684579941</v>
      </c>
      <c r="AH76" s="76">
        <v>39.94</v>
      </c>
      <c r="AI76" s="147">
        <f ca="1">IF(Z76="-",AH76/Y76-1,+AH76/D76-1)</f>
        <v>-0.12393068655406903</v>
      </c>
      <c r="AJ76" s="121">
        <f ca="1">IF(Z76="-","-",+(D76/Z76)-1)</f>
        <v>-1.6396979503775611E-2</v>
      </c>
      <c r="AK76" s="120">
        <f ca="1">IF(AA76="-","-",+(D76/AA76)-1)</f>
        <v>-1.6396979503775611E-2</v>
      </c>
      <c r="AM76" s="49" t="str">
        <f>IF(AL76=0,"-",+AL76/Z76-1)</f>
        <v>-</v>
      </c>
      <c r="AN76" s="28">
        <f ca="1">+D76/Y76-1</f>
        <v>-1.6821220616777932E-2</v>
      </c>
      <c r="AO76" s="75"/>
      <c r="AP76" s="193"/>
      <c r="AR76" s="4"/>
      <c r="AU76" s="28"/>
    </row>
    <row r="77" spans="1:47" ht="16" customHeight="1" x14ac:dyDescent="0.2">
      <c r="A77" s="325" t="e" vm="38">
        <v>#VALUE!</v>
      </c>
      <c r="B77" s="325" t="str" cm="1">
        <f t="array" aca="1" ref="B77" ca="1">_FV(A77,"Ticker symbol",TRUE)</f>
        <v>CZR</v>
      </c>
      <c r="C77" s="217" cm="1">
        <f t="array" aca="1" ref="C77" ca="1">_FV(A77,"Change (%)",TRUE)</f>
        <v>-3.2009999999999999E-3</v>
      </c>
      <c r="D77" s="144" cm="1">
        <f t="array" aca="1" ref="D77" ca="1">_FV(A77,"Price")</f>
        <v>28.03</v>
      </c>
      <c r="E77" s="289">
        <f ca="1">AE77</f>
        <v>0.20335354976810538</v>
      </c>
      <c r="F77" s="321">
        <f ca="1">+Tabla2[[#This Row],[Rentab. Parcial]]</f>
        <v>0.1100990099009902</v>
      </c>
      <c r="G77" s="321">
        <f ca="1">+Tabla2[[#This Row],[Rentab. Parcial2]]</f>
        <v>0.1100990099009902</v>
      </c>
      <c r="H77" s="253">
        <f ca="1">+Tabla2[[#This Row],[Difer. Investing]]</f>
        <v>0.11594719942918297</v>
      </c>
      <c r="I77" s="79">
        <f>+Tabla2[[#This Row],[Objetivo div2]]</f>
        <v>33.729999999999997</v>
      </c>
      <c r="J77" s="75" cm="1">
        <f t="array" aca="1" ref="J77" ca="1">_FV(A77,"High")</f>
        <v>28.41</v>
      </c>
      <c r="K77" s="75" cm="1">
        <f t="array" aca="1" ref="K77" ca="1">_FV(A77,"Low")</f>
        <v>28.004999999999999</v>
      </c>
      <c r="L77" s="75" cm="1">
        <f t="array" aca="1" ref="L77" ca="1">_FV(A77,"52 week high",TRUE)</f>
        <v>31.58</v>
      </c>
      <c r="M77" s="75">
        <f ca="1">+L77*0.9</f>
        <v>28.422000000000001</v>
      </c>
      <c r="N77" s="75">
        <f ca="1">+L77*0.95</f>
        <v>30.000999999999998</v>
      </c>
      <c r="O77" s="75" cm="1">
        <f t="array" aca="1" ref="O77" ca="1">_FV(A77,"52 week low",TRUE)</f>
        <v>17.86</v>
      </c>
      <c r="P77" s="220">
        <f ca="1">+TODAY()-Tabla2[[#This Row],[F. compra]]</f>
        <v>49</v>
      </c>
      <c r="Q77" s="220">
        <f ca="1">GESTEP(D77,M77)</f>
        <v>0</v>
      </c>
      <c r="R77" s="220">
        <f ca="1">GESTEP(D77,N77)</f>
        <v>0</v>
      </c>
      <c r="S77" s="75" t="s">
        <v>75</v>
      </c>
      <c r="T77" s="110" t="s">
        <v>78</v>
      </c>
      <c r="U77" s="110" t="s">
        <v>88</v>
      </c>
      <c r="V77" s="16">
        <v>46083</v>
      </c>
      <c r="W77" s="16">
        <v>46091</v>
      </c>
      <c r="X77" s="80" t="s">
        <v>382</v>
      </c>
      <c r="Y77" s="79">
        <v>25.94</v>
      </c>
      <c r="Z77" s="79">
        <v>25.25</v>
      </c>
      <c r="AA77" s="79">
        <v>25.25</v>
      </c>
      <c r="AB77" s="79"/>
      <c r="AC77" s="79">
        <v>33.729999999999997</v>
      </c>
      <c r="AD77" s="79">
        <f>+Tabla2[[#This Row],[Objetivo div2]]</f>
        <v>33.729999999999997</v>
      </c>
      <c r="AE77" s="289">
        <f ca="1">IF(Z77="-",+AC77/Y77-1,AC77/D77-1)</f>
        <v>0.20335354976810538</v>
      </c>
      <c r="AF77" s="76">
        <v>31.28</v>
      </c>
      <c r="AG77" s="253">
        <f ca="1">IF(Z77="-",+AF77/D77-1,AF77/D77-1)</f>
        <v>0.11594719942918297</v>
      </c>
      <c r="AH77" s="76">
        <v>20.83</v>
      </c>
      <c r="AI77" s="147">
        <f ca="1">IF(Z77="-",AH77/Y77-1,+AH77/D77-1)</f>
        <v>-0.25686764181234401</v>
      </c>
      <c r="AJ77" s="121">
        <f ca="1">IF(Z77="-","-",+(D77/Z77)-1)</f>
        <v>0.1100990099009902</v>
      </c>
      <c r="AK77" s="120">
        <f ca="1">IF(AA77="-","-",+(D77/AA77)-1)</f>
        <v>0.1100990099009902</v>
      </c>
      <c r="AM77" s="49" t="str">
        <f>IF(AL77=0,"-",+AL77/Z77-1)</f>
        <v>-</v>
      </c>
      <c r="AN77" s="28">
        <f ca="1">+D77/Y77-1</f>
        <v>8.0570547417116334E-2</v>
      </c>
      <c r="AO77" s="75"/>
      <c r="AP77" s="193"/>
      <c r="AR77" s="4"/>
      <c r="AU77" s="28"/>
    </row>
    <row r="78" spans="1:47" ht="16" customHeight="1" x14ac:dyDescent="0.2">
      <c r="A78" s="75" t="e" vm="92">
        <v>#VALUE!</v>
      </c>
      <c r="B78" s="75" t="str" cm="1">
        <f t="array" aca="1" ref="B78" ca="1">_FV(A78,"Ticker symbol",TRUE)</f>
        <v>INPST</v>
      </c>
      <c r="C78" s="217" cm="1">
        <f t="array" aca="1" ref="C78" ca="1">_FV(A78,"Change (%)",TRUE)</f>
        <v>6.5699999999999992E-4</v>
      </c>
      <c r="D78" s="144" cm="1">
        <f t="array" aca="1" ref="D78" ca="1">_FV(A78,"Price")</f>
        <v>15.23</v>
      </c>
      <c r="E78" s="159">
        <f ca="1">AE78</f>
        <v>0.19435325016414984</v>
      </c>
      <c r="F78" s="321">
        <f ca="1">+Tabla2[[#This Row],[Rentab. Parcial]]</f>
        <v>-1.2321660181582317E-2</v>
      </c>
      <c r="G78" s="321">
        <f ca="1">+Tabla2[[#This Row],[Rentab. Parcial2]]</f>
        <v>-1.2321660181582317E-2</v>
      </c>
      <c r="H78" s="253">
        <f ca="1">+Tabla2[[#This Row],[Difer. Investing]]</f>
        <v>6.6973079448456874E-2</v>
      </c>
      <c r="I78" s="79">
        <f>+Tabla2[[#This Row],[Objetivo div2]]</f>
        <v>18.190000000000001</v>
      </c>
      <c r="J78" s="75" cm="1">
        <f t="array" aca="1" ref="J78" ca="1">_FV(A78,"High")</f>
        <v>15.25</v>
      </c>
      <c r="K78" s="75" cm="1">
        <f t="array" aca="1" ref="K78" ca="1">_FV(A78,"Low")</f>
        <v>15.22</v>
      </c>
      <c r="L78" s="75" cm="1">
        <f t="array" aca="1" ref="L78" ca="1">_FV(Tabla2[[#This Row],[valor]],"52 week high",TRUE)</f>
        <v>16.329999999999998</v>
      </c>
      <c r="M78" s="75">
        <f ca="1">+L78*0.9</f>
        <v>14.696999999999999</v>
      </c>
      <c r="N78" s="75">
        <f ca="1">+L78*0.95</f>
        <v>15.513499999999997</v>
      </c>
      <c r="O78" s="75" cm="1">
        <f t="array" aca="1" ref="O78" ca="1">_FV(A78,"52 week low",TRUE)</f>
        <v>9.19</v>
      </c>
      <c r="P78" s="220">
        <f ca="1">+TODAY()-Tabla2[[#This Row],[F. compra]]</f>
        <v>445</v>
      </c>
      <c r="Q78" s="220">
        <f ca="1">GESTEP(D78,M78)</f>
        <v>1</v>
      </c>
      <c r="R78" s="220">
        <f ca="1">GESTEP(D78,N78)</f>
        <v>0</v>
      </c>
      <c r="S78" s="75" t="s">
        <v>75</v>
      </c>
      <c r="T78" s="110" t="s">
        <v>78</v>
      </c>
      <c r="U78" s="110" t="s">
        <v>26</v>
      </c>
      <c r="V78" s="16">
        <v>45695</v>
      </c>
      <c r="W78" s="16">
        <v>45695</v>
      </c>
      <c r="X78" s="80" t="s">
        <v>11</v>
      </c>
      <c r="Y78" s="79">
        <v>16.02</v>
      </c>
      <c r="Z78" s="79">
        <v>15.42</v>
      </c>
      <c r="AA78" s="79">
        <f>+Tabla2[[#This Row],[Precio compra]]+Tabla2[[#This Row],[Div.]]</f>
        <v>15.42</v>
      </c>
      <c r="AB78" s="96"/>
      <c r="AC78" s="79">
        <v>18.190000000000001</v>
      </c>
      <c r="AD78" s="79">
        <f>+Tabla2[[#This Row],[Objetivo div2]]+Tabla2[[#This Row],[Div.]]</f>
        <v>18.190000000000001</v>
      </c>
      <c r="AE78" s="159">
        <f ca="1">IF(Z78="-",+AC78/Y78-1,AC78/D78-1)</f>
        <v>0.19435325016414984</v>
      </c>
      <c r="AF78" s="81">
        <v>16.25</v>
      </c>
      <c r="AG78" s="253">
        <f ca="1">IF(Z78="-",+AF78/D78-1,AF78/D78-1)</f>
        <v>6.6973079448456874E-2</v>
      </c>
      <c r="AH78" s="81">
        <v>14.94</v>
      </c>
      <c r="AI78" s="147">
        <f ca="1">IF(Z78="-",AH78/Y78-1,+AH78/D78-1)</f>
        <v>-1.9041365725541715E-2</v>
      </c>
      <c r="AJ78" s="121">
        <f ca="1">IF(Z78="-","-",+(D78/Z78)-1)</f>
        <v>-1.2321660181582317E-2</v>
      </c>
      <c r="AK78" s="120">
        <f ca="1">IF(AA78="-","-",+(D78/AA78)-1)</f>
        <v>-1.2321660181582317E-2</v>
      </c>
      <c r="AM78" s="49" t="str">
        <f>IF(AL78=0,"-",+AL78/Z78-1)</f>
        <v>-</v>
      </c>
      <c r="AN78" s="28">
        <f ca="1">+D78/Y78-1</f>
        <v>-4.9313358302122245E-2</v>
      </c>
      <c r="AO78" s="75">
        <f ca="1">VLOOKUP(Tabla2[[#This Row],[TCKR]],'2026'!$D$5:$AH$257,8,FALSE)</f>
        <v>749</v>
      </c>
      <c r="AP78" s="193">
        <f ca="1">VLOOKUP(Tabla2[[#This Row],[TCKR]],'2026'!$D$5:$AH$257,26,FALSE)</f>
        <v>-479.4213296518169</v>
      </c>
      <c r="AQ78" s="5" cm="1">
        <f t="array" aca="1" ref="AQ78" ca="1">_FV(Tabla2[[#This Row],[valor]],"P/E",TRUE)</f>
        <v>57.717100000000002</v>
      </c>
      <c r="AR78" s="4"/>
      <c r="AT78" s="193">
        <f ca="1">+Tabla2[[#This Row],[Titulos2]]*Tabla2[[#This Row],[Neto]]</f>
        <v>0</v>
      </c>
      <c r="AU78" s="28">
        <f>+Tabla2[[#This Row],[Neto]]/Tabla2[[#This Row],[Precio compra2]]</f>
        <v>0</v>
      </c>
    </row>
    <row r="79" spans="1:47" ht="16" customHeight="1" x14ac:dyDescent="0.2">
      <c r="A79" s="75" t="e" vm="146">
        <v>#VALUE!</v>
      </c>
      <c r="B79" s="75" t="str" cm="1">
        <f t="array" aca="1" ref="B79" ca="1">_FV(A79,"Ticker symbol",TRUE)</f>
        <v>SAN</v>
      </c>
      <c r="C79" s="217" cm="1">
        <f t="array" aca="1" ref="C79" ca="1">_FV(A79,"Change (%)",TRUE)</f>
        <v>-1.4735E-2</v>
      </c>
      <c r="D79" s="144" cm="1">
        <f t="array" aca="1" ref="D79" ca="1">_FV(A79,"Price")</f>
        <v>78.900000000000006</v>
      </c>
      <c r="E79" s="159">
        <f ca="1">AE79</f>
        <v>0.19518377693282618</v>
      </c>
      <c r="F79" s="321">
        <f ca="1">+Tabla2[[#This Row],[Rentab. Parcial]]</f>
        <v>-5.9594755661501742E-2</v>
      </c>
      <c r="G79" s="321">
        <f ca="1">+Tabla2[[#This Row],[Rentab. Parcial2]]</f>
        <v>-5.9594755661501742E-2</v>
      </c>
      <c r="H79" s="253">
        <f ca="1">+Tabla2[[#This Row],[Difer. Investing]]</f>
        <v>0.42762991128010119</v>
      </c>
      <c r="I79" s="79">
        <f>+Tabla2[[#This Row],[Objetivo div2]]</f>
        <v>94.3</v>
      </c>
      <c r="J79" s="75" cm="1">
        <f t="array" aca="1" ref="J79" ca="1">_FV(A79,"High")</f>
        <v>80.19</v>
      </c>
      <c r="K79" s="75" cm="1">
        <f t="array" aca="1" ref="K79" ca="1">_FV(A79,"Low")</f>
        <v>78.69</v>
      </c>
      <c r="L79" s="75" cm="1">
        <f t="array" aca="1" ref="L79" ca="1">_FV(Tabla2[[#This Row],[valor]],"52 week high",TRUE)</f>
        <v>98.36</v>
      </c>
      <c r="M79" s="75">
        <f ca="1">+L79*0.9</f>
        <v>88.524000000000001</v>
      </c>
      <c r="N79" s="75">
        <f ca="1">+L79*0.95</f>
        <v>93.441999999999993</v>
      </c>
      <c r="O79" s="75" cm="1">
        <f t="array" aca="1" ref="O79" ca="1">_FV(A79,"52 week low",TRUE)</f>
        <v>74.849999999999994</v>
      </c>
      <c r="P79" s="220">
        <f ca="1">+TODAY()-Tabla2[[#This Row],[F. compra]]</f>
        <v>292</v>
      </c>
      <c r="Q79" s="220">
        <f ca="1">GESTEP(D79,M79)</f>
        <v>0</v>
      </c>
      <c r="R79" s="220">
        <f ca="1">GESTEP(D79,N79)</f>
        <v>0</v>
      </c>
      <c r="S79" s="75" t="s">
        <v>26</v>
      </c>
      <c r="T79" s="110" t="s">
        <v>26</v>
      </c>
      <c r="U79" s="110" t="s">
        <v>26</v>
      </c>
      <c r="V79" s="16">
        <v>45848</v>
      </c>
      <c r="W79" s="16">
        <v>45848</v>
      </c>
      <c r="X79" s="80"/>
      <c r="Y79" s="79">
        <v>84.2</v>
      </c>
      <c r="Z79" s="79">
        <v>83.9</v>
      </c>
      <c r="AA79" s="79">
        <f>+Tabla2[[#This Row],[Precio compra]]+Tabla2[[#This Row],[Div.]]</f>
        <v>83.9</v>
      </c>
      <c r="AB79" s="96"/>
      <c r="AC79" s="79">
        <v>94.3</v>
      </c>
      <c r="AD79" s="79">
        <v>102.05</v>
      </c>
      <c r="AE79" s="159">
        <f ca="1">IF(Z79="-",+AC79/Y79-1,AC79/D79-1)</f>
        <v>0.19518377693282618</v>
      </c>
      <c r="AF79" s="81">
        <v>112.64</v>
      </c>
      <c r="AG79" s="253">
        <f ca="1">IF(Z79="-",+AF79/D79-1,AF79/D79-1)</f>
        <v>0.42762991128010119</v>
      </c>
      <c r="AH79" s="81">
        <v>78</v>
      </c>
      <c r="AI79" s="147">
        <f ca="1">IF(Z79="-",AH79/Y79-1,+AH79/D79-1)</f>
        <v>-1.1406844106463976E-2</v>
      </c>
      <c r="AJ79" s="121">
        <f ca="1">IF(Z79="-","-",+(D79/Z79)-1)</f>
        <v>-5.9594755661501742E-2</v>
      </c>
      <c r="AK79" s="120">
        <f ca="1">IF(AA79="-","-",+(D79/AA79)-1)</f>
        <v>-5.9594755661501742E-2</v>
      </c>
      <c r="AM79" s="49" t="str">
        <f>IF(AL79=0,"-",+AL79/Z79-1)</f>
        <v>-</v>
      </c>
      <c r="AN79" s="28">
        <f ca="1">+D79/Y79-1</f>
        <v>-6.2945368171021365E-2</v>
      </c>
      <c r="AO79" s="75">
        <f ca="1">VLOOKUP(Tabla2[[#This Row],[TCKR]],'2026'!$D$5:$AH$257,8,FALSE)</f>
        <v>119</v>
      </c>
      <c r="AP79" s="193">
        <f ca="1">VLOOKUP(Tabla2[[#This Row],[TCKR]],'2026'!$D$5:$AH$257,26,FALSE)</f>
        <v>-493.85778028511163</v>
      </c>
      <c r="AQ79" s="5" cm="1">
        <f t="array" aca="1" ref="AQ79" ca="1">_FV(Tabla2[[#This Row],[valor]],"P/E",TRUE)</f>
        <v>12.863799999999999</v>
      </c>
      <c r="AR79" s="4"/>
      <c r="AT79" s="193">
        <f ca="1">+Tabla2[[#This Row],[Titulos2]]*Tabla2[[#This Row],[Neto]]</f>
        <v>0</v>
      </c>
      <c r="AU79" s="28">
        <f>+Tabla2[[#This Row],[Neto]]/Tabla2[[#This Row],[Precio compra2]]</f>
        <v>0</v>
      </c>
    </row>
    <row r="80" spans="1:47" ht="16" customHeight="1" x14ac:dyDescent="0.2">
      <c r="A80" s="323" t="e" vm="114">
        <v>#VALUE!</v>
      </c>
      <c r="B80" s="75" t="str" cm="1">
        <f t="array" aca="1" ref="B80" ca="1">_FV(A80,"Ticker symbol",TRUE)</f>
        <v>MDT</v>
      </c>
      <c r="C80" s="217" cm="1">
        <f t="array" aca="1" ref="C80" ca="1">_FV(A80,"Change (%)",TRUE)</f>
        <v>-4.8010000000000006E-3</v>
      </c>
      <c r="D80" s="144" cm="1">
        <f t="array" aca="1" ref="D80" ca="1">_FV(A80,"Price")</f>
        <v>82.92</v>
      </c>
      <c r="E80" s="159">
        <f ca="1">AE80</f>
        <v>0.19630774240231541</v>
      </c>
      <c r="F80" s="321">
        <f ca="1">+Tabla2[[#This Row],[Rentab. Parcial]]</f>
        <v>-7.9769287106855269E-2</v>
      </c>
      <c r="G80" s="321">
        <f ca="1">+Tabla2[[#This Row],[Rentab. Parcial2]]</f>
        <v>-8.6784140969162982E-2</v>
      </c>
      <c r="H80" s="253">
        <f ca="1">+Tabla2[[#This Row],[Difer. Investing]]</f>
        <v>0.32899179932465028</v>
      </c>
      <c r="I80" s="79">
        <f ca="1">+Tabla2[[#This Row],[Objetivo div2]]</f>
        <v>99.197838000000004</v>
      </c>
      <c r="J80" s="75" cm="1">
        <f t="array" aca="1" ref="J80" ca="1">_FV(A80,"High")</f>
        <v>84.05</v>
      </c>
      <c r="K80" s="75" cm="1">
        <f t="array" aca="1" ref="K80" ca="1">_FV(A80,"Low")</f>
        <v>82.863200000000006</v>
      </c>
      <c r="L80" s="75" cm="1">
        <f t="array" aca="1" ref="L80" ca="1">_FV(Tabla2[[#This Row],[valor]],"52 week high",TRUE)</f>
        <v>106.33</v>
      </c>
      <c r="M80" s="75">
        <f ca="1">+Tabla2[[#This Row],[52 high]]*0.9</f>
        <v>95.697000000000003</v>
      </c>
      <c r="N80" s="75">
        <f ca="1">+Tabla2[[#This Row],[52 high]]*0.95</f>
        <v>101.01349999999999</v>
      </c>
      <c r="O80" s="75" cm="1">
        <f t="array" aca="1" ref="O80" ca="1">_FV(Tabla2[[#This Row],[valor]],"52 week low",TRUE)</f>
        <v>79.930000000000007</v>
      </c>
      <c r="P80" s="220">
        <f ca="1">+TODAY()-Tabla2[[#This Row],[F. compra]]</f>
        <v>600</v>
      </c>
      <c r="Q80" s="220">
        <f ca="1">GESTEP(Tabla2[[#This Row],[price]],Tabla2[[#This Row],[HIGH 10%]])</f>
        <v>0</v>
      </c>
      <c r="R80" s="220">
        <f ca="1">GESTEP(Tabla2[[#This Row],[price]],Tabla2[[#This Row],[HIGH 5%]])</f>
        <v>0</v>
      </c>
      <c r="S80" s="75" t="s">
        <v>76</v>
      </c>
      <c r="T80" s="110" t="s">
        <v>78</v>
      </c>
      <c r="U80" s="110" t="s">
        <v>88</v>
      </c>
      <c r="V80" s="16">
        <v>45540</v>
      </c>
      <c r="W80" s="16">
        <v>45540</v>
      </c>
      <c r="X80" s="80" t="s">
        <v>11</v>
      </c>
      <c r="Y80" s="79" t="s">
        <v>11</v>
      </c>
      <c r="Z80" s="79">
        <f ca="1">90.8-Tabla2[[#This Row],[Div.]]</f>
        <v>90.107838000000001</v>
      </c>
      <c r="AA80" s="79">
        <f ca="1">+Tabla2[[#This Row],[Precio compra]]+Tabla2[[#This Row],[Div.]]</f>
        <v>90.8</v>
      </c>
      <c r="AB80" s="96">
        <f ca="1">0.08+'dividendos 26'!E15</f>
        <v>0.69216199999999994</v>
      </c>
      <c r="AC80" s="79">
        <f ca="1">99.89-Tabla2[[#This Row],[Div.]]</f>
        <v>99.197838000000004</v>
      </c>
      <c r="AD80" s="79">
        <f ca="1">+Tabla2[[#This Row],[Objetivo div2]]+Tabla2[[#This Row],[Div.]]</f>
        <v>99.89</v>
      </c>
      <c r="AE80" s="159">
        <f ca="1">IF(Z80="-",+AC80/Y80-1,AC80/D80-1)</f>
        <v>0.19630774240231541</v>
      </c>
      <c r="AF80" s="81">
        <v>110.2</v>
      </c>
      <c r="AG80" s="253">
        <f ca="1">IF(Z80="-",+AF80/D80-1,AF80/D80-1)</f>
        <v>0.32899179932465028</v>
      </c>
      <c r="AH80" s="81">
        <v>76</v>
      </c>
      <c r="AI80" s="147">
        <f ca="1">IF(Z80="-",AH80/Y80-1,+AH80/D80-1)</f>
        <v>-8.3453931500241163E-2</v>
      </c>
      <c r="AJ80" s="121">
        <f ca="1">IF(Z80="-","-",+(D80/Z80)-1)</f>
        <v>-7.9769287106855269E-2</v>
      </c>
      <c r="AK80" s="120">
        <f ca="1">IF(AA80="-","-",+(D80/AA80)-1)</f>
        <v>-8.6784140969162982E-2</v>
      </c>
      <c r="AM80" s="49" t="str">
        <f>IF(AL80=0,"-",+AL80/Z80-1)</f>
        <v>-</v>
      </c>
      <c r="AN80" s="28" t="e">
        <f ca="1">+D80/Y80-1</f>
        <v>#VALUE!</v>
      </c>
      <c r="AO80" s="75">
        <f ca="1">VLOOKUP(Tabla2[[#This Row],[TCKR]],'2026'!$D$5:$AH$257,8,FALSE)</f>
        <v>100</v>
      </c>
      <c r="AP80" s="193">
        <f ca="1">VLOOKUP(Tabla2[[#This Row],[TCKR]],'2026'!$D$5:$AH$257,26,FALSE)</f>
        <v>-897.74348342507642</v>
      </c>
      <c r="AQ80" s="5" cm="1">
        <f t="array" aca="1" ref="AQ80" ca="1">_FV(Tabla2[[#This Row],[valor]],"P/E",TRUE)</f>
        <v>23.154199999999999</v>
      </c>
      <c r="AR80" s="4"/>
      <c r="AT80" s="193">
        <f ca="1">+Tabla2[[#This Row],[Titulos2]]*Tabla2[[#This Row],[Neto]]</f>
        <v>0</v>
      </c>
      <c r="AU80" s="28">
        <f ca="1">+Tabla2[[#This Row],[Neto]]/Tabla2[[#This Row],[Precio compra2]]</f>
        <v>0</v>
      </c>
    </row>
    <row r="81" spans="1:47" ht="16" customHeight="1" x14ac:dyDescent="0.2">
      <c r="A81" s="306" t="e" vm="17">
        <v>#VALUE!</v>
      </c>
      <c r="B81" s="75" t="str" cm="1">
        <f t="array" aca="1" ref="B81" ca="1">_FV(A81,"Ticker symbol",TRUE)</f>
        <v>ABI</v>
      </c>
      <c r="C81" s="217" cm="1">
        <f t="array" aca="1" ref="C81" ca="1">_FV(A81,"Change (%)",TRUE)</f>
        <v>7.4000000000000003E-3</v>
      </c>
      <c r="D81" s="144" cm="1">
        <f t="array" aca="1" ref="D81" ca="1">_FV(A81,"Price")</f>
        <v>62.62</v>
      </c>
      <c r="E81" s="307">
        <f ca="1">AE81</f>
        <v>0.19786010859150416</v>
      </c>
      <c r="F81" s="321">
        <f ca="1">+Tabla2[[#This Row],[Rentab. Parcial]]</f>
        <v>0.14920168838318948</v>
      </c>
      <c r="G81" s="321">
        <f ca="1">+Tabla2[[#This Row],[Rentab. Parcial2]]</f>
        <v>0.14604685212298674</v>
      </c>
      <c r="H81" s="253">
        <f ca="1">+Tabla2[[#This Row],[Difer. Investing]]</f>
        <v>0.12248482912807424</v>
      </c>
      <c r="I81" s="79">
        <f>+Tabla2[[#This Row],[Objetivo div2]]</f>
        <v>75.009999999999991</v>
      </c>
      <c r="J81" s="75" cm="1">
        <f t="array" aca="1" ref="J81" ca="1">_FV(A81,"High")</f>
        <v>62.98</v>
      </c>
      <c r="K81" s="75" cm="1">
        <f t="array" aca="1" ref="K81" ca="1">_FV(A81,"Low")</f>
        <v>61.76</v>
      </c>
      <c r="L81" s="75" cm="1">
        <f t="array" aca="1" ref="L81" ca="1">_FV(Tabla2[[#This Row],[valor]],"52 week high",TRUE)</f>
        <v>68.819999999999993</v>
      </c>
      <c r="M81" s="75">
        <f ca="1">+L81*0.9</f>
        <v>61.937999999999995</v>
      </c>
      <c r="N81" s="75">
        <f ca="1">+L81*0.95</f>
        <v>65.378999999999991</v>
      </c>
      <c r="O81" s="75" cm="1">
        <f t="array" aca="1" ref="O81" ca="1">_FV(A81,"52 week low",TRUE)</f>
        <v>48.87</v>
      </c>
      <c r="P81" s="220">
        <f ca="1">+TODAY()-Tabla2[[#This Row],[F. compra]]</f>
        <v>169</v>
      </c>
      <c r="Q81" s="220">
        <f ca="1">GESTEP(D81,M81)</f>
        <v>1</v>
      </c>
      <c r="R81" s="220">
        <f ca="1">GESTEP(D81,N81)</f>
        <v>0</v>
      </c>
      <c r="S81" s="75" t="s">
        <v>75</v>
      </c>
      <c r="T81" s="110" t="s">
        <v>78</v>
      </c>
      <c r="U81" s="110" t="s">
        <v>26</v>
      </c>
      <c r="V81" s="16">
        <v>45971</v>
      </c>
      <c r="W81" s="16">
        <v>45971</v>
      </c>
      <c r="X81" s="80" t="s">
        <v>287</v>
      </c>
      <c r="Y81" s="79">
        <v>55.16</v>
      </c>
      <c r="Z81" s="79">
        <f>54.64-Tabla2[[#This Row],[Div.]]</f>
        <v>54.49</v>
      </c>
      <c r="AA81" s="79">
        <f>+Tabla2[[#This Row],[Precio compra]]+Tabla2[[#This Row],[Div.]]</f>
        <v>54.64</v>
      </c>
      <c r="AB81" s="79">
        <v>0.15</v>
      </c>
      <c r="AC81" s="79">
        <f>75.16-Tabla2[[#This Row],[Div.]]</f>
        <v>75.009999999999991</v>
      </c>
      <c r="AD81" s="79">
        <f>+Tabla2[[#This Row],[Objetivo div2]]+Tabla2[[#This Row],[Div.]]</f>
        <v>75.16</v>
      </c>
      <c r="AE81" s="307">
        <f ca="1">IF(Z81="-",+AC81/Y81-1,AC81/D81-1)</f>
        <v>0.19786010859150416</v>
      </c>
      <c r="AF81" s="76">
        <v>70.290000000000006</v>
      </c>
      <c r="AG81" s="253">
        <f ca="1">IF(Z81="-",+AF81/D81-1,AF81/D81-1)</f>
        <v>0.12248482912807424</v>
      </c>
      <c r="AH81" s="76">
        <f>48.78-Tabla2[[#This Row],[Div.]]</f>
        <v>48.63</v>
      </c>
      <c r="AI81" s="147">
        <f ca="1">IF(Z81="-",AH81/Y81-1,+AH81/D81-1)</f>
        <v>-0.22341105078249757</v>
      </c>
      <c r="AJ81" s="121">
        <f ca="1">IF(Z81="-","-",+(D81/Z81)-1)</f>
        <v>0.14920168838318948</v>
      </c>
      <c r="AK81" s="120">
        <f ca="1">IF(AA81="-","-",+(D81/AA81)-1)</f>
        <v>0.14604685212298674</v>
      </c>
      <c r="AM81" s="49" t="str">
        <f>IF(AL81=0,"-",+AL81/Z81-1)</f>
        <v>-</v>
      </c>
      <c r="AN81" s="28">
        <f ca="1">+D81/Y81-1</f>
        <v>0.13524292965917328</v>
      </c>
      <c r="AO81" s="75">
        <f ca="1">VLOOKUP(Tabla2[[#This Row],[TCKR]],'2026'!$D$5:$AH$257,8,FALSE)</f>
        <v>220</v>
      </c>
      <c r="AP81" s="193">
        <f ca="1">VLOOKUP(Tabla2[[#This Row],[TCKR]],'2026'!$D$5:$AH$257,26,FALSE)</f>
        <v>1363.5215770559821</v>
      </c>
      <c r="AQ81" s="5" cm="1">
        <f t="array" aca="1" ref="AQ81" ca="1">_FV(Tabla2[[#This Row],[valor]],"P/E",TRUE)</f>
        <v>21.191099999999999</v>
      </c>
      <c r="AR81" s="4"/>
      <c r="AT81" s="193">
        <f ca="1">+Tabla2[[#This Row],[Titulos2]]*Tabla2[[#This Row],[Neto]]</f>
        <v>0</v>
      </c>
      <c r="AU81" s="28">
        <f>+Tabla2[[#This Row],[Neto]]/Tabla2[[#This Row],[Precio compra2]]</f>
        <v>0</v>
      </c>
    </row>
    <row r="82" spans="1:47" ht="16" customHeight="1" x14ac:dyDescent="0.2">
      <c r="A82" s="323" t="e" vm="56">
        <v>#VALUE!</v>
      </c>
      <c r="B82" s="75" t="str" cm="1">
        <f t="array" aca="1" ref="B82" ca="1">_FV(A82,"Ticker symbol",TRUE)</f>
        <v>DDOG</v>
      </c>
      <c r="C82" s="217" cm="1">
        <f t="array" aca="1" ref="C82" ca="1">_FV(A82,"Change (%)",TRUE)</f>
        <v>2.4559999999999998E-2</v>
      </c>
      <c r="D82" s="144" cm="1">
        <f t="array" aca="1" ref="D82" ca="1">_FV(A82,"Price")</f>
        <v>132.66</v>
      </c>
      <c r="E82" s="159">
        <f ca="1">AE82</f>
        <v>0.21958389868837624</v>
      </c>
      <c r="F82" s="321">
        <f ca="1">+Tabla2[[#This Row],[Rentab. Parcial]]</f>
        <v>-7.4895397489539772E-2</v>
      </c>
      <c r="G82" s="321">
        <f ca="1">+Tabla2[[#This Row],[Rentab. Parcial2]]</f>
        <v>-7.4895397489539772E-2</v>
      </c>
      <c r="H82" s="253">
        <f ca="1">+Tabla2[[#This Row],[Difer. Investing]]</f>
        <v>0.27785315845017355</v>
      </c>
      <c r="I82" s="79">
        <f>+Tabla2[[#This Row],[Objetivo div2]]</f>
        <v>161.79</v>
      </c>
      <c r="J82" s="75" cm="1">
        <f t="array" aca="1" ref="J82" ca="1">_FV(A82,"High")</f>
        <v>133.58000000000001</v>
      </c>
      <c r="K82" s="75" cm="1">
        <f t="array" aca="1" ref="K82" ca="1">_FV(A82,"Low")</f>
        <v>128</v>
      </c>
      <c r="L82" s="75" cm="1">
        <f t="array" aca="1" ref="L82" ca="1">_FV(Tabla2[[#This Row],[valor]],"52 week high",TRUE)</f>
        <v>201.69</v>
      </c>
      <c r="M82" s="75">
        <f ca="1">+L82*0.9</f>
        <v>181.52100000000002</v>
      </c>
      <c r="N82" s="75">
        <f ca="1">+L82*0.95</f>
        <v>191.60549999999998</v>
      </c>
      <c r="O82" s="75" cm="1">
        <f t="array" aca="1" ref="O82" ca="1">_FV(A82,"52 week low",TRUE)</f>
        <v>98.010099999999994</v>
      </c>
      <c r="P82" s="220">
        <f ca="1">+TODAY()-Tabla2[[#This Row],[F. compra]]</f>
        <v>455</v>
      </c>
      <c r="Q82" s="220">
        <f ca="1">GESTEP(D82,M82)</f>
        <v>0</v>
      </c>
      <c r="R82" s="220">
        <f ca="1">GESTEP(D82,N82)</f>
        <v>0</v>
      </c>
      <c r="S82" s="75" t="s">
        <v>75</v>
      </c>
      <c r="T82" s="110" t="s">
        <v>78</v>
      </c>
      <c r="U82" s="110" t="s">
        <v>26</v>
      </c>
      <c r="V82" s="16">
        <v>45685</v>
      </c>
      <c r="W82" s="16">
        <v>45685</v>
      </c>
      <c r="X82" s="80" t="s">
        <v>11</v>
      </c>
      <c r="Y82" s="79">
        <v>143.51</v>
      </c>
      <c r="Z82" s="79">
        <v>143.4</v>
      </c>
      <c r="AA82" s="79">
        <f>+Tabla2[[#This Row],[Precio compra]]+Tabla2[[#This Row],[Div.]]</f>
        <v>143.4</v>
      </c>
      <c r="AB82" s="96"/>
      <c r="AC82" s="79">
        <v>161.79</v>
      </c>
      <c r="AD82" s="79">
        <f>+Tabla2[[#This Row],[Objetivo div2]]</f>
        <v>161.79</v>
      </c>
      <c r="AE82" s="159">
        <f ca="1">IF(Z82="-",+AC82/Y82-1,AC82/D82-1)</f>
        <v>0.21958389868837624</v>
      </c>
      <c r="AF82" s="81">
        <v>169.52</v>
      </c>
      <c r="AG82" s="253">
        <f ca="1">IF(Z82="-",+AF82/D82-1,AF82/D82-1)</f>
        <v>0.27785315845017355</v>
      </c>
      <c r="AH82" s="81">
        <v>134.38999999999999</v>
      </c>
      <c r="AI82" s="147">
        <f ca="1">IF(Z82="-",AH82/Y82-1,+AH82/D82-1)</f>
        <v>1.304085632443841E-2</v>
      </c>
      <c r="AJ82" s="121">
        <f ca="1">IF(Z82="-","-",+(D82/Z82)-1)</f>
        <v>-7.4895397489539772E-2</v>
      </c>
      <c r="AK82" s="120">
        <f ca="1">IF(AA82="-","-",+(D82/AA82)-1)</f>
        <v>-7.4895397489539772E-2</v>
      </c>
      <c r="AM82" s="49" t="str">
        <f>IF(AL82=0,"-",+AL82/Z82-1)</f>
        <v>-</v>
      </c>
      <c r="AN82" s="28">
        <f ca="1">+D82/Y82-1</f>
        <v>-7.5604487492160755E-2</v>
      </c>
      <c r="AO82" s="75">
        <f ca="1">VLOOKUP(Tabla2[[#This Row],[TCKR]],'2026'!$D$5:$AH$257,8,FALSE)</f>
        <v>78</v>
      </c>
      <c r="AP82" s="193">
        <f ca="1">VLOOKUP(Tabla2[[#This Row],[TCKR]],'2026'!$D$5:$AH$257,26,FALSE)</f>
        <v>-1549.5178675738387</v>
      </c>
      <c r="AQ82" s="5" cm="1">
        <f t="array" aca="1" ref="AQ82" ca="1">_FV(Tabla2[[#This Row],[valor]],"P/E",TRUE)</f>
        <v>411.46559999999999</v>
      </c>
      <c r="AR82" s="4"/>
      <c r="AT82" s="193">
        <f ca="1">+Tabla2[[#This Row],[Titulos2]]*Tabla2[[#This Row],[Neto]]</f>
        <v>0</v>
      </c>
      <c r="AU82" s="28">
        <f>+Tabla2[[#This Row],[Neto]]/Tabla2[[#This Row],[Precio compra2]]</f>
        <v>0</v>
      </c>
    </row>
    <row r="83" spans="1:47" ht="16" customHeight="1" x14ac:dyDescent="0.2">
      <c r="A83" s="355" t="e" vm="179">
        <v>#VALUE!</v>
      </c>
      <c r="B83" s="75" t="str" cm="1">
        <f t="array" aca="1" ref="B83" ca="1">_FV(A83,"Ticker symbol",TRUE)</f>
        <v>UBER</v>
      </c>
      <c r="C83" s="217" cm="1">
        <f t="array" aca="1" ref="C83" ca="1">_FV(A83,"Change (%)",TRUE)</f>
        <v>2.1905000000000001E-2</v>
      </c>
      <c r="D83" s="144" cm="1">
        <f t="array" aca="1" ref="D83" ca="1">_FV(A83,"Price")</f>
        <v>76.275000000000006</v>
      </c>
      <c r="E83" s="356">
        <f>AE83</f>
        <v>0.22487420977938322</v>
      </c>
      <c r="F83" s="321">
        <f ca="1">+Tabla2[[#This Row],[Rentab. Parcial]]</f>
        <v>-1.5933427944781364E-2</v>
      </c>
      <c r="G83" s="321">
        <f ca="1">+Tabla2[[#This Row],[Rentab. Parcial2]]</f>
        <v>-1.5933427944781364E-2</v>
      </c>
      <c r="H83" s="253">
        <f ca="1">+Tabla2[[#This Row],[Difer. Investing]]</f>
        <v>0.35640773516879687</v>
      </c>
      <c r="I83" s="79">
        <v>264.48</v>
      </c>
      <c r="J83" s="75" cm="1">
        <f t="array" aca="1" ref="J83" ca="1">_FV(A83,"High")</f>
        <v>76.95</v>
      </c>
      <c r="K83" s="75" cm="1">
        <f t="array" aca="1" ref="K83" ca="1">_FV(A83,"Low")</f>
        <v>74.67</v>
      </c>
      <c r="L83" s="75" cm="1">
        <f t="array" aca="1" ref="L83" ca="1">_FV(A83,"52 week high",TRUE)</f>
        <v>101.99</v>
      </c>
      <c r="M83" s="75">
        <f ca="1">+L83*0.9</f>
        <v>91.790999999999997</v>
      </c>
      <c r="N83" s="75">
        <f ca="1">+L83*0.95</f>
        <v>96.890499999999989</v>
      </c>
      <c r="O83" s="75" cm="1">
        <f t="array" aca="1" ref="O83" ca="1">_FV(A83,"52 week low",TRUE)</f>
        <v>68.459999999999994</v>
      </c>
      <c r="P83" s="220">
        <f ca="1">+TODAY()-Tabla2[[#This Row],[F. compra]]</f>
        <v>12</v>
      </c>
      <c r="Q83" s="220">
        <f ca="1">GESTEP(D83,M83)</f>
        <v>0</v>
      </c>
      <c r="R83" s="220">
        <f ca="1">GESTEP(D83,N83)</f>
        <v>0</v>
      </c>
      <c r="S83" s="75" t="s">
        <v>75</v>
      </c>
      <c r="T83" s="110" t="s">
        <v>78</v>
      </c>
      <c r="U83" s="110" t="s">
        <v>26</v>
      </c>
      <c r="V83" s="16">
        <v>46128</v>
      </c>
      <c r="W83" s="16">
        <v>46128</v>
      </c>
      <c r="X83" s="80"/>
      <c r="Y83" s="79">
        <v>78.010000000000005</v>
      </c>
      <c r="Z83" s="79">
        <v>77.510000000000005</v>
      </c>
      <c r="AA83" s="79">
        <v>77.510000000000005</v>
      </c>
      <c r="AB83" s="79"/>
      <c r="AC83" s="79">
        <v>94.94</v>
      </c>
      <c r="AD83" s="79"/>
      <c r="AE83" s="356">
        <f>IF(Z83="",+AC83/Y83-1,AC83/Z83-1)</f>
        <v>0.22487420977938322</v>
      </c>
      <c r="AF83" s="76">
        <v>103.46</v>
      </c>
      <c r="AG83" s="253">
        <f ca="1">IF(Z83="-",+AF83/D83-1,AF83/D83-1)</f>
        <v>0.35640773516879687</v>
      </c>
      <c r="AH83" s="76">
        <v>68.89</v>
      </c>
      <c r="AI83" s="147">
        <f ca="1">IF(Z83="-",AH83/Y83-1,+AH83/D83-1)</f>
        <v>-9.6820714519829654E-2</v>
      </c>
      <c r="AJ83" s="121">
        <f ca="1">IF(Z83="-","-",+(D83/Z83)-1)</f>
        <v>-1.5933427944781364E-2</v>
      </c>
      <c r="AK83" s="120">
        <f ca="1">IF(AA83="-","-",+(D83/AA83)-1)</f>
        <v>-1.5933427944781364E-2</v>
      </c>
      <c r="AM83" s="49" t="str">
        <f>IF(AL83=0,"-",+AL83/Z83-1)</f>
        <v>-</v>
      </c>
      <c r="AN83" s="28">
        <f ca="1">+D83/Y83-1</f>
        <v>-2.2240738366876012E-2</v>
      </c>
      <c r="AO83" s="75"/>
      <c r="AP83" s="193"/>
      <c r="AR83" s="4"/>
      <c r="AU83" s="28"/>
    </row>
    <row r="84" spans="1:47" ht="16" customHeight="1" x14ac:dyDescent="0.2">
      <c r="A84" s="75" t="e" vm="9">
        <v>#VALUE!</v>
      </c>
      <c r="B84" s="75" t="str" cm="1">
        <f t="array" aca="1" ref="B84" ca="1">_FV(A84,"Ticker symbol",TRUE)</f>
        <v>AED</v>
      </c>
      <c r="C84" s="217" cm="1">
        <f t="array" aca="1" ref="C84" ca="1">_FV(A84,"Change (%)",TRUE)</f>
        <v>1.3700000000000001E-3</v>
      </c>
      <c r="D84" s="144" cm="1">
        <f t="array" aca="1" ref="D84" ca="1">_FV(A84,"Price")</f>
        <v>73.099999999999994</v>
      </c>
      <c r="E84" s="159">
        <f ca="1">AE84</f>
        <v>0.23119015047879632</v>
      </c>
      <c r="F84" s="321">
        <f ca="1">+Tabla2[[#This Row],[Rentab. Parcial]]</f>
        <v>8.7797619047618847E-2</v>
      </c>
      <c r="G84" s="321">
        <f ca="1">+Tabla2[[#This Row],[Rentab. Parcial2]]</f>
        <v>8.7797619047618847E-2</v>
      </c>
      <c r="H84" s="253">
        <f ca="1">+Tabla2[[#This Row],[Difer. Investing]]</f>
        <v>4.5143638850889456E-2</v>
      </c>
      <c r="I84" s="79">
        <f>+Tabla2[[#This Row],[Objetivo div2]]</f>
        <v>90</v>
      </c>
      <c r="J84" s="75" cm="1">
        <f t="array" aca="1" ref="J84" ca="1">_FV(A84,"High")</f>
        <v>73.55</v>
      </c>
      <c r="K84" s="75" cm="1">
        <f t="array" aca="1" ref="K84" ca="1">_FV(A84,"Low")</f>
        <v>72.7</v>
      </c>
      <c r="L84" s="75" cm="1">
        <f t="array" aca="1" ref="L84" ca="1">_FV(Tabla2[[#This Row],[valor]],"52 week high",TRUE)</f>
        <v>80.05</v>
      </c>
      <c r="M84" s="75">
        <f ca="1">+L84*0.9</f>
        <v>72.045000000000002</v>
      </c>
      <c r="N84" s="75">
        <f ca="1">+L84*0.95</f>
        <v>76.047499999999999</v>
      </c>
      <c r="O84" s="75" cm="1">
        <f t="array" aca="1" ref="O84" ca="1">_FV(A84,"52 week low",TRUE)</f>
        <v>59.5</v>
      </c>
      <c r="P84" s="220">
        <f ca="1">+TODAY()-Tabla2[[#This Row],[F. compra]]</f>
        <v>321</v>
      </c>
      <c r="Q84" s="220">
        <f ca="1">GESTEP(D84,M84)</f>
        <v>1</v>
      </c>
      <c r="R84" s="220">
        <f ca="1">GESTEP(D84,N84)</f>
        <v>0</v>
      </c>
      <c r="S84" s="75" t="s">
        <v>75</v>
      </c>
      <c r="T84" s="110" t="s">
        <v>26</v>
      </c>
      <c r="U84" s="110" t="s">
        <v>26</v>
      </c>
      <c r="V84" s="16">
        <v>45819</v>
      </c>
      <c r="W84" s="16">
        <v>45819</v>
      </c>
      <c r="X84" s="80"/>
      <c r="Y84" s="79">
        <v>67.599999999999994</v>
      </c>
      <c r="Z84" s="79">
        <v>67.2</v>
      </c>
      <c r="AA84" s="79">
        <f>+Tabla2[[#This Row],[Precio compra]]+Tabla2[[#This Row],[Div.]]</f>
        <v>67.2</v>
      </c>
      <c r="AB84" s="96"/>
      <c r="AC84" s="79">
        <v>90</v>
      </c>
      <c r="AD84" s="79">
        <f>+Tabla2[[#This Row],[Objetivo div2]]+Tabla2[[#This Row],[Div.]]</f>
        <v>90</v>
      </c>
      <c r="AE84" s="159">
        <f ca="1">IF(Z84="-",+AC84/Y84-1,AC84/D84-1)</f>
        <v>0.23119015047879632</v>
      </c>
      <c r="AF84" s="81">
        <v>76.400000000000006</v>
      </c>
      <c r="AG84" s="253">
        <f ca="1">IF(Z84="-",+AF84/D84-1,AF84/D84-1)</f>
        <v>4.5143638850889456E-2</v>
      </c>
      <c r="AH84" s="81">
        <v>60</v>
      </c>
      <c r="AI84" s="147">
        <f ca="1">IF(Z84="-",AH84/Y84-1,+AH84/D84-1)</f>
        <v>-0.17920656634746912</v>
      </c>
      <c r="AJ84" s="121">
        <f ca="1">IF(Z84="-","-",+(D84/Z84)-1)</f>
        <v>8.7797619047618847E-2</v>
      </c>
      <c r="AK84" s="120">
        <f ca="1">IF(AA84="-","-",+(D84/AA84)-1)</f>
        <v>8.7797619047618847E-2</v>
      </c>
      <c r="AM84" s="49" t="str">
        <f>IF(AL84=0,"-",+AL84/Z84-1)</f>
        <v>-</v>
      </c>
      <c r="AN84" s="28">
        <f ca="1">+D84/Y84-1</f>
        <v>8.1360946745562046E-2</v>
      </c>
      <c r="AO84" s="75">
        <f ca="1">VLOOKUP(Tabla2[[#This Row],[TCKR]],'2026'!$D$5:$AH$257,8,FALSE)</f>
        <v>178</v>
      </c>
      <c r="AP84" s="193">
        <f ca="1">VLOOKUP(Tabla2[[#This Row],[TCKR]],'2026'!$D$5:$AH$257,26,FALSE)</f>
        <v>806.13393191499256</v>
      </c>
      <c r="AQ84" s="5" cm="1">
        <f t="array" aca="1" ref="AQ84" ca="1">_FV(Tabla2[[#This Row],[valor]],"P/E",TRUE)</f>
        <v>15.583600000000001</v>
      </c>
      <c r="AR84" s="4"/>
      <c r="AT84" s="193">
        <f ca="1">+Tabla2[[#This Row],[Titulos2]]*Tabla2[[#This Row],[Neto]]</f>
        <v>0</v>
      </c>
      <c r="AU84" s="28">
        <f>+Tabla2[[#This Row],[Neto]]/Tabla2[[#This Row],[Precio compra2]]</f>
        <v>0</v>
      </c>
    </row>
    <row r="85" spans="1:47" ht="16" customHeight="1" x14ac:dyDescent="0.2">
      <c r="A85" s="75" t="e" vm="232">
        <v>#VALUE!</v>
      </c>
      <c r="B85" s="75" t="str" cm="1">
        <f t="array" aca="1" ref="B85" ca="1">_FV(A85,"Ticker symbol",TRUE)</f>
        <v>BMW</v>
      </c>
      <c r="C85" s="217" cm="1">
        <f t="array" aca="1" ref="C85" ca="1">_FV(A85,"Change (%)",TRUE)</f>
        <v>-5.042E-4</v>
      </c>
      <c r="D85" s="144" cm="1">
        <f t="array" aca="1" ref="D85" ca="1">_FV(A85,"Price")</f>
        <v>79.3</v>
      </c>
      <c r="E85" s="159">
        <f ca="1">AE85</f>
        <v>0.23266078184110972</v>
      </c>
      <c r="F85" s="321">
        <f ca="1">+Tabla2[[#This Row],[Rentab. Parcial]]</f>
        <v>-2.5214321734756684E-4</v>
      </c>
      <c r="G85" s="321">
        <f ca="1">+Tabla2[[#This Row],[Rentab. Parcial2]]</f>
        <v>-5.1662281750777361E-2</v>
      </c>
      <c r="H85" s="253">
        <f ca="1">+Tabla2[[#This Row],[Difer. Investing]]</f>
        <v>0.15649432534678431</v>
      </c>
      <c r="I85" s="79">
        <f>+Tabla2[[#This Row],[Objetivo div2]]</f>
        <v>97.75</v>
      </c>
      <c r="J85" s="75" cm="1">
        <f t="array" aca="1" ref="J85" ca="1">_FV(A85,"High")</f>
        <v>80.459999999999994</v>
      </c>
      <c r="K85" s="75" cm="1">
        <f t="array" aca="1" ref="K85" ca="1">_FV(A85,"Low")</f>
        <v>79.180000000000007</v>
      </c>
      <c r="L85" s="75" cm="1">
        <f t="array" aca="1" ref="L85" ca="1">_FV(Tabla2[[#This Row],[valor]],"52 week high",TRUE)</f>
        <v>97.92</v>
      </c>
      <c r="M85" s="75">
        <f ca="1">+L85*0.9</f>
        <v>88.128</v>
      </c>
      <c r="N85" s="75">
        <f ca="1">+L85*0.95</f>
        <v>93.024000000000001</v>
      </c>
      <c r="O85" s="75" cm="1">
        <f t="array" aca="1" ref="O85" ca="1">_FV(A85,"52 week low",TRUE)</f>
        <v>70.94</v>
      </c>
      <c r="P85" s="220">
        <f ca="1">+TODAY()-Tabla2[[#This Row],[F. compra]]</f>
        <v>434</v>
      </c>
      <c r="Q85" s="220">
        <f ca="1">GESTEP(D85,M85)</f>
        <v>0</v>
      </c>
      <c r="R85" s="220">
        <f ca="1">GESTEP(D85,N85)</f>
        <v>0</v>
      </c>
      <c r="S85" s="75" t="s">
        <v>75</v>
      </c>
      <c r="T85" s="110" t="s">
        <v>78</v>
      </c>
      <c r="U85" s="110" t="s">
        <v>26</v>
      </c>
      <c r="V85" s="16">
        <v>45705</v>
      </c>
      <c r="W85" s="16">
        <v>45706</v>
      </c>
      <c r="X85" s="80"/>
      <c r="Y85" s="79">
        <v>82.98</v>
      </c>
      <c r="Z85" s="79">
        <f>83.62-Tabla2[[#This Row],[Div.]]</f>
        <v>79.320000000000007</v>
      </c>
      <c r="AA85" s="79">
        <f>+Tabla2[[#This Row],[Precio compra]]+Tabla2[[#This Row],[Div.]]</f>
        <v>83.62</v>
      </c>
      <c r="AB85" s="96">
        <v>4.3</v>
      </c>
      <c r="AC85" s="79">
        <f>102.05-Tabla2[[#This Row],[Div.]]</f>
        <v>97.75</v>
      </c>
      <c r="AD85" s="79">
        <f>+Tabla2[[#This Row],[Objetivo div2]]+Tabla2[[#This Row],[Div.]]</f>
        <v>102.05</v>
      </c>
      <c r="AE85" s="159">
        <f ca="1">IF(Z85="-",+AC85/Y85-1,AC85/D85-1)</f>
        <v>0.23266078184110972</v>
      </c>
      <c r="AF85" s="81">
        <v>91.71</v>
      </c>
      <c r="AG85" s="253">
        <f ca="1">IF(Z85="-",+AF85/D85-1,AF85/D85-1)</f>
        <v>0.15649432534678431</v>
      </c>
      <c r="AH85" s="81">
        <f>73.44-Tabla2[[#This Row],[Div.]]</f>
        <v>69.14</v>
      </c>
      <c r="AI85" s="147">
        <f ca="1">IF(Z85="-",AH85/Y85-1,+AH85/D85-1)</f>
        <v>-0.12812105926860018</v>
      </c>
      <c r="AJ85" s="121">
        <f ca="1">IF(Z85="-","-",+(D85/Z85)-1)</f>
        <v>-2.5214321734756684E-4</v>
      </c>
      <c r="AK85" s="120">
        <f ca="1">IF(AA85="-","-",+(D85/AA85)-1)</f>
        <v>-5.1662281750777361E-2</v>
      </c>
      <c r="AM85" s="49" t="str">
        <f>IF(AL85=0,"-",+AL85/Z85-1)</f>
        <v>-</v>
      </c>
      <c r="AN85" s="28">
        <f ca="1">+D85/Y85-1</f>
        <v>-4.4348035671246122E-2</v>
      </c>
      <c r="AO85" s="75">
        <f ca="1">VLOOKUP(Tabla2[[#This Row],[TCKR]],'2026'!$D$5:$AH$257,8,FALSE)</f>
        <v>120</v>
      </c>
      <c r="AP85" s="193">
        <f ca="1">VLOOKUP(Tabla2[[#This Row],[TCKR]],'2026'!$D$5:$AH$257,26,FALSE)</f>
        <v>-385.92022382599879</v>
      </c>
      <c r="AQ85" s="5" cm="1">
        <f t="array" aca="1" ref="AQ85" ca="1">_FV(Tabla2[[#This Row],[valor]],"P/E",TRUE)</f>
        <v>6.7257999999999996</v>
      </c>
      <c r="AR85" s="4"/>
      <c r="AT85" s="193">
        <f ca="1">+Tabla2[[#This Row],[Titulos2]]*Tabla2[[#This Row],[Neto]]</f>
        <v>0</v>
      </c>
      <c r="AU85" s="28">
        <f>+Tabla2[[#This Row],[Neto]]/Tabla2[[#This Row],[Precio compra2]]</f>
        <v>0</v>
      </c>
    </row>
    <row r="86" spans="1:47" ht="16" customHeight="1" x14ac:dyDescent="0.2">
      <c r="A86" s="325" t="e" vm="175">
        <v>#VALUE!</v>
      </c>
      <c r="B86" s="75" t="str" cm="1">
        <f t="array" aca="1" ref="B86" ca="1">_FV(A86,"Ticker symbol",TRUE)</f>
        <v>TMUS</v>
      </c>
      <c r="C86" s="217" cm="1">
        <f t="array" aca="1" ref="C86" ca="1">_FV(A86,"Change (%)",TRUE)</f>
        <v>-3.7143999999999996E-2</v>
      </c>
      <c r="D86" s="144" cm="1">
        <f t="array" aca="1" ref="D86" ca="1">_FV(A86,"Price")</f>
        <v>182.75</v>
      </c>
      <c r="E86" s="289">
        <f ca="1">AE86</f>
        <v>0.26177948016415864</v>
      </c>
      <c r="F86" s="321">
        <f ca="1">+Tabla2[[#This Row],[Rentab. Parcial]]</f>
        <v>-7.9855918779599411E-2</v>
      </c>
      <c r="G86" s="321">
        <f ca="1">+Tabla2[[#This Row],[Rentab. Parcial2]]</f>
        <v>-8.3959899749373457E-2</v>
      </c>
      <c r="H86" s="253">
        <f ca="1">+Tabla2[[#This Row],[Difer. Investing]]</f>
        <v>0.46002735978112175</v>
      </c>
      <c r="I86" s="79">
        <f>+Tabla2[[#This Row],[Objetivo div2]]</f>
        <v>230.59019999999998</v>
      </c>
      <c r="J86" s="75" cm="1">
        <f t="array" aca="1" ref="J86" ca="1">_FV(A86,"High")</f>
        <v>190.47</v>
      </c>
      <c r="K86" s="75" cm="1">
        <f t="array" aca="1" ref="K86" ca="1">_FV(A86,"Low")</f>
        <v>182.01</v>
      </c>
      <c r="L86" s="75" cm="1">
        <f t="array" aca="1" ref="L86" ca="1">_FV(A86,"52 week high",TRUE)</f>
        <v>261.56</v>
      </c>
      <c r="M86" s="75">
        <f ca="1">+L86*0.9</f>
        <v>235.404</v>
      </c>
      <c r="N86" s="75">
        <f ca="1">+L86*0.95</f>
        <v>248.482</v>
      </c>
      <c r="O86" s="75" cm="1">
        <f t="array" aca="1" ref="O86" ca="1">_FV(A86,"52 week low",TRUE)</f>
        <v>181.36</v>
      </c>
      <c r="P86" s="220">
        <f ca="1">+TODAY()-Tabla2[[#This Row],[F. compra]]</f>
        <v>81</v>
      </c>
      <c r="Q86" s="220">
        <f ca="1">GESTEP(D86,M86)</f>
        <v>0</v>
      </c>
      <c r="R86" s="220">
        <f ca="1">GESTEP(D86,N86)</f>
        <v>0</v>
      </c>
      <c r="S86" s="75" t="s">
        <v>75</v>
      </c>
      <c r="T86" s="110" t="s">
        <v>78</v>
      </c>
      <c r="U86" s="110" t="s">
        <v>26</v>
      </c>
      <c r="V86" s="16">
        <v>46059</v>
      </c>
      <c r="W86" s="16">
        <v>46059</v>
      </c>
      <c r="X86" s="80"/>
      <c r="Y86" s="79">
        <v>199.5</v>
      </c>
      <c r="Z86" s="79">
        <f>199.5-Tabla2[[#This Row],[Div.]]</f>
        <v>198.61019999999999</v>
      </c>
      <c r="AA86" s="79">
        <v>199.5</v>
      </c>
      <c r="AB86" s="79">
        <f>+'dividendos 26'!E43</f>
        <v>0.88980000000000004</v>
      </c>
      <c r="AC86" s="79">
        <f>231.48-Tabla2[[#This Row],[Div.]]</f>
        <v>230.59019999999998</v>
      </c>
      <c r="AD86" s="82">
        <f>+Tabla2[[#This Row],[Objetivo div2]]+Tabla2[[#This Row],[Div.]]</f>
        <v>231.48</v>
      </c>
      <c r="AE86" s="289">
        <f ca="1">IF(Z86="-",+AC86/Y86-1,AC86/D86-1)</f>
        <v>0.26177948016415864</v>
      </c>
      <c r="AF86" s="76">
        <v>266.82</v>
      </c>
      <c r="AG86" s="253">
        <f ca="1">IF(Z86="-",+AF86/D86-1,AF86/D86-1)</f>
        <v>0.46002735978112175</v>
      </c>
      <c r="AH86" s="76">
        <v>193.13</v>
      </c>
      <c r="AI86" s="147">
        <f ca="1">IF(Z86="-",AH86/Y86-1,+AH86/D86-1)</f>
        <v>5.6798905608755001E-2</v>
      </c>
      <c r="AJ86" s="121">
        <f ca="1">IF(Z86="-","-",+(D86/Z86)-1)</f>
        <v>-7.9855918779599411E-2</v>
      </c>
      <c r="AK86" s="120">
        <f ca="1">IF(AA86="-","-",+(D86/AA86)-1)</f>
        <v>-8.3959899749373457E-2</v>
      </c>
      <c r="AM86" s="49" t="str">
        <f>IF(AL86=0,"-",+AL86/Z86-1)</f>
        <v>-</v>
      </c>
      <c r="AN86" s="28">
        <f ca="1">+D86/Y86-1</f>
        <v>-8.3959899749373457E-2</v>
      </c>
      <c r="AO86" s="75"/>
      <c r="AP86" s="193">
        <f ca="1">VLOOKUP(Tabla2[[#This Row],[TCKR]],'2026'!$D$5:$AH$257,26,FALSE)</f>
        <v>-565.76465835329759</v>
      </c>
      <c r="AR86" s="4"/>
      <c r="AU86" s="28"/>
    </row>
    <row r="87" spans="1:47" ht="16" customHeight="1" x14ac:dyDescent="0.2">
      <c r="A87" s="355" t="e" vm="141">
        <v>#VALUE!</v>
      </c>
      <c r="B87" s="75" t="str" cm="1">
        <f t="array" aca="1" ref="B87" ca="1">_FV(A87,"Ticker symbol",TRUE)</f>
        <v>RGTI</v>
      </c>
      <c r="C87" s="217" cm="1">
        <f t="array" aca="1" ref="C87" ca="1">_FV(A87,"Change (%)",TRUE)</f>
        <v>1.8362E-2</v>
      </c>
      <c r="D87" s="144" cm="1">
        <f t="array" aca="1" ref="D87" ca="1">_FV(A87,"Price")</f>
        <v>16.914999999999999</v>
      </c>
      <c r="E87" s="356">
        <f>AE87</f>
        <v>0.24080664294187448</v>
      </c>
      <c r="F87" s="321">
        <f ca="1">+Tabla2[[#This Row],[Rentab. Parcial]]</f>
        <v>3.2621589561090403E-3</v>
      </c>
      <c r="G87" s="321">
        <f ca="1">+Tabla2[[#This Row],[Rentab. Parcial2]]</f>
        <v>3.2621589561090403E-3</v>
      </c>
      <c r="H87" s="253">
        <f ca="1">+Tabla2[[#This Row],[Difer. Investing]]</f>
        <v>0.86402601241501631</v>
      </c>
      <c r="I87" s="79">
        <v>27.91</v>
      </c>
      <c r="J87" s="75" cm="1">
        <f t="array" aca="1" ref="J87" ca="1">_FV(A87,"High")</f>
        <v>16.949300000000001</v>
      </c>
      <c r="K87" s="75" cm="1">
        <f t="array" aca="1" ref="K87" ca="1">_FV(A87,"Low")</f>
        <v>16.11</v>
      </c>
      <c r="L87" s="75" cm="1">
        <f t="array" aca="1" ref="L87" ca="1">_FV(A87,"52 week high",TRUE)</f>
        <v>58.150100000000002</v>
      </c>
      <c r="M87" s="75">
        <f ca="1">+L87*0.9</f>
        <v>52.335090000000001</v>
      </c>
      <c r="N87" s="75">
        <f ca="1">+L87*0.95</f>
        <v>55.242595000000001</v>
      </c>
      <c r="O87" s="75" cm="1">
        <f t="array" aca="1" ref="O87" ca="1">_FV(A87,"52 week low",TRUE)</f>
        <v>8.35</v>
      </c>
      <c r="P87" s="220">
        <f ca="1">+TODAY()-Tabla2[[#This Row],[F. compra]]</f>
        <v>14</v>
      </c>
      <c r="Q87" s="220">
        <f ca="1">GESTEP(D87,M87)</f>
        <v>0</v>
      </c>
      <c r="R87" s="220">
        <f ca="1">GESTEP(D87,N87)</f>
        <v>0</v>
      </c>
      <c r="S87" s="75" t="s">
        <v>75</v>
      </c>
      <c r="T87" s="110" t="s">
        <v>78</v>
      </c>
      <c r="U87" s="110" t="s">
        <v>199</v>
      </c>
      <c r="V87" s="16">
        <v>46126</v>
      </c>
      <c r="W87" s="16">
        <v>46126</v>
      </c>
      <c r="X87" s="80"/>
      <c r="Y87" s="79">
        <v>16.86</v>
      </c>
      <c r="Z87" s="79">
        <v>16.86</v>
      </c>
      <c r="AA87" s="79">
        <v>16.86</v>
      </c>
      <c r="AB87" s="79"/>
      <c r="AC87" s="79">
        <v>20.92</v>
      </c>
      <c r="AD87" s="79">
        <f>+Tabla2[[#This Row],[Objetivo div2]]+Tabla2[[#This Row],[Div.]]</f>
        <v>20.92</v>
      </c>
      <c r="AE87" s="356">
        <f>IF(Z87="",+AC87/Y87-1,AC87/Z87-1)</f>
        <v>0.24080664294187448</v>
      </c>
      <c r="AF87" s="76">
        <v>31.53</v>
      </c>
      <c r="AG87" s="253">
        <f ca="1">IF(Z87="-",+AF87/D87-1,AF87/D87-1)</f>
        <v>0.86402601241501631</v>
      </c>
      <c r="AH87" s="76">
        <v>13.82</v>
      </c>
      <c r="AI87" s="147">
        <f ca="1">IF(Z87="-",AH87/Y87-1,+AH87/D87-1)</f>
        <v>-0.18297369198935853</v>
      </c>
      <c r="AJ87" s="121">
        <f ca="1">IF(Z87="-","-",+(D87/Z87)-1)</f>
        <v>3.2621589561090403E-3</v>
      </c>
      <c r="AK87" s="120">
        <f ca="1">IF(AA87="-","-",+(D87/AA87)-1)</f>
        <v>3.2621589561090403E-3</v>
      </c>
      <c r="AM87" s="49" t="str">
        <f>IF(AL87=0,"-",+AL87/Z87-1)</f>
        <v>-</v>
      </c>
      <c r="AN87" s="28">
        <f ca="1">+D87/Y87-1</f>
        <v>3.2621589561090403E-3</v>
      </c>
      <c r="AO87" s="75"/>
      <c r="AP87" s="193"/>
      <c r="AR87" s="4"/>
      <c r="AU87" s="28"/>
    </row>
    <row r="88" spans="1:47" ht="16" customHeight="1" x14ac:dyDescent="0.2">
      <c r="A88" s="324" t="e" vm="133">
        <v>#VALUE!</v>
      </c>
      <c r="B88" s="242" t="str" cm="1">
        <f t="array" aca="1" ref="B88" ca="1">_FV(A88,"Ticker symbol",TRUE)</f>
        <v>PGEN</v>
      </c>
      <c r="C88" s="217" cm="1">
        <f t="array" aca="1" ref="C88" ca="1">_FV(A88,"Change (%)",TRUE)</f>
        <v>-4.1162000000000004E-2</v>
      </c>
      <c r="D88" s="144" cm="1">
        <f t="array" aca="1" ref="D88" ca="1">_FV(A88,"Price")</f>
        <v>3.96</v>
      </c>
      <c r="E88" s="307">
        <f ca="1">AE88</f>
        <v>0.26262626262626254</v>
      </c>
      <c r="F88" s="321">
        <f ca="1">+Tabla2[[#This Row],[Rentab. Parcial]]</f>
        <v>0.14782608695652177</v>
      </c>
      <c r="G88" s="321">
        <f ca="1">+Tabla2[[#This Row],[Rentab. Parcial2]]</f>
        <v>0.14782608695652177</v>
      </c>
      <c r="H88" s="253">
        <f ca="1">+Tabla2[[#This Row],[Difer. Investing]]</f>
        <v>1.1464646464646466</v>
      </c>
      <c r="I88" s="79">
        <f>+Tabla2[[#This Row],[Objetivo div2]]</f>
        <v>5</v>
      </c>
      <c r="J88" s="75" cm="1">
        <f t="array" aca="1" ref="J88" ca="1">_FV(A88,"High")</f>
        <v>4.24</v>
      </c>
      <c r="K88" s="75" cm="1">
        <f t="array" aca="1" ref="K88" ca="1">_FV(A88,"Low")</f>
        <v>3.9550000000000001</v>
      </c>
      <c r="L88" s="75" cm="1">
        <f t="array" aca="1" ref="L88" ca="1">_FV(Tabla2[[#This Row],[valor]],"52 week high",TRUE)</f>
        <v>5.4649999999999999</v>
      </c>
      <c r="M88" s="75">
        <f ca="1">+L88*0.9</f>
        <v>4.9184999999999999</v>
      </c>
      <c r="N88" s="75">
        <f ca="1">+L88*0.95</f>
        <v>5.1917499999999999</v>
      </c>
      <c r="O88" s="75" cm="1">
        <f t="array" aca="1" ref="O88" ca="1">_FV(A88,"52 week low",TRUE)</f>
        <v>1.2250000000000001</v>
      </c>
      <c r="P88" s="220">
        <f ca="1">+TODAY()-Tabla2[[#This Row],[F. compra]]</f>
        <v>194</v>
      </c>
      <c r="Q88" s="220">
        <f ca="1">GESTEP(D88,M88)</f>
        <v>0</v>
      </c>
      <c r="R88" s="220">
        <f ca="1">GESTEP(D88,N88)</f>
        <v>0</v>
      </c>
      <c r="S88" s="75" t="s">
        <v>76</v>
      </c>
      <c r="T88" s="110" t="s">
        <v>78</v>
      </c>
      <c r="U88" s="110" t="s">
        <v>88</v>
      </c>
      <c r="V88" s="16">
        <v>45946</v>
      </c>
      <c r="W88" s="16">
        <v>45946</v>
      </c>
      <c r="X88" s="80" t="s">
        <v>11</v>
      </c>
      <c r="Y88" s="79">
        <v>3.45</v>
      </c>
      <c r="Z88" s="79">
        <v>3.45</v>
      </c>
      <c r="AA88" s="79">
        <v>3.45</v>
      </c>
      <c r="AB88" s="79"/>
      <c r="AC88" s="79">
        <v>5</v>
      </c>
      <c r="AD88" s="79">
        <f>+Tabla2[[#This Row],[Objetivo div2]]+Tabla2[[#This Row],[Div.]]</f>
        <v>5</v>
      </c>
      <c r="AE88" s="307">
        <f ca="1">IF(Z88="-",+AC88/Y88-1,AC88/D88-1)</f>
        <v>0.26262626262626254</v>
      </c>
      <c r="AF88" s="76">
        <v>8.5</v>
      </c>
      <c r="AG88" s="253">
        <f ca="1">IF(Z88="-",+AF88/D88-1,AF88/D88-1)</f>
        <v>1.1464646464646466</v>
      </c>
      <c r="AH88" s="76">
        <v>2.99</v>
      </c>
      <c r="AI88" s="147">
        <f ca="1">IF(Z88="-",AH88/Y88-1,+AH88/D88-1)</f>
        <v>-0.24494949494949492</v>
      </c>
      <c r="AJ88" s="121">
        <f ca="1">IF(Z88="-","-",+(D88/Z88)-1)</f>
        <v>0.14782608695652177</v>
      </c>
      <c r="AK88" s="120">
        <f ca="1">IF(AA88="-","-",+(D88/AA88)-1)</f>
        <v>0.14782608695652177</v>
      </c>
      <c r="AM88" s="49" t="str">
        <f>IF(AL88=0,"-",+AL88/Z88-1)</f>
        <v>-</v>
      </c>
      <c r="AN88" s="28">
        <f ca="1">+D88/Y88-1</f>
        <v>0.14782608695652177</v>
      </c>
      <c r="AO88" s="75">
        <f ca="1">VLOOKUP(Tabla2[[#This Row],[TCKR]],'2026'!$D$5:$AH$257,8,FALSE)</f>
        <v>1100</v>
      </c>
      <c r="AP88" s="193">
        <f ca="1">VLOOKUP(Tabla2[[#This Row],[TCKR]],'2026'!$D$5:$AH$257,26,FALSE)</f>
        <v>358.06956549528672</v>
      </c>
      <c r="AQ88" s="5" cm="1">
        <f t="array" aca="1" ref="AQ88" ca="1">_FV(Tabla2[[#This Row],[valor]],"P/E",TRUE)</f>
        <v>0</v>
      </c>
      <c r="AR88" s="4"/>
      <c r="AT88" s="193">
        <f ca="1">+Tabla2[[#This Row],[Titulos2]]*Tabla2[[#This Row],[Neto]]</f>
        <v>0</v>
      </c>
      <c r="AU88" s="28">
        <f>+Tabla2[[#This Row],[Neto]]/Tabla2[[#This Row],[Precio compra2]]</f>
        <v>0</v>
      </c>
    </row>
    <row r="89" spans="1:47" ht="16" customHeight="1" x14ac:dyDescent="0.2">
      <c r="A89" s="323" t="e" vm="7">
        <v>#VALUE!</v>
      </c>
      <c r="B89" s="75" t="str" cm="1">
        <f t="array" aca="1" ref="B89" ca="1">_FV(A89,"Ticker symbol",TRUE)</f>
        <v>ADT</v>
      </c>
      <c r="C89" s="217" cm="1">
        <f t="array" aca="1" ref="C89" ca="1">_FV(A89,"Change (%)",TRUE)</f>
        <v>-5.5100000000000001E-3</v>
      </c>
      <c r="D89" s="144" cm="1">
        <f t="array" aca="1" ref="D89" ca="1">_FV(A89,"Price")</f>
        <v>7.22</v>
      </c>
      <c r="E89" s="159">
        <f ca="1">AE89</f>
        <v>0.26472760849492172</v>
      </c>
      <c r="F89" s="321">
        <f ca="1">+Tabla2[[#This Row],[Rentab. Parcial]]</f>
        <v>-1.7865239865784033E-2</v>
      </c>
      <c r="G89" s="321">
        <f ca="1">+Tabla2[[#This Row],[Rentab. Parcial2]]</f>
        <v>-5.124835742444156E-2</v>
      </c>
      <c r="H89" s="253">
        <f ca="1">+Tabla2[[#This Row],[Difer. Investing]]</f>
        <v>0.554016620498615</v>
      </c>
      <c r="I89" s="79">
        <f>+Tabla2[[#This Row],[Objetivo div2]]</f>
        <v>9.131333333333334</v>
      </c>
      <c r="J89" s="75" cm="1">
        <f t="array" aca="1" ref="J89" ca="1">_FV(A89,"High")</f>
        <v>7.31</v>
      </c>
      <c r="K89" s="75" cm="1">
        <f t="array" aca="1" ref="K89" ca="1">_FV(A89,"Low")</f>
        <v>7.1849999999999996</v>
      </c>
      <c r="L89" s="75" cm="1">
        <f t="array" aca="1" ref="L89" ca="1">_FV(Tabla2[[#This Row],[valor]],"52 week high",TRUE)</f>
        <v>8.9350000000000005</v>
      </c>
      <c r="M89" s="75">
        <f ca="1">+Tabla2[[#This Row],[52 high]]*0.9</f>
        <v>8.041500000000001</v>
      </c>
      <c r="N89" s="75">
        <f ca="1">+Tabla2[[#This Row],[52 high]]*0.95</f>
        <v>8.4882500000000007</v>
      </c>
      <c r="O89" s="75" cm="1">
        <f t="array" aca="1" ref="O89" ca="1">_FV(Tabla2[[#This Row],[valor]],"52 week low",TRUE)</f>
        <v>6.25</v>
      </c>
      <c r="P89" s="220">
        <f ca="1">+TODAY()-Tabla2[[#This Row],[F. compra]]</f>
        <v>673</v>
      </c>
      <c r="Q89" s="220">
        <f ca="1">GESTEP(Tabla2[[#This Row],[price]],Tabla2[[#This Row],[HIGH 10%]])</f>
        <v>0</v>
      </c>
      <c r="R89" s="220">
        <f ca="1">GESTEP(Tabla2[[#This Row],[price]],Tabla2[[#This Row],[HIGH 5%]])</f>
        <v>0</v>
      </c>
      <c r="S89" s="75" t="s">
        <v>75</v>
      </c>
      <c r="T89" s="110" t="s">
        <v>78</v>
      </c>
      <c r="U89" s="110" t="s">
        <v>26</v>
      </c>
      <c r="V89" s="16">
        <v>45467</v>
      </c>
      <c r="W89" s="16">
        <v>45467</v>
      </c>
      <c r="X89" s="80"/>
      <c r="Y89" s="79">
        <v>7.61</v>
      </c>
      <c r="Z89" s="79">
        <f>7.61-Tabla2[[#This Row],[Div.]]</f>
        <v>7.3513333333333337</v>
      </c>
      <c r="AA89" s="79">
        <f>+Tabla2[[#This Row],[Precio compra]]+Tabla2[[#This Row],[Div.]]</f>
        <v>7.61</v>
      </c>
      <c r="AB89" s="96">
        <f>0.25+'dividendos 26'!E60</f>
        <v>0.25866666666666666</v>
      </c>
      <c r="AC89" s="79">
        <f>9.39-Tabla2[[#This Row],[Div.]]</f>
        <v>9.131333333333334</v>
      </c>
      <c r="AD89" s="79">
        <f>+Tabla2[[#This Row],[Objetivo div2]]+Tabla2[[#This Row],[Div.]]</f>
        <v>9.39</v>
      </c>
      <c r="AE89" s="159">
        <f ca="1">IF(Z89="-",+AC89/Y89-1,AC89/D89-1)</f>
        <v>0.26472760849492172</v>
      </c>
      <c r="AF89" s="81">
        <v>11.22</v>
      </c>
      <c r="AG89" s="253">
        <f ca="1">IF(Z89="-",+AF89/D89-1,AF89/D89-1)</f>
        <v>0.554016620498615</v>
      </c>
      <c r="AH89" s="81">
        <f>6.92-Tabla2[[#This Row],[Div.]]</f>
        <v>6.6613333333333333</v>
      </c>
      <c r="AI89" s="147">
        <f ca="1">IF(Z89="-",AH89/Y89-1,+AH89/D89-1)</f>
        <v>-7.7377654662973194E-2</v>
      </c>
      <c r="AJ89" s="121">
        <f ca="1">IF(Z89="-","-",+(D89/Z89)-1)</f>
        <v>-1.7865239865784033E-2</v>
      </c>
      <c r="AK89" s="120">
        <f ca="1">IF(AA89="-","-",+(D89/AA89)-1)</f>
        <v>-5.124835742444156E-2</v>
      </c>
      <c r="AM89" s="49" t="str">
        <f>IF(AL89=0,"-",+AL89/Z89-1)</f>
        <v>-</v>
      </c>
      <c r="AN89" s="28">
        <f ca="1">+D89/Y89-1</f>
        <v>-5.124835742444156E-2</v>
      </c>
      <c r="AO89" s="75">
        <f ca="1">VLOOKUP(Tabla2[[#This Row],[TCKR]],'2026'!$D$5:$AH$257,8,FALSE)</f>
        <v>1300</v>
      </c>
      <c r="AP89" s="193">
        <f ca="1">VLOOKUP(Tabla2[[#This Row],[TCKR]],'2026'!$D$5:$AH$257,26,FALSE)</f>
        <v>-954.11593463593908</v>
      </c>
      <c r="AQ89" s="5" cm="1">
        <f t="array" aca="1" ref="AQ89" ca="1">_FV(Tabla2[[#This Row],[valor]],"P/E",TRUE)</f>
        <v>10.5274</v>
      </c>
      <c r="AR89" s="4"/>
      <c r="AT89" s="193">
        <f ca="1">+Tabla2[[#This Row],[Titulos2]]*Tabla2[[#This Row],[Neto]]</f>
        <v>0</v>
      </c>
      <c r="AU89" s="28">
        <f>+Tabla2[[#This Row],[Neto]]/Tabla2[[#This Row],[Precio compra2]]</f>
        <v>0</v>
      </c>
    </row>
    <row r="90" spans="1:47" ht="16" customHeight="1" x14ac:dyDescent="0.2">
      <c r="A90" s="151" t="e" vm="87">
        <v>#VALUE!</v>
      </c>
      <c r="B90" s="75" t="str" cm="1">
        <f t="array" aca="1" ref="B90" ca="1">_FV(A90,"Ticker symbol",TRUE)</f>
        <v>BOSS</v>
      </c>
      <c r="C90" s="217" cm="1">
        <f t="array" aca="1" ref="C90" ca="1">_FV(A90,"Change (%)",TRUE)</f>
        <v>8.5489999999999993E-3</v>
      </c>
      <c r="D90" s="144" cm="1">
        <f t="array" aca="1" ref="D90" ca="1">_FV(A90,"Price")</f>
        <v>36.57</v>
      </c>
      <c r="E90" s="357">
        <f>AE90</f>
        <v>0.26654363300817296</v>
      </c>
      <c r="F90" s="321">
        <f ca="1">+Tabla2[[#This Row],[Rentab. Parcial]]</f>
        <v>-3.5855523332454453E-2</v>
      </c>
      <c r="G90" s="321">
        <f ca="1">+Tabla2[[#This Row],[Rentab. Parcial2]]</f>
        <v>-3.5855523332454453E-2</v>
      </c>
      <c r="H90" s="253">
        <f ca="1">+Tabla2[[#This Row],[Difer. Investing]]</f>
        <v>0.27946404156412363</v>
      </c>
      <c r="I90" s="75">
        <v>78</v>
      </c>
      <c r="J90" s="75" cm="1">
        <f t="array" aca="1" ref="J90" ca="1">_FV(A90,"High")</f>
        <v>36.57</v>
      </c>
      <c r="K90" s="75" cm="1">
        <f t="array" aca="1" ref="K90" ca="1">_FV(A90,"Low")</f>
        <v>36.57</v>
      </c>
      <c r="L90" s="75" cm="1">
        <f t="array" aca="1" ref="L90" ca="1">_FV(A90,"52 week high",TRUE)</f>
        <v>81.400000000000006</v>
      </c>
      <c r="M90" s="75">
        <f ca="1">+L90*0.9</f>
        <v>73.260000000000005</v>
      </c>
      <c r="N90" s="75">
        <f ca="1">+L90*0.95</f>
        <v>77.33</v>
      </c>
      <c r="O90" s="75" cm="1">
        <f t="array" aca="1" ref="O90" ca="1">_FV(A90,"52 week low",TRUE)</f>
        <v>19.2</v>
      </c>
      <c r="P90" s="220">
        <f ca="1">+TODAY()-Tabla2[[#This Row],[F. compra]]</f>
        <v>11</v>
      </c>
      <c r="Q90" s="220">
        <f ca="1">GESTEP(D90,M90)</f>
        <v>0</v>
      </c>
      <c r="R90" s="220">
        <f ca="1">GESTEP(D90,N90)</f>
        <v>0</v>
      </c>
      <c r="S90" s="75" t="s">
        <v>75</v>
      </c>
      <c r="T90" s="110" t="s">
        <v>78</v>
      </c>
      <c r="U90" s="110" t="s">
        <v>26</v>
      </c>
      <c r="V90" s="4">
        <v>46125</v>
      </c>
      <c r="W90" s="4">
        <v>46129</v>
      </c>
      <c r="X90" s="81" t="s">
        <v>433</v>
      </c>
      <c r="Y90" s="75">
        <v>37.94</v>
      </c>
      <c r="Z90" s="75">
        <v>37.93</v>
      </c>
      <c r="AA90" s="75">
        <v>37.93</v>
      </c>
      <c r="AC90" s="75">
        <v>48.04</v>
      </c>
      <c r="AD90" s="79">
        <f>+Tabla2[[#This Row],[Objetivo div2]]+Tabla2[[#This Row],[Div.]]</f>
        <v>48.04</v>
      </c>
      <c r="AE90" s="357">
        <f>IF(Z90="",+AC90/Y90-1,AC90/Z90-1)</f>
        <v>0.26654363300817296</v>
      </c>
      <c r="AF90" s="76">
        <v>46.79</v>
      </c>
      <c r="AG90" s="358">
        <f ca="1">IF(Z90="-",+AF90/D90-1,AF90/D90-1)</f>
        <v>0.27946404156412363</v>
      </c>
      <c r="AH90" s="76">
        <v>33.78</v>
      </c>
      <c r="AI90" s="359">
        <f ca="1">IF(Z90="-",AH90/Y90-1,+AH90/D90-1)</f>
        <v>-7.6292042657916337E-2</v>
      </c>
      <c r="AJ90" s="121">
        <f ca="1">IF(Z90="-","-",+(D90/Z90)-1)</f>
        <v>-3.5855523332454453E-2</v>
      </c>
      <c r="AK90" s="120">
        <f ca="1">IF(AA90="-","-",+(D90/AA90)-1)</f>
        <v>-3.5855523332454453E-2</v>
      </c>
      <c r="AM90" s="49" t="str">
        <f>IF(AL90=0,"-",+AL90/Z90-1)</f>
        <v>-</v>
      </c>
      <c r="AN90" s="28">
        <f ca="1">+D90/Y90-1</f>
        <v>-3.6109646810753793E-2</v>
      </c>
      <c r="AO90" s="75"/>
      <c r="AP90" s="193"/>
      <c r="AR90" s="4"/>
      <c r="AU90" s="28"/>
    </row>
    <row r="91" spans="1:47" ht="16" customHeight="1" x14ac:dyDescent="0.2">
      <c r="A91" s="323" t="e" vm="13">
        <v>#VALUE!</v>
      </c>
      <c r="B91" s="75" t="str" cm="1">
        <f t="array" aca="1" ref="B91" ca="1">_FV(A91,"Ticker symbol",TRUE)</f>
        <v>AOSL</v>
      </c>
      <c r="C91" s="217" cm="1">
        <f t="array" aca="1" ref="C91" ca="1">_FV(A91,"Change (%)",TRUE)</f>
        <v>-4.7469000000000004E-2</v>
      </c>
      <c r="D91" s="144" cm="1">
        <f t="array" aca="1" ref="D91" ca="1">_FV(A91,"Price")</f>
        <v>42.34</v>
      </c>
      <c r="E91" s="159">
        <f ca="1">AE91</f>
        <v>0.24586679263108158</v>
      </c>
      <c r="F91" s="321">
        <f ca="1">+Tabla2[[#This Row],[Rentab. Parcial]]</f>
        <v>1.0260081126223008E-2</v>
      </c>
      <c r="G91" s="321">
        <f ca="1">+Tabla2[[#This Row],[Rentab. Parcial2]]</f>
        <v>1.0260081126223008E-2</v>
      </c>
      <c r="H91" s="253">
        <f ca="1">+Tabla2[[#This Row],[Difer. Investing]]</f>
        <v>-0.41308455361360419</v>
      </c>
      <c r="I91" s="79">
        <f>+Tabla2[[#This Row],[Objetivo div2]]</f>
        <v>52.75</v>
      </c>
      <c r="J91" s="75" cm="1">
        <f t="array" aca="1" ref="J91" ca="1">_FV(A91,"High")</f>
        <v>45.43</v>
      </c>
      <c r="K91" s="75" cm="1">
        <f t="array" aca="1" ref="K91" ca="1">_FV(A91,"Low")</f>
        <v>40.880000000000003</v>
      </c>
      <c r="L91" s="75" cm="1">
        <f t="array" aca="1" ref="L91" ca="1">_FV(Tabla2[[#This Row],[valor]],"52 week high",TRUE)</f>
        <v>45.969900000000003</v>
      </c>
      <c r="M91" s="75">
        <f ca="1">+L91*0.9</f>
        <v>41.372910000000005</v>
      </c>
      <c r="N91" s="75">
        <f ca="1">+L91*0.95</f>
        <v>43.671405</v>
      </c>
      <c r="O91" s="75" cm="1">
        <f t="array" aca="1" ref="O91" ca="1">_FV(A91,"52 week low",TRUE)</f>
        <v>17.010000000000002</v>
      </c>
      <c r="P91" s="220">
        <f ca="1">+TODAY()-Tabla2[[#This Row],[F. compra]]</f>
        <v>462</v>
      </c>
      <c r="Q91" s="220">
        <f ca="1">GESTEP(D91,M91)</f>
        <v>1</v>
      </c>
      <c r="R91" s="220">
        <f ca="1">GESTEP(D91,N91)</f>
        <v>0</v>
      </c>
      <c r="S91" s="75" t="s">
        <v>166</v>
      </c>
      <c r="T91" s="110" t="s">
        <v>78</v>
      </c>
      <c r="U91" s="110" t="s">
        <v>88</v>
      </c>
      <c r="V91" s="16">
        <v>45678</v>
      </c>
      <c r="W91" s="16">
        <v>45678</v>
      </c>
      <c r="X91" s="80" t="s">
        <v>11</v>
      </c>
      <c r="Y91" s="79">
        <v>41.91</v>
      </c>
      <c r="Z91" s="79">
        <v>41.91</v>
      </c>
      <c r="AA91" s="79">
        <f>+Tabla2[[#This Row],[Precio compra]]+Tabla2[[#This Row],[Div.]]</f>
        <v>41.91</v>
      </c>
      <c r="AB91" s="96"/>
      <c r="AC91" s="79">
        <v>52.75</v>
      </c>
      <c r="AD91" s="79">
        <f>+Tabla2[[#This Row],[Objetivo div2]]+Tabla2[[#This Row],[Div.]]</f>
        <v>52.75</v>
      </c>
      <c r="AE91" s="159">
        <f ca="1">IF(Z91="-",+AC91/Y91-1,AC91/D91-1)</f>
        <v>0.24586679263108158</v>
      </c>
      <c r="AF91" s="81">
        <v>24.85</v>
      </c>
      <c r="AG91" s="253">
        <f ca="1">IF(Z91="-",+AF91/D91-1,AF91/D91-1)</f>
        <v>-0.41308455361360419</v>
      </c>
      <c r="AH91" s="81">
        <v>36.49</v>
      </c>
      <c r="AI91" s="147">
        <f ca="1">IF(Z91="-",AH91/Y91-1,+AH91/D91-1)</f>
        <v>-0.13816721776098251</v>
      </c>
      <c r="AJ91" s="121">
        <f ca="1">IF(Z91="-","-",+(D91/Z91)-1)</f>
        <v>1.0260081126223008E-2</v>
      </c>
      <c r="AK91" s="120">
        <f ca="1">IF(AA91="-","-",+(D91/AA91)-1)</f>
        <v>1.0260081126223008E-2</v>
      </c>
      <c r="AM91" s="49" t="str">
        <f>IF(AL91=0,"-",+AL91/Z91-1)</f>
        <v>-</v>
      </c>
      <c r="AN91" s="28">
        <f ca="1">+D91/Y91-1</f>
        <v>1.0260081126223008E-2</v>
      </c>
      <c r="AO91" s="75">
        <f ca="1">VLOOKUP(Tabla2[[#This Row],[TCKR]],'2026'!$D$5:$AH$257,8,FALSE)</f>
        <v>200</v>
      </c>
      <c r="AP91" s="193">
        <f ca="1">VLOOKUP(Tabla2[[#This Row],[TCKR]],'2026'!$D$5:$AH$257,26,FALSE)</f>
        <v>-665.40026798270594</v>
      </c>
      <c r="AQ91" s="5" cm="1">
        <f t="array" aca="1" ref="AQ91" ca="1">_FV(Tabla2[[#This Row],[valor]],"P/E",TRUE)</f>
        <v>0</v>
      </c>
      <c r="AR91" s="4"/>
      <c r="AT91" s="193">
        <f ca="1">+Tabla2[[#This Row],[Titulos2]]*Tabla2[[#This Row],[Neto]]</f>
        <v>0</v>
      </c>
      <c r="AU91" s="28">
        <f>+Tabla2[[#This Row],[Neto]]/Tabla2[[#This Row],[Precio compra2]]</f>
        <v>0</v>
      </c>
    </row>
    <row r="92" spans="1:47" ht="16" customHeight="1" x14ac:dyDescent="0.2">
      <c r="A92" s="75" t="e" vm="130">
        <v>#VALUE!</v>
      </c>
      <c r="B92" s="75" t="str" cm="1">
        <f t="array" aca="1" ref="B92" ca="1">_FV(A92,"Ticker symbol",TRUE)</f>
        <v>ORY</v>
      </c>
      <c r="C92" s="217" cm="1">
        <f t="array" aca="1" ref="C92" ca="1">_FV(A92,"Change (%)",TRUE)</f>
        <v>7.8849999999999996E-3</v>
      </c>
      <c r="D92" s="144" cm="1">
        <f t="array" aca="1" ref="D92" ca="1">_FV(A92,"Price")</f>
        <v>2.8119999999999998</v>
      </c>
      <c r="E92" s="159">
        <f ca="1">AE92</f>
        <v>0.27667140825035563</v>
      </c>
      <c r="F92" s="321">
        <f ca="1">+Tabla2[[#This Row],[Rentab. Parcial]]</f>
        <v>-4.0273037542662204E-2</v>
      </c>
      <c r="G92" s="321">
        <f ca="1">+Tabla2[[#This Row],[Rentab. Parcial2]]</f>
        <v>-4.0273037542662204E-2</v>
      </c>
      <c r="H92" s="253">
        <f ca="1">+Tabla2[[#This Row],[Difer. Investing]]</f>
        <v>1.5106685633001424</v>
      </c>
      <c r="I92" s="79">
        <f>+Tabla2[[#This Row],[Objetivo div2]]</f>
        <v>3.59</v>
      </c>
      <c r="J92" s="75" cm="1">
        <f t="array" aca="1" ref="J92" ca="1">_FV(A92,"High")</f>
        <v>2.84</v>
      </c>
      <c r="K92" s="75" cm="1">
        <f t="array" aca="1" ref="K92" ca="1">_FV(A92,"Low")</f>
        <v>2.79</v>
      </c>
      <c r="L92" s="75" cm="1">
        <f t="array" aca="1" ref="L92" ca="1">_FV(Tabla2[[#This Row],[valor]],"52 week high",TRUE)</f>
        <v>4.0199999999999996</v>
      </c>
      <c r="M92" s="75">
        <f ca="1">+L92*0.9</f>
        <v>3.6179999999999999</v>
      </c>
      <c r="N92" s="75">
        <f ca="1">+L92*0.95</f>
        <v>3.8189999999999995</v>
      </c>
      <c r="O92" s="75" cm="1">
        <f t="array" aca="1" ref="O92" ca="1">_FV(A92,"52 week low",TRUE)</f>
        <v>2.5550000000000002</v>
      </c>
      <c r="P92" s="220">
        <f ca="1">+TODAY()-Tabla2[[#This Row],[F. compra]]</f>
        <v>370</v>
      </c>
      <c r="Q92" s="220">
        <f ca="1">GESTEP(D92,M92)</f>
        <v>0</v>
      </c>
      <c r="R92" s="220">
        <f ca="1">GESTEP(D92,N92)</f>
        <v>0</v>
      </c>
      <c r="S92" s="75" t="s">
        <v>75</v>
      </c>
      <c r="T92" s="110" t="s">
        <v>78</v>
      </c>
      <c r="U92" s="110" t="s">
        <v>190</v>
      </c>
      <c r="V92" s="16">
        <v>45770</v>
      </c>
      <c r="W92" s="16">
        <v>45770</v>
      </c>
      <c r="X92" s="80"/>
      <c r="Y92" s="79">
        <v>2.93</v>
      </c>
      <c r="Z92" s="79">
        <v>2.93</v>
      </c>
      <c r="AA92" s="79">
        <f>+Tabla2[[#This Row],[Precio compra]]+Tabla2[[#This Row],[Div.]]</f>
        <v>2.93</v>
      </c>
      <c r="AB92" s="96"/>
      <c r="AC92" s="79">
        <v>3.59</v>
      </c>
      <c r="AD92" s="79">
        <f>+Tabla2[[#This Row],[Objetivo div2]]+Tabla2[[#This Row],[Div.]]</f>
        <v>3.59</v>
      </c>
      <c r="AE92" s="159">
        <f ca="1">IF(Z92="-",+AC92/Y92-1,AC92/D92-1)</f>
        <v>0.27667140825035563</v>
      </c>
      <c r="AF92" s="81">
        <v>7.06</v>
      </c>
      <c r="AG92" s="253">
        <f ca="1">IF(Z92="-",+AF92/D92-1,AF92/D92-1)</f>
        <v>1.5106685633001424</v>
      </c>
      <c r="AH92" s="81">
        <v>25.14</v>
      </c>
      <c r="AI92" s="147">
        <f ca="1">IF(Z92="-",AH92/Y92-1,+AH92/D92-1)</f>
        <v>7.9402560455192042</v>
      </c>
      <c r="AJ92" s="121">
        <f ca="1">IF(Z92="-","-",+(D92/Z92)-1)</f>
        <v>-4.0273037542662204E-2</v>
      </c>
      <c r="AK92" s="120">
        <f ca="1">IF(AA92="-","-",+(D92/AA92)-1)</f>
        <v>-4.0273037542662204E-2</v>
      </c>
      <c r="AM92" s="49" t="str">
        <f>IF(AL92=0,"-",+AL92/Z92-1)</f>
        <v>-</v>
      </c>
      <c r="AN92" s="28">
        <f ca="1">+D92/Y92-1</f>
        <v>-4.0273037542662204E-2</v>
      </c>
      <c r="AO92" s="75">
        <f ca="1">VLOOKUP(Tabla2[[#This Row],[TCKR]],'2026'!$D$5:$AH$257,8,FALSE)</f>
        <v>7676</v>
      </c>
      <c r="AP92" s="193">
        <f ca="1">VLOOKUP(Tabla2[[#This Row],[TCKR]],'2026'!$D$5:$AH$257,26,FALSE)</f>
        <v>-4577.4247442495289</v>
      </c>
      <c r="AQ92" s="5" t="e" cm="1" vm="221">
        <f t="array" ref="AQ92">_FV(Tabla2[[#This Row],[valor]],"P/E",TRUE)</f>
        <v>#VALUE!</v>
      </c>
      <c r="AR92" s="4"/>
      <c r="AT92" s="193">
        <f ca="1">+Tabla2[[#This Row],[Titulos2]]*Tabla2[[#This Row],[Neto]]</f>
        <v>0</v>
      </c>
      <c r="AU92" s="28">
        <f>+Tabla2[[#This Row],[Neto]]/Tabla2[[#This Row],[Precio compra2]]</f>
        <v>0</v>
      </c>
    </row>
    <row r="93" spans="1:47" ht="16" customHeight="1" x14ac:dyDescent="0.2">
      <c r="A93" s="323" t="e" vm="116">
        <v>#VALUE!</v>
      </c>
      <c r="B93" s="75" t="str" cm="1">
        <f t="array" aca="1" ref="B93" ca="1">_FV(A93,"Ticker symbol",TRUE)</f>
        <v>MSFT</v>
      </c>
      <c r="C93" s="217" cm="1">
        <f t="array" aca="1" ref="C93" ca="1">_FV(A93,"Change (%)",TRUE)</f>
        <v>4.7100000000000001E-4</v>
      </c>
      <c r="D93" s="144" cm="1">
        <f t="array" aca="1" ref="D93" ca="1">_FV(A93,"Price")</f>
        <v>424.82</v>
      </c>
      <c r="E93" s="159">
        <f ca="1">AE93</f>
        <v>0.28630028472416957</v>
      </c>
      <c r="F93" s="321">
        <f ca="1">+Tabla2[[#This Row],[Rentab. Parcial]]</f>
        <v>-3.4403631192441164E-2</v>
      </c>
      <c r="G93" s="321">
        <f ca="1">+Tabla2[[#This Row],[Rentab. Parcial2]]</f>
        <v>-4.1038374717833004E-2</v>
      </c>
      <c r="H93" s="253">
        <f ca="1">+Tabla2[[#This Row],[Difer. Investing]]</f>
        <v>0.46414952215055783</v>
      </c>
      <c r="I93" s="79">
        <f>+Tabla2[[#This Row],[Objetivo div2]]</f>
        <v>546.44608695652175</v>
      </c>
      <c r="J93" s="75" cm="1">
        <f t="array" aca="1" ref="J93" ca="1">_FV(A93,"High")</f>
        <v>427.11</v>
      </c>
      <c r="K93" s="75" cm="1">
        <f t="array" aca="1" ref="K93" ca="1">_FV(A93,"Low")</f>
        <v>417.07010000000002</v>
      </c>
      <c r="L93" s="75" cm="1">
        <f t="array" aca="1" ref="L93" ca="1">_FV(Tabla2[[#This Row],[valor]],"52 week high",TRUE)</f>
        <v>555.45000000000005</v>
      </c>
      <c r="M93" s="75">
        <f ca="1">+Tabla2[[#This Row],[52 high]]*0.9</f>
        <v>499.90500000000003</v>
      </c>
      <c r="N93" s="75">
        <f ca="1">+Tabla2[[#This Row],[52 high]]*0.95</f>
        <v>527.67750000000001</v>
      </c>
      <c r="O93" s="75" cm="1">
        <f t="array" aca="1" ref="O93" ca="1">_FV(Tabla2[[#This Row],[valor]],"52 week low",TRUE)</f>
        <v>356.28</v>
      </c>
      <c r="P93" s="220">
        <f ca="1">+TODAY()-Tabla2[[#This Row],[F. compra]]</f>
        <v>505</v>
      </c>
      <c r="Q93" s="220">
        <f ca="1">GESTEP(Tabla2[[#This Row],[price]],Tabla2[[#This Row],[HIGH 10%]])</f>
        <v>0</v>
      </c>
      <c r="R93" s="220">
        <f ca="1">GESTEP(Tabla2[[#This Row],[price]],Tabla2[[#This Row],[HIGH 5%]])</f>
        <v>0</v>
      </c>
      <c r="S93" s="75" t="s">
        <v>163</v>
      </c>
      <c r="T93" s="110" t="s">
        <v>78</v>
      </c>
      <c r="U93" s="110" t="s">
        <v>26</v>
      </c>
      <c r="V93" s="16">
        <v>45635</v>
      </c>
      <c r="W93" s="16">
        <v>45635</v>
      </c>
      <c r="X93" s="80" t="s">
        <v>11</v>
      </c>
      <c r="Y93" s="79">
        <v>446.16</v>
      </c>
      <c r="Z93" s="79">
        <f>443-Tabla2[[#This Row],[Div.]]</f>
        <v>439.95608695652174</v>
      </c>
      <c r="AA93" s="79">
        <f>+Tabla2[[#This Row],[Precio compra]]+Tabla2[[#This Row],[Div.]]</f>
        <v>443</v>
      </c>
      <c r="AB93" s="96">
        <f>2.25+'dividendos 26'!E42</f>
        <v>3.0439130434782609</v>
      </c>
      <c r="AC93" s="79">
        <f>549.49-Tabla2[[#This Row],[Div.]]</f>
        <v>546.44608695652175</v>
      </c>
      <c r="AD93" s="79">
        <f>+Tabla2[[#This Row],[Objetivo div2]]+Tabla2[[#This Row],[Div.]]</f>
        <v>549.49</v>
      </c>
      <c r="AE93" s="159">
        <f ca="1">IF(Z93="-",+AC93/Y93-1,AC93/D93-1)</f>
        <v>0.28630028472416957</v>
      </c>
      <c r="AF93" s="81">
        <v>622</v>
      </c>
      <c r="AG93" s="253">
        <f ca="1">IF(Z93="-",+AF93/D93-1,AF93/D93-1)</f>
        <v>0.46414952215055783</v>
      </c>
      <c r="AH93" s="81">
        <f>394.49-Tabla2[[#This Row],[Div.]]</f>
        <v>391.44608695652175</v>
      </c>
      <c r="AI93" s="147">
        <f ca="1">IF(Z93="-",AH93/Y93-1,+AH93/D93-1)</f>
        <v>-7.8560126744216974E-2</v>
      </c>
      <c r="AJ93" s="121">
        <f ca="1">IF(Z93="-","-",+(D93/Z93)-1)</f>
        <v>-3.4403631192441164E-2</v>
      </c>
      <c r="AK93" s="120">
        <f ca="1">IF(AA93="-","-",+(D93/AA93)-1)</f>
        <v>-4.1038374717833004E-2</v>
      </c>
      <c r="AM93" s="49" t="str">
        <f>IF(AL93=0,"-",+AL93/Z93-1)</f>
        <v>-</v>
      </c>
      <c r="AN93" s="28">
        <f ca="1">+D93/Y93-1</f>
        <v>-4.7830374753451754E-2</v>
      </c>
      <c r="AO93" s="75">
        <f ca="1">VLOOKUP(Tabla2[[#This Row],[TCKR]],'2026'!$D$5:$AH$257,8,FALSE)</f>
        <v>23</v>
      </c>
      <c r="AP93" s="193">
        <f ca="1">VLOOKUP(Tabla2[[#This Row],[TCKR]],'2026'!$D$5:$AH$257,26,FALSE)</f>
        <v>-1071.2565584867016</v>
      </c>
      <c r="AQ93" s="5" cm="1">
        <f t="array" aca="1" ref="AQ93" ca="1">_FV(Tabla2[[#This Row],[valor]],"P/E",TRUE)</f>
        <v>26.567900000000002</v>
      </c>
      <c r="AR93" s="4"/>
      <c r="AT93" s="193">
        <f ca="1">+Tabla2[[#This Row],[Titulos2]]*Tabla2[[#This Row],[Neto]]</f>
        <v>0</v>
      </c>
      <c r="AU93" s="28">
        <f>+Tabla2[[#This Row],[Neto]]/Tabla2[[#This Row],[Precio compra2]]</f>
        <v>0</v>
      </c>
    </row>
    <row r="94" spans="1:47" ht="16" customHeight="1" x14ac:dyDescent="0.2">
      <c r="A94" s="323" t="e" vm="112">
        <v>#VALUE!</v>
      </c>
      <c r="B94" s="75" t="str" cm="1">
        <f t="array" aca="1" ref="B94" ca="1">_FV(A94,"Ticker symbol",TRUE)</f>
        <v>MAS</v>
      </c>
      <c r="C94" s="217" cm="1">
        <f t="array" aca="1" ref="C94" ca="1">_FV(A94,"Change (%)",TRUE)</f>
        <v>8.0879999999999993E-4</v>
      </c>
      <c r="D94" s="144" cm="1">
        <f t="array" aca="1" ref="D94" ca="1">_FV(A94,"Price")</f>
        <v>74.239999999999995</v>
      </c>
      <c r="E94" s="159">
        <f ca="1">AE94</f>
        <v>0.29438308189655182</v>
      </c>
      <c r="F94" s="321">
        <f ca="1">+Tabla2[[#This Row],[Rentab. Parcial]]</f>
        <v>-6.786364492435204E-2</v>
      </c>
      <c r="G94" s="321">
        <f ca="1">+Tabla2[[#This Row],[Rentab. Parcial2]]</f>
        <v>-8.3569929638316331E-2</v>
      </c>
      <c r="H94" s="253">
        <f ca="1">+Tabla2[[#This Row],[Difer. Investing]]</f>
        <v>0.39513739224137945</v>
      </c>
      <c r="I94" s="79">
        <f ca="1">+Tabla2[[#This Row],[Objetivo div2]]</f>
        <v>96.094999999999999</v>
      </c>
      <c r="J94" s="75" cm="1">
        <f t="array" aca="1" ref="J94" ca="1">_FV(A94,"High")</f>
        <v>75.44</v>
      </c>
      <c r="K94" s="75" cm="1">
        <f t="array" aca="1" ref="K94" ca="1">_FV(A94,"Low")</f>
        <v>74.004999999999995</v>
      </c>
      <c r="L94" s="75" cm="1">
        <f t="array" aca="1" ref="L94" ca="1">_FV(Tabla2[[#This Row],[valor]],"52 week high",TRUE)</f>
        <v>79.19</v>
      </c>
      <c r="M94" s="75">
        <f ca="1">+Tabla2[[#This Row],[52 high]]*0.9</f>
        <v>71.271000000000001</v>
      </c>
      <c r="N94" s="75">
        <f ca="1">+Tabla2[[#This Row],[52 high]]*0.95</f>
        <v>75.230499999999992</v>
      </c>
      <c r="O94" s="75" cm="1">
        <f t="array" aca="1" ref="O94" ca="1">_FV(Tabla2[[#This Row],[valor]],"52 week low",TRUE)</f>
        <v>58.164700000000003</v>
      </c>
      <c r="P94" s="220">
        <f ca="1">+TODAY()-Tabla2[[#This Row],[F. compra]]</f>
        <v>518</v>
      </c>
      <c r="Q94" s="220">
        <f ca="1">GESTEP(Tabla2[[#This Row],[price]],Tabla2[[#This Row],[HIGH 10%]])</f>
        <v>1</v>
      </c>
      <c r="R94" s="220">
        <f ca="1">GESTEP(Tabla2[[#This Row],[price]],Tabla2[[#This Row],[HIGH 5%]])</f>
        <v>0</v>
      </c>
      <c r="S94" s="75" t="s">
        <v>76</v>
      </c>
      <c r="T94" s="110" t="s">
        <v>78</v>
      </c>
      <c r="U94" s="110" t="s">
        <v>26</v>
      </c>
      <c r="V94" s="16">
        <v>45622</v>
      </c>
      <c r="W94" s="16">
        <v>45622</v>
      </c>
      <c r="X94" s="80" t="s">
        <v>11</v>
      </c>
      <c r="Y94" s="79">
        <v>82.51</v>
      </c>
      <c r="Z94" s="79">
        <f ca="1">81.01-Tabla2[[#This Row],[Div.]]</f>
        <v>79.64500000000001</v>
      </c>
      <c r="AA94" s="79">
        <f ca="1">+Tabla2[[#This Row],[Precio compra]]+Tabla2[[#This Row],[Div.]]</f>
        <v>81.010000000000005</v>
      </c>
      <c r="AB94" s="96">
        <f ca="1">1.09+'dividendos 26'!E37</f>
        <v>1.3650000000000002</v>
      </c>
      <c r="AC94" s="79">
        <f ca="1">97.46-Tabla2[[#This Row],[Div.]]</f>
        <v>96.094999999999999</v>
      </c>
      <c r="AD94" s="79">
        <f ca="1">+Tabla2[[#This Row],[Objetivo div2]]+Tabla2[[#This Row],[Div.]]</f>
        <v>97.46</v>
      </c>
      <c r="AE94" s="159">
        <f ca="1">IF(Z94="-",+AC94/Y94-1,AC94/D94-1)</f>
        <v>0.29438308189655182</v>
      </c>
      <c r="AF94" s="81">
        <f ca="1">104.94-Tabla2[[#This Row],[Div.]]</f>
        <v>103.575</v>
      </c>
      <c r="AG94" s="253">
        <f ca="1">IF(Z94="-",+AF94/D94-1,AF94/D94-1)</f>
        <v>0.39513739224137945</v>
      </c>
      <c r="AH94" s="81">
        <f ca="1">75.04-Tabla2[[#This Row],[Div.]]</f>
        <v>73.675000000000011</v>
      </c>
      <c r="AI94" s="147">
        <f ca="1">IF(Z94="-",AH94/Y94-1,+AH94/D94-1)</f>
        <v>-7.6104525862066286E-3</v>
      </c>
      <c r="AJ94" s="121">
        <f ca="1">IF(Z94="-","-",+(D94/Z94)-1)</f>
        <v>-6.786364492435204E-2</v>
      </c>
      <c r="AK94" s="120">
        <f ca="1">IF(AA94="-","-",+(D94/AA94)-1)</f>
        <v>-8.3569929638316331E-2</v>
      </c>
      <c r="AM94" s="49" t="str">
        <f>IF(AL94=0,"-",+AL94/Z94-1)</f>
        <v>-</v>
      </c>
      <c r="AN94" s="28">
        <f ca="1">+D94/Y94-1</f>
        <v>-0.10023027511816762</v>
      </c>
      <c r="AO94" s="75">
        <f ca="1">VLOOKUP(Tabla2[[#This Row],[TCKR]],'2026'!$D$5:$AH$257,8,FALSE)</f>
        <v>120</v>
      </c>
      <c r="AP94" s="193">
        <f ca="1">VLOOKUP(Tabla2[[#This Row],[TCKR]],'2026'!$D$5:$AH$257,26,FALSE)</f>
        <v>-1342.5049969650677</v>
      </c>
      <c r="AQ94" s="5" cm="1">
        <f t="array" aca="1" ref="AQ94" ca="1">_FV(Tabla2[[#This Row],[valor]],"P/E",TRUE)</f>
        <v>18.429099999999998</v>
      </c>
      <c r="AR94" s="4"/>
      <c r="AT94" s="193">
        <f ca="1">+Tabla2[[#This Row],[Titulos2]]*Tabla2[[#This Row],[Neto]]</f>
        <v>0</v>
      </c>
      <c r="AU94" s="28">
        <f ca="1">+Tabla2[[#This Row],[Neto]]/Tabla2[[#This Row],[Precio compra2]]</f>
        <v>0</v>
      </c>
    </row>
    <row r="95" spans="1:47" ht="16" customHeight="1" x14ac:dyDescent="0.2">
      <c r="A95" s="306" t="e" vm="74">
        <v>#VALUE!</v>
      </c>
      <c r="B95" s="75" t="str" cm="1">
        <f t="array" aca="1" ref="B95" ca="1">_FV(A95,"Ticker symbol",TRUE)</f>
        <v>FNTN</v>
      </c>
      <c r="C95" s="217" cm="1">
        <f t="array" aca="1" ref="C95" ca="1">_FV(A95,"Change (%)",TRUE)</f>
        <v>-1.1773E-2</v>
      </c>
      <c r="D95" s="144" cm="1">
        <f t="array" aca="1" ref="D95" ca="1">_FV(A95,"Price")</f>
        <v>26.86</v>
      </c>
      <c r="E95" s="307">
        <f ca="1">AE95</f>
        <v>0.29002233804914379</v>
      </c>
      <c r="F95" s="321">
        <f ca="1">+Tabla2[[#This Row],[Rentab. Parcial]]</f>
        <v>-5.9523809523809534E-2</v>
      </c>
      <c r="G95" s="321">
        <f ca="1">+Tabla2[[#This Row],[Rentab. Parcial2]]</f>
        <v>-5.9523809523809534E-2</v>
      </c>
      <c r="H95" s="253">
        <f ca="1">+Tabla2[[#This Row],[Difer. Investing]]</f>
        <v>0.39240506329113911</v>
      </c>
      <c r="I95" s="79">
        <f>+Tabla2[[#This Row],[Objetivo div2]]</f>
        <v>34.65</v>
      </c>
      <c r="J95" s="75" cm="1">
        <f t="array" aca="1" ref="J95" ca="1">_FV(A95,"High")</f>
        <v>27.36</v>
      </c>
      <c r="K95" s="75" cm="1">
        <f t="array" aca="1" ref="K95" ca="1">_FV(A95,"Low")</f>
        <v>26.52</v>
      </c>
      <c r="L95" s="75" cm="1">
        <f t="array" aca="1" ref="L95" ca="1">_FV(Tabla2[[#This Row],[valor]],"52 week high",TRUE)</f>
        <v>37.799999999999997</v>
      </c>
      <c r="M95" s="75">
        <f ca="1">+L95*0.9</f>
        <v>34.019999999999996</v>
      </c>
      <c r="N95" s="75">
        <f ca="1">+L95*0.95</f>
        <v>35.909999999999997</v>
      </c>
      <c r="O95" s="75" cm="1">
        <f t="array" aca="1" ref="O95" ca="1">_FV(A95,"52 week low",TRUE)</f>
        <v>13.67</v>
      </c>
      <c r="P95" s="220">
        <f ca="1">+TODAY()-Tabla2[[#This Row],[F. compra]]</f>
        <v>148</v>
      </c>
      <c r="Q95" s="220">
        <f ca="1">GESTEP(D95,M95)</f>
        <v>0</v>
      </c>
      <c r="R95" s="220">
        <f ca="1">GESTEP(D95,N95)</f>
        <v>0</v>
      </c>
      <c r="S95" s="75" t="s">
        <v>75</v>
      </c>
      <c r="T95" s="110" t="s">
        <v>78</v>
      </c>
      <c r="U95" s="110" t="s">
        <v>26</v>
      </c>
      <c r="V95" s="16">
        <v>45992</v>
      </c>
      <c r="W95" s="16">
        <v>45992</v>
      </c>
      <c r="X95" s="80" t="s">
        <v>296</v>
      </c>
      <c r="Y95" s="79">
        <v>28.56</v>
      </c>
      <c r="Z95" s="79">
        <v>28.56</v>
      </c>
      <c r="AA95" s="79">
        <v>28.56</v>
      </c>
      <c r="AB95" s="79"/>
      <c r="AC95" s="79">
        <v>34.65</v>
      </c>
      <c r="AD95" s="82">
        <f>+Tabla2[[#This Row],[Objetivo div2]]+Tabla2[[#This Row],[Div.]]</f>
        <v>34.65</v>
      </c>
      <c r="AE95" s="307">
        <f ca="1">IF(Z95="-",+AC95/Y95-1,AC95/D95-1)</f>
        <v>0.29002233804914379</v>
      </c>
      <c r="AF95" s="76">
        <v>37.4</v>
      </c>
      <c r="AG95" s="253">
        <f ca="1">IF(Z95="-",+AF95/D95-1,AF95/D95-1)</f>
        <v>0.39240506329113911</v>
      </c>
      <c r="AH95" s="76">
        <v>25.88</v>
      </c>
      <c r="AI95" s="147">
        <f ca="1">IF(Z95="-",AH95/Y95-1,+AH95/D95-1)</f>
        <v>-3.6485480268056647E-2</v>
      </c>
      <c r="AJ95" s="121">
        <f ca="1">IF(Z95="-","-",+(D95/Z95)-1)</f>
        <v>-5.9523809523809534E-2</v>
      </c>
      <c r="AK95" s="120">
        <f ca="1">IF(AA95="-","-",+(D95/AA95)-1)</f>
        <v>-5.9523809523809534E-2</v>
      </c>
      <c r="AM95" s="49" t="str">
        <f>IF(AL95=0,"-",+AL95/Z95-1)</f>
        <v>-</v>
      </c>
      <c r="AN95" s="28">
        <f ca="1">+D95/Y95-1</f>
        <v>-5.9523809523809534E-2</v>
      </c>
      <c r="AO95" s="75">
        <f ca="1">VLOOKUP(Tabla2[[#This Row],[TCKR]],'2026'!$D$5:$AH$257,8,FALSE)</f>
        <v>450</v>
      </c>
      <c r="AP95" s="193">
        <f ca="1">VLOOKUP(Tabla2[[#This Row],[TCKR]],'2026'!$D$5:$AH$257,26,FALSE)</f>
        <v>-628.18709652266205</v>
      </c>
      <c r="AQ95" s="5" cm="1">
        <f t="array" aca="1" ref="AQ95" ca="1">_FV(Tabla2[[#This Row],[valor]],"P/E",TRUE)</f>
        <v>11.87</v>
      </c>
      <c r="AR95" s="4"/>
      <c r="AT95" s="193">
        <f ca="1">+Tabla2[[#This Row],[Titulos2]]*Tabla2[[#This Row],[Neto]]</f>
        <v>0</v>
      </c>
      <c r="AU95" s="28">
        <f>+Tabla2[[#This Row],[Neto]]/Tabla2[[#This Row],[Precio compra2]]</f>
        <v>0</v>
      </c>
    </row>
    <row r="96" spans="1:47" ht="16" customHeight="1" x14ac:dyDescent="0.2">
      <c r="A96" s="75" t="e" vm="51">
        <v>#VALUE!</v>
      </c>
      <c r="B96" s="75" t="str" cm="1">
        <f t="array" aca="1" ref="B96" ca="1">_FV(A96,"Ticker symbol",TRUE)</f>
        <v>AMV0</v>
      </c>
      <c r="C96" s="217" cm="1">
        <f t="array" aca="1" ref="C96" ca="1">_FV(A96,"Change (%)",TRUE)</f>
        <v>2.0297999999999997E-2</v>
      </c>
      <c r="D96" s="144" cm="1">
        <f t="array" aca="1" ref="D96" ca="1">_FV(A96,"Price")</f>
        <v>37.700000000000003</v>
      </c>
      <c r="E96" s="159">
        <f ca="1">AE96</f>
        <v>0.27320954907161799</v>
      </c>
      <c r="F96" s="321">
        <f ca="1">+Tabla2[[#This Row],[Rentab. Parcial]]</f>
        <v>0.10298420128730257</v>
      </c>
      <c r="G96" s="321">
        <f ca="1">+Tabla2[[#This Row],[Rentab. Parcial2]]</f>
        <v>0.10298420128730257</v>
      </c>
      <c r="H96" s="253">
        <f ca="1">+Tabla2[[#This Row],[Difer. Investing]]</f>
        <v>0.56233421750663104</v>
      </c>
      <c r="I96" s="79">
        <f>+Tabla2[[#This Row],[Objetivo div2]]</f>
        <v>48</v>
      </c>
      <c r="J96" s="75" cm="1">
        <f t="array" aca="1" ref="J96" ca="1">_FV(A96,"High")</f>
        <v>37.700000000000003</v>
      </c>
      <c r="K96" s="75" cm="1">
        <f t="array" aca="1" ref="K96" ca="1">_FV(A96,"Low")</f>
        <v>35.85</v>
      </c>
      <c r="L96" s="75" t="e" cm="1" vm="224">
        <f t="array" ref="L96">_FV(Tabla2[[#This Row],[valor]],"52 week high",TRUE)</f>
        <v>#VALUE!</v>
      </c>
      <c r="M96" s="75" t="e" vm="225">
        <f>+L96*0.9</f>
        <v>#VALUE!</v>
      </c>
      <c r="N96" s="75" t="e" vm="225">
        <f>+L96*0.95</f>
        <v>#VALUE!</v>
      </c>
      <c r="O96" s="75" t="e" cm="1" vm="226">
        <f t="array" ref="O96">_FV(A96,"52 week low",TRUE)</f>
        <v>#VALUE!</v>
      </c>
      <c r="P96" s="220">
        <f ca="1">+TODAY()-Tabla2[[#This Row],[F. compra]]</f>
        <v>223</v>
      </c>
      <c r="Q96" s="220" t="e" vm="225">
        <f>GESTEP(D96,M96)</f>
        <v>#VALUE!</v>
      </c>
      <c r="R96" s="220" t="e" vm="225">
        <f>GESTEP(D96,N96)</f>
        <v>#VALUE!</v>
      </c>
      <c r="S96" s="75" t="s">
        <v>75</v>
      </c>
      <c r="T96" s="110" t="s">
        <v>136</v>
      </c>
      <c r="U96" s="110" t="s">
        <v>26</v>
      </c>
      <c r="V96" s="16">
        <v>45917</v>
      </c>
      <c r="W96" s="16">
        <f>+V96</f>
        <v>45917</v>
      </c>
      <c r="X96" s="80"/>
      <c r="Y96" s="79" t="s">
        <v>11</v>
      </c>
      <c r="Z96" s="79">
        <v>34.18</v>
      </c>
      <c r="AA96" s="79">
        <f>+Tabla2[[#This Row],[Precio compra]]+Tabla2[[#This Row],[Div.]]</f>
        <v>34.18</v>
      </c>
      <c r="AB96" s="96"/>
      <c r="AC96" s="79">
        <v>48</v>
      </c>
      <c r="AD96" s="79">
        <v>48</v>
      </c>
      <c r="AE96" s="159">
        <f ca="1">IF(Z96="-",+AC96/Y96-1,AC96/D96-1)</f>
        <v>0.27320954907161799</v>
      </c>
      <c r="AF96" s="81">
        <v>58.9</v>
      </c>
      <c r="AG96" s="253">
        <f ca="1">IF(Z96="-",+AF96/D96-1,AF96/D96-1)</f>
        <v>0.56233421750663104</v>
      </c>
      <c r="AH96" s="81"/>
      <c r="AI96" s="147">
        <f ca="1">IF(Z96="-",AH96/Y96-1,+AH96/D96-1)</f>
        <v>-1</v>
      </c>
      <c r="AJ96" s="121">
        <f ca="1">IF(Z96="-","-",+(D96/Z96)-1)</f>
        <v>0.10298420128730257</v>
      </c>
      <c r="AK96" s="120">
        <f ca="1">IF(AA96="-","-",+(D96/AA96)-1)</f>
        <v>0.10298420128730257</v>
      </c>
      <c r="AM96" s="49" t="str">
        <f>IF(AL96=0,"-",+AL96/Z96-1)</f>
        <v>-</v>
      </c>
      <c r="AN96" s="28" t="e">
        <f ca="1">+D96/Y96-1</f>
        <v>#VALUE!</v>
      </c>
      <c r="AO96" s="75">
        <f ca="1">VLOOKUP(Tabla2[[#This Row],[TCKR]],'2026'!$D$5:$AH$257,8,FALSE)</f>
        <v>75</v>
      </c>
      <c r="AP96" s="193">
        <f ca="1">VLOOKUP(Tabla2[[#This Row],[TCKR]],'2026'!$D$5:$AH$257,26,FALSE)</f>
        <v>545.21898943476322</v>
      </c>
      <c r="AQ96" s="5" t="e" cm="1" vm="221">
        <f t="array" ref="AQ96">_FV(Tabla2[[#This Row],[valor]],"P/E",TRUE)</f>
        <v>#VALUE!</v>
      </c>
      <c r="AR96" s="4"/>
      <c r="AT96" s="193">
        <f ca="1">+Tabla2[[#This Row],[Titulos2]]*Tabla2[[#This Row],[Neto]]</f>
        <v>0</v>
      </c>
      <c r="AU96" s="28">
        <f>+Tabla2[[#This Row],[Neto]]/Tabla2[[#This Row],[Precio compra2]]</f>
        <v>0</v>
      </c>
    </row>
    <row r="97" spans="1:47" ht="16" customHeight="1" x14ac:dyDescent="0.2">
      <c r="A97" s="323" t="e" vm="171">
        <v>#VALUE!</v>
      </c>
      <c r="B97" s="75" t="str" cm="1">
        <f t="array" aca="1" ref="B97" ca="1">_FV(A97,"Ticker symbol",TRUE)</f>
        <v>HNST</v>
      </c>
      <c r="C97" s="217" cm="1">
        <f t="array" aca="1" ref="C97" ca="1">_FV(A97,"Change (%)",TRUE)</f>
        <v>-2.521E-2</v>
      </c>
      <c r="D97" s="144" cm="1">
        <f t="array" aca="1" ref="D97" ca="1">_FV(A97,"Price")</f>
        <v>3.48</v>
      </c>
      <c r="E97" s="159">
        <f ca="1">AE97</f>
        <v>0.32183908045976994</v>
      </c>
      <c r="F97" s="321">
        <f ca="1">+Tabla2[[#This Row],[Rentab. Parcial]]</f>
        <v>-6.9518716577540163E-2</v>
      </c>
      <c r="G97" s="321">
        <f ca="1">+Tabla2[[#This Row],[Rentab. Parcial2]]</f>
        <v>-6.9518716577540163E-2</v>
      </c>
      <c r="H97" s="253">
        <f ca="1">+Tabla2[[#This Row],[Difer. Investing]]</f>
        <v>1.0574712643678161</v>
      </c>
      <c r="I97" s="79">
        <f>+Tabla2[[#This Row],[Objetivo div2]]</f>
        <v>4.5999999999999996</v>
      </c>
      <c r="J97" s="75" cm="1">
        <f t="array" aca="1" ref="J97" ca="1">_FV(A97,"High")</f>
        <v>3.5950000000000002</v>
      </c>
      <c r="K97" s="75" cm="1">
        <f t="array" aca="1" ref="K97" ca="1">_FV(A97,"Low")</f>
        <v>3.4750000000000001</v>
      </c>
      <c r="L97" s="75" cm="1">
        <f t="array" aca="1" ref="L97" ca="1">_FV(Tabla2[[#This Row],[valor]],"52 week high",TRUE)</f>
        <v>5.5452000000000004</v>
      </c>
      <c r="M97" s="75">
        <f ca="1">+Tabla2[[#This Row],[52 high]]*0.9</f>
        <v>4.9906800000000002</v>
      </c>
      <c r="N97" s="75">
        <f ca="1">+Tabla2[[#This Row],[52 high]]*0.95</f>
        <v>5.2679400000000003</v>
      </c>
      <c r="O97" s="75" cm="1">
        <f t="array" aca="1" ref="O97" ca="1">_FV(Tabla2[[#This Row],[valor]],"52 week low",TRUE)</f>
        <v>2.0699999999999998</v>
      </c>
      <c r="P97" s="220">
        <f ca="1">+TODAY()-Tabla2[[#This Row],[F. compra]]</f>
        <v>560</v>
      </c>
      <c r="Q97" s="220">
        <f ca="1">GESTEP(Tabla2[[#This Row],[price]],Tabla2[[#This Row],[HIGH 10%]])</f>
        <v>0</v>
      </c>
      <c r="R97" s="220">
        <f ca="1">GESTEP(Tabla2[[#This Row],[price]],Tabla2[[#This Row],[HIGH 5%]])</f>
        <v>0</v>
      </c>
      <c r="S97" s="75" t="s">
        <v>76</v>
      </c>
      <c r="T97" s="110" t="s">
        <v>78</v>
      </c>
      <c r="U97" s="110" t="s">
        <v>26</v>
      </c>
      <c r="V97" s="16">
        <v>45580</v>
      </c>
      <c r="W97" s="16">
        <v>45580</v>
      </c>
      <c r="X97" s="80" t="s">
        <v>11</v>
      </c>
      <c r="Y97" s="79">
        <v>3.74</v>
      </c>
      <c r="Z97" s="79">
        <v>3.74</v>
      </c>
      <c r="AA97" s="79">
        <f>+Tabla2[[#This Row],[Precio compra]]+Tabla2[[#This Row],[Div.]]</f>
        <v>3.74</v>
      </c>
      <c r="AB97" s="96"/>
      <c r="AC97" s="79">
        <v>4.5999999999999996</v>
      </c>
      <c r="AD97" s="79">
        <f>+Tabla2[[#This Row],[Objetivo div2]]+Tabla2[[#This Row],[Div.]]</f>
        <v>4.5999999999999996</v>
      </c>
      <c r="AE97" s="159">
        <f ca="1">IF(Z97="-",+AC97/Y97-1,AC97/D97-1)</f>
        <v>0.32183908045976994</v>
      </c>
      <c r="AF97" s="81">
        <v>7.16</v>
      </c>
      <c r="AG97" s="253">
        <f ca="1">IF(Z97="-",+AF97/D97-1,AF97/D97-1)</f>
        <v>1.0574712643678161</v>
      </c>
      <c r="AH97" s="81">
        <v>3.31</v>
      </c>
      <c r="AI97" s="147">
        <f ca="1">IF(Z97="-",AH97/Y97-1,+AH97/D97-1)</f>
        <v>-4.8850574712643646E-2</v>
      </c>
      <c r="AJ97" s="121">
        <f ca="1">IF(Z97="-","-",+(D97/Z97)-1)</f>
        <v>-6.9518716577540163E-2</v>
      </c>
      <c r="AK97" s="120">
        <f ca="1">IF(AA97="-","-",+(D97/AA97)-1)</f>
        <v>-6.9518716577540163E-2</v>
      </c>
      <c r="AM97" s="49" t="str">
        <f>IF(AL97=0,"-",+AL97/Z97-1)</f>
        <v>-</v>
      </c>
      <c r="AN97" s="28">
        <f ca="1">+D97/Y97-1</f>
        <v>-6.9518716577540163E-2</v>
      </c>
      <c r="AO97" s="75">
        <f ca="1">VLOOKUP(Tabla2[[#This Row],[TCKR]],'2026'!$D$5:$AH$257,8,FALSE)</f>
        <v>1657</v>
      </c>
      <c r="AP97" s="193">
        <f ca="1">VLOOKUP(Tabla2[[#This Row],[TCKR]],'2026'!$D$5:$AH$257,26,FALSE)</f>
        <v>-637.51954517067657</v>
      </c>
      <c r="AQ97" s="5" cm="1">
        <f t="array" aca="1" ref="AQ97" ca="1">_FV(Tabla2[[#This Row],[valor]],"P/E",TRUE)</f>
        <v>0</v>
      </c>
      <c r="AR97" s="4"/>
      <c r="AT97" s="193">
        <f ca="1">+Tabla2[[#This Row],[Titulos2]]*Tabla2[[#This Row],[Neto]]</f>
        <v>0</v>
      </c>
      <c r="AU97" s="28">
        <f>+Tabla2[[#This Row],[Neto]]/Tabla2[[#This Row],[Precio compra2]]</f>
        <v>0</v>
      </c>
    </row>
    <row r="98" spans="1:47" ht="16" customHeight="1" x14ac:dyDescent="0.2">
      <c r="A98" s="179" t="e" vm="65">
        <v>#VALUE!</v>
      </c>
      <c r="B98" s="75" t="str" cm="1">
        <f t="array" aca="1" ref="B98" ca="1">_FV(A98,"Ticker symbol",TRUE)</f>
        <v>ENXB</v>
      </c>
      <c r="C98" s="217" cm="1">
        <f t="array" aca="1" ref="C98" ca="1">_FV(A98,"Change (%)",TRUE)</f>
        <v>4.8509999999999994E-3</v>
      </c>
      <c r="D98" s="144" cm="1">
        <f t="array" aca="1" ref="D98" ca="1">_FV(A98,"Price")</f>
        <v>145</v>
      </c>
      <c r="E98" s="289">
        <f>AE98</f>
        <v>0.29485179407176298</v>
      </c>
      <c r="F98" s="321">
        <f ca="1">+Tabla2[[#This Row],[Rentab. Parcial]]</f>
        <v>0.13104524180967259</v>
      </c>
      <c r="G98" s="321">
        <f ca="1">+Tabla2[[#This Row],[Rentab. Parcial2]]</f>
        <v>0.13104524180967259</v>
      </c>
      <c r="H98" s="253">
        <f ca="1">+Tabla2[[#This Row],[Difer. Investing]]</f>
        <v>2.0758620689655061E-2</v>
      </c>
      <c r="I98" s="79">
        <f>+Tabla2[[#This Row],[Objetivo div2]]</f>
        <v>166</v>
      </c>
      <c r="J98" s="75" cm="1">
        <f t="array" aca="1" ref="J98" ca="1">_FV(A98,"High")</f>
        <v>145</v>
      </c>
      <c r="K98" s="75" cm="1">
        <f t="array" aca="1" ref="K98" ca="1">_FV(A98,"Low")</f>
        <v>145</v>
      </c>
      <c r="L98" s="75" t="e" cm="1" vm="224">
        <f t="array" ref="L98">_FV(A98,"52 week high",TRUE)</f>
        <v>#VALUE!</v>
      </c>
      <c r="M98" s="75" t="e" vm="225">
        <f>+L98*0.9</f>
        <v>#VALUE!</v>
      </c>
      <c r="N98" s="75" t="e" vm="225">
        <f>+L98*0.95</f>
        <v>#VALUE!</v>
      </c>
      <c r="O98" s="75" t="e" cm="1" vm="226">
        <f t="array" ref="O98">_FV(A98,"52 week low",TRUE)</f>
        <v>#VALUE!</v>
      </c>
      <c r="P98" s="220">
        <f ca="1">+TODAY()-Tabla2[[#This Row],[F. compra]]</f>
        <v>64</v>
      </c>
      <c r="Q98" s="220" t="e" vm="225">
        <f>GESTEP(D98,M98)</f>
        <v>#VALUE!</v>
      </c>
      <c r="R98" s="220" t="e" vm="225">
        <f>GESTEP(D98,N98)</f>
        <v>#VALUE!</v>
      </c>
      <c r="S98" s="75" t="s">
        <v>75</v>
      </c>
      <c r="T98" s="110" t="s">
        <v>78</v>
      </c>
      <c r="U98" s="110" t="s">
        <v>26</v>
      </c>
      <c r="V98" s="16">
        <v>46076</v>
      </c>
      <c r="W98" s="16">
        <v>46076</v>
      </c>
      <c r="X98" s="80" t="s">
        <v>391</v>
      </c>
      <c r="Y98" s="79">
        <v>128.19999999999999</v>
      </c>
      <c r="Z98" s="79">
        <v>128.19999999999999</v>
      </c>
      <c r="AA98" s="79">
        <v>128.19999999999999</v>
      </c>
      <c r="AB98" s="79"/>
      <c r="AC98" s="79">
        <v>166</v>
      </c>
      <c r="AD98" s="79">
        <f>+Tabla2[[#This Row],[Objetivo div2]]</f>
        <v>166</v>
      </c>
      <c r="AE98" s="289">
        <f>IF(Z98="-",+AC98/Y98-1,AC98/Y98-1)</f>
        <v>0.29485179407176298</v>
      </c>
      <c r="AF98" s="76">
        <v>148.01</v>
      </c>
      <c r="AG98" s="253">
        <f ca="1">IF(Z98="-",+AF98/D98-1,AF98/D98-1)</f>
        <v>2.0758620689655061E-2</v>
      </c>
      <c r="AH98" s="76">
        <v>109.8</v>
      </c>
      <c r="AI98" s="147">
        <f ca="1">IF(Z98="-",AH98/Y98-1,+AH98/D98-1)</f>
        <v>-0.24275862068965515</v>
      </c>
      <c r="AJ98" s="121">
        <f ca="1">IF(Z98="-","-",+(D98/Z98)-1)</f>
        <v>0.13104524180967259</v>
      </c>
      <c r="AK98" s="120">
        <f ca="1">IF(AA98="-","-",+(D98/AA98)-1)</f>
        <v>0.13104524180967259</v>
      </c>
      <c r="AM98" s="49" t="str">
        <f>IF(AL98=0,"-",+AL98/Z98-1)</f>
        <v>-</v>
      </c>
      <c r="AN98" s="28">
        <f ca="1">+D98/Y98-1</f>
        <v>0.13104524180967259</v>
      </c>
      <c r="AO98" s="75"/>
      <c r="AP98" s="193"/>
      <c r="AR98" s="4"/>
      <c r="AU98" s="28"/>
    </row>
    <row r="99" spans="1:47" ht="16" customHeight="1" x14ac:dyDescent="0.2">
      <c r="A99" s="325" t="e" vm="117">
        <v>#VALUE!</v>
      </c>
      <c r="B99" s="325" t="str" cm="1">
        <f t="array" aca="1" ref="B99" ca="1">_FV(A99,"Ticker symbol",TRUE)</f>
        <v>MSTR</v>
      </c>
      <c r="C99" s="217" cm="1">
        <f t="array" aca="1" ref="C99" ca="1">_FV(A99,"Change (%)",TRUE)</f>
        <v>-1.0642E-2</v>
      </c>
      <c r="D99" s="144" cm="1">
        <f t="array" aca="1" ref="D99" ca="1">_FV(A99,"Price")</f>
        <v>169.2</v>
      </c>
      <c r="E99" s="289">
        <f ca="1">AE99</f>
        <v>0.30195035460992914</v>
      </c>
      <c r="F99" s="321">
        <f ca="1">+Tabla2[[#This Row],[Rentab. Parcial]]</f>
        <v>-6.6379738453898329E-2</v>
      </c>
      <c r="G99" s="321">
        <f ca="1">+Tabla2[[#This Row],[Rentab. Parcial2]]</f>
        <v>-6.6379738453898329E-2</v>
      </c>
      <c r="H99" s="253">
        <f ca="1">+Tabla2[[#This Row],[Difer. Investing]]</f>
        <v>1.8900709219858158</v>
      </c>
      <c r="I99" s="79">
        <f>+Tabla2[[#This Row],[Objetivo div2]]</f>
        <v>220.29</v>
      </c>
      <c r="J99" s="75" cm="1">
        <f t="array" aca="1" ref="J99" ca="1">_FV(A99,"High")</f>
        <v>175.75</v>
      </c>
      <c r="K99" s="75" cm="1">
        <f t="array" aca="1" ref="K99" ca="1">_FV(A99,"Low")</f>
        <v>167.61</v>
      </c>
      <c r="L99" s="75" cm="1">
        <f t="array" aca="1" ref="L99" ca="1">_FV(Tabla2[[#This Row],[valor]],"52 week high",TRUE)</f>
        <v>457.22</v>
      </c>
      <c r="M99" s="75">
        <f ca="1">+L99*0.9</f>
        <v>411.49800000000005</v>
      </c>
      <c r="N99" s="75">
        <f ca="1">+L99*0.95</f>
        <v>434.35899999999998</v>
      </c>
      <c r="O99" s="75" cm="1">
        <f t="array" aca="1" ref="O99" ca="1">_FV(A99,"52 week low",TRUE)</f>
        <v>104.16500000000001</v>
      </c>
      <c r="P99" s="220">
        <f ca="1">+TODAY()-Tabla2[[#This Row],[F. compra]]</f>
        <v>104</v>
      </c>
      <c r="Q99" s="220">
        <f ca="1">GESTEP(D99,M99)</f>
        <v>0</v>
      </c>
      <c r="R99" s="220">
        <f ca="1">GESTEP(D99,N99)</f>
        <v>0</v>
      </c>
      <c r="S99" s="75" t="s">
        <v>166</v>
      </c>
      <c r="T99" s="110" t="s">
        <v>78</v>
      </c>
      <c r="U99" s="110" t="s">
        <v>199</v>
      </c>
      <c r="V99" s="16">
        <v>46036</v>
      </c>
      <c r="W99" s="16">
        <v>46036</v>
      </c>
      <c r="X99" s="80"/>
      <c r="Y99" s="79">
        <v>174.01</v>
      </c>
      <c r="Z99" s="79">
        <v>181.23</v>
      </c>
      <c r="AA99" s="79">
        <v>181.23</v>
      </c>
      <c r="AB99" s="79"/>
      <c r="AC99" s="79">
        <v>220.29</v>
      </c>
      <c r="AD99" s="79">
        <f>+Tabla2[[#This Row],[Objetivo div2]]+Tabla2[[#This Row],[Div.]]</f>
        <v>220.29</v>
      </c>
      <c r="AE99" s="289">
        <f ca="1">IF(Z99="-",+AC99/Y99-1,AC99/D99-1)</f>
        <v>0.30195035460992914</v>
      </c>
      <c r="AF99" s="76">
        <v>489</v>
      </c>
      <c r="AG99" s="253">
        <f ca="1">IF(Z99="-",+AF99/D99-1,AF99/D99-1)</f>
        <v>1.8900709219858158</v>
      </c>
      <c r="AH99" s="76">
        <v>150.88</v>
      </c>
      <c r="AI99" s="147">
        <f ca="1">IF(Z99="-",AH99/Y99-1,+AH99/D99-1)</f>
        <v>-0.10827423167848693</v>
      </c>
      <c r="AJ99" s="121">
        <f ca="1">IF(Z99="-","-",+(D99/Z99)-1)</f>
        <v>-6.6379738453898329E-2</v>
      </c>
      <c r="AK99" s="120">
        <f ca="1">IF(AA99="-","-",+(D99/AA99)-1)</f>
        <v>-6.6379738453898329E-2</v>
      </c>
      <c r="AM99" s="49" t="str">
        <f>IF(AL99=0,"-",+AL99/Z99-1)</f>
        <v>-</v>
      </c>
      <c r="AN99" s="28">
        <f ca="1">+D99/Y99-1</f>
        <v>-2.764208953508418E-2</v>
      </c>
      <c r="AO99" s="75">
        <f ca="1">VLOOKUP(Tabla2[[#This Row],[TCKR]],'2026'!$D$5:$AH$257,8,FALSE)</f>
        <v>24.83</v>
      </c>
      <c r="AP99" s="193">
        <f ca="1">VLOOKUP(Tabla2[[#This Row],[TCKR]],'2026'!$D$5:$AH$257,26,FALSE)</f>
        <v>-219.46642954181735</v>
      </c>
      <c r="AR99" s="4"/>
      <c r="AU99" s="28"/>
    </row>
    <row r="100" spans="1:47" ht="16" customHeight="1" x14ac:dyDescent="0.2">
      <c r="A100" s="75" t="e" vm="11">
        <v>#VALUE!</v>
      </c>
      <c r="B100" s="75" t="str" cm="1">
        <f t="array" aca="1" ref="B100" ca="1">_FV(A100,"Ticker symbol",TRUE)</f>
        <v>AKZA</v>
      </c>
      <c r="C100" s="217" cm="1">
        <f t="array" aca="1" ref="C100" ca="1">_FV(A100,"Change (%)",TRUE)</f>
        <v>7.4860000000000005E-3</v>
      </c>
      <c r="D100" s="144" cm="1">
        <f t="array" aca="1" ref="D100" ca="1">_FV(A100,"Price")</f>
        <v>51.14</v>
      </c>
      <c r="E100" s="159">
        <f ca="1">AE100</f>
        <v>0.29917872506843946</v>
      </c>
      <c r="F100" s="321">
        <f ca="1">+Tabla2[[#This Row],[Rentab. Parcial]]</f>
        <v>-0.14338358458961475</v>
      </c>
      <c r="G100" s="321">
        <f ca="1">+Tabla2[[#This Row],[Rentab. Parcial2]]</f>
        <v>-0.14965081476554709</v>
      </c>
      <c r="H100" s="253">
        <f ca="1">+Tabla2[[#This Row],[Difer. Investing]]</f>
        <v>0.34923738756355105</v>
      </c>
      <c r="I100" s="79">
        <f>+Tabla2[[#This Row],[Objetivo div2]]</f>
        <v>66.44</v>
      </c>
      <c r="J100" s="75" cm="1">
        <f t="array" aca="1" ref="J100" ca="1">_FV(A100,"High")</f>
        <v>51.46</v>
      </c>
      <c r="K100" s="75" cm="1">
        <f t="array" aca="1" ref="K100" ca="1">_FV(A100,"Low")</f>
        <v>50.68</v>
      </c>
      <c r="L100" s="75" cm="1">
        <f t="array" aca="1" ref="L100" ca="1">_FV(Tabla2[[#This Row],[valor]],"52 week high",TRUE)</f>
        <v>62.74</v>
      </c>
      <c r="M100" s="75">
        <f ca="1">+Tabla2[[#This Row],[52 high]]*0.9</f>
        <v>56.466000000000001</v>
      </c>
      <c r="N100" s="75">
        <f ca="1">+Tabla2[[#This Row],[52 high]]*0.95</f>
        <v>59.603000000000002</v>
      </c>
      <c r="O100" s="75" cm="1">
        <f t="array" aca="1" ref="O100" ca="1">_FV(Tabla2[[#This Row],[valor]],"52 week low",TRUE)</f>
        <v>46.18</v>
      </c>
      <c r="P100" s="220">
        <f ca="1">+TODAY()-Tabla2[[#This Row],[F. compra]]</f>
        <v>585</v>
      </c>
      <c r="Q100" s="220">
        <f ca="1">GESTEP(Tabla2[[#This Row],[price]],Tabla2[[#This Row],[HIGH 10%]])</f>
        <v>0</v>
      </c>
      <c r="R100" s="220">
        <f ca="1">GESTEP(Tabla2[[#This Row],[price]],Tabla2[[#This Row],[HIGH 5%]])</f>
        <v>0</v>
      </c>
      <c r="S100" s="75" t="s">
        <v>76</v>
      </c>
      <c r="T100" s="110" t="s">
        <v>78</v>
      </c>
      <c r="U100" s="110" t="s">
        <v>72</v>
      </c>
      <c r="V100" s="16">
        <v>45555</v>
      </c>
      <c r="W100" s="16">
        <v>45555</v>
      </c>
      <c r="X100" s="80" t="s">
        <v>146</v>
      </c>
      <c r="Y100" s="79">
        <v>60.16</v>
      </c>
      <c r="Z100" s="79">
        <v>59.7</v>
      </c>
      <c r="AA100" s="79">
        <f>+Tabla2[[#This Row],[Precio compra]]+Tabla2[[#This Row],[Div.]]</f>
        <v>60.14</v>
      </c>
      <c r="AB100" s="96">
        <v>0.44</v>
      </c>
      <c r="AC100" s="79">
        <f>66.88-Tabla2[[#This Row],[Div.]]</f>
        <v>66.44</v>
      </c>
      <c r="AD100" s="79">
        <f>+Tabla2[[#This Row],[Objetivo div2]]+Tabla2[[#This Row],[Div.]]</f>
        <v>66.88</v>
      </c>
      <c r="AE100" s="159">
        <f ca="1">IF(Z100="-",+AC100/Y100-1,AC100/D100-1)</f>
        <v>0.29917872506843946</v>
      </c>
      <c r="AF100" s="81">
        <v>69</v>
      </c>
      <c r="AG100" s="253">
        <f ca="1">IF(Z100="-",+AF100/D100-1,AF100/D100-1)</f>
        <v>0.34923738756355105</v>
      </c>
      <c r="AH100" s="81">
        <f>56.88-Tabla2[[#This Row],[Div.]]</f>
        <v>56.440000000000005</v>
      </c>
      <c r="AI100" s="147">
        <f ca="1">IF(Z100="-",AH100/Y100-1,+AH100/D100-1)</f>
        <v>0.10363707469691041</v>
      </c>
      <c r="AJ100" s="121">
        <f ca="1">IF(Z100="-","-",+(D100/Z100)-1)</f>
        <v>-0.14338358458961475</v>
      </c>
      <c r="AK100" s="120">
        <f ca="1">IF(AA100="-","-",+(D100/AA100)-1)</f>
        <v>-0.14965081476554709</v>
      </c>
      <c r="AM100" s="49" t="str">
        <f>IF(AL100=0,"-",+AL100/Z100-1)</f>
        <v>-</v>
      </c>
      <c r="AN100" s="28">
        <f ca="1">+D100/Y100-1</f>
        <v>-0.14993351063829785</v>
      </c>
      <c r="AO100" s="75">
        <f ca="1">VLOOKUP(Tabla2[[#This Row],[TCKR]],'2026'!$D$5:$AH$257,8,FALSE)</f>
        <v>190</v>
      </c>
      <c r="AP100" s="193">
        <f ca="1">VLOOKUP(Tabla2[[#This Row],[TCKR]],'2026'!$D$5:$AH$257,26,FALSE)</f>
        <v>-1297.7792293444274</v>
      </c>
      <c r="AQ100" s="5" cm="1">
        <f t="array" aca="1" ref="AQ100" ca="1">_FV(Tabla2[[#This Row],[valor]],"P/E",TRUE)</f>
        <v>14.4077</v>
      </c>
      <c r="AR100" s="4"/>
      <c r="AT100" s="193">
        <f ca="1">+Tabla2[[#This Row],[Titulos2]]*Tabla2[[#This Row],[Neto]]</f>
        <v>0</v>
      </c>
      <c r="AU100" s="28">
        <f>+Tabla2[[#This Row],[Neto]]/Tabla2[[#This Row],[Precio compra2]]</f>
        <v>0</v>
      </c>
    </row>
    <row r="101" spans="1:47" ht="16" customHeight="1" x14ac:dyDescent="0.2">
      <c r="A101" s="75" t="e" vm="24">
        <v>#VALUE!</v>
      </c>
      <c r="B101" s="75" t="str" cm="1">
        <f t="array" aca="1" ref="B101" ca="1">_FV(A101,"Ticker symbol",TRUE)</f>
        <v>ADX</v>
      </c>
      <c r="C101" s="217" cm="1">
        <f t="array" aca="1" ref="C101" ca="1">_FV(A101,"Change (%)",TRUE)</f>
        <v>9.4720000000000013E-3</v>
      </c>
      <c r="D101" s="144" cm="1">
        <f t="array" aca="1" ref="D101" ca="1">_FV(A101,"Price")</f>
        <v>1.492</v>
      </c>
      <c r="E101" s="159">
        <f ca="1">AE101</f>
        <v>0.30160857908847172</v>
      </c>
      <c r="F101" s="321">
        <f ca="1">+Tabla2[[#This Row],[Rentab. Parcial]]</f>
        <v>-3.2425421530479892E-2</v>
      </c>
      <c r="G101" s="321">
        <f ca="1">+Tabla2[[#This Row],[Rentab. Parcial2]]</f>
        <v>-3.2425421530479892E-2</v>
      </c>
      <c r="H101" s="253">
        <f ca="1">+Tabla2[[#This Row],[Difer. Investing]]</f>
        <v>0.57506702412868638</v>
      </c>
      <c r="I101" s="79">
        <f>+Tabla2[[#This Row],[Objetivo div2]]</f>
        <v>1.9419999999999999</v>
      </c>
      <c r="J101" s="75" cm="1">
        <f t="array" aca="1" ref="J101" ca="1">_FV(A101,"High")</f>
        <v>1.518</v>
      </c>
      <c r="K101" s="75" cm="1">
        <f t="array" aca="1" ref="K101" ca="1">_FV(A101,"Low")</f>
        <v>1.468</v>
      </c>
      <c r="L101" s="75" cm="1">
        <f t="array" aca="1" ref="L101" ca="1">_FV(Tabla2[[#This Row],[valor]],"52 week high",TRUE)</f>
        <v>1.712</v>
      </c>
      <c r="M101" s="75">
        <f ca="1">+L101*0.9</f>
        <v>1.5407999999999999</v>
      </c>
      <c r="N101" s="75">
        <f ca="1">+L101*0.95</f>
        <v>1.6263999999999998</v>
      </c>
      <c r="O101" s="75" cm="1">
        <f t="array" aca="1" ref="O101" ca="1">_FV(A101,"52 week low",TRUE)</f>
        <v>1.196</v>
      </c>
      <c r="P101" s="220">
        <f ca="1">+TODAY()-Tabla2[[#This Row],[F. compra]]</f>
        <v>358</v>
      </c>
      <c r="Q101" s="220">
        <f ca="1">GESTEP(D101,M101)</f>
        <v>0</v>
      </c>
      <c r="R101" s="220">
        <f ca="1">GESTEP(D101,N101)</f>
        <v>0</v>
      </c>
      <c r="S101" s="75" t="s">
        <v>75</v>
      </c>
      <c r="T101" s="110" t="s">
        <v>78</v>
      </c>
      <c r="U101" s="110" t="s">
        <v>72</v>
      </c>
      <c r="V101" s="16">
        <v>45782</v>
      </c>
      <c r="W101" s="16">
        <v>45782</v>
      </c>
      <c r="X101" s="80"/>
      <c r="Y101" s="79">
        <v>1.552</v>
      </c>
      <c r="Z101" s="79">
        <v>1.542</v>
      </c>
      <c r="AA101" s="79">
        <f>+Tabla2[[#This Row],[Precio compra]]+Tabla2[[#This Row],[Div.]]</f>
        <v>1.542</v>
      </c>
      <c r="AB101" s="96"/>
      <c r="AC101" s="79">
        <v>1.9419999999999999</v>
      </c>
      <c r="AD101" s="79">
        <f>+Tabla2[[#This Row],[Objetivo div2]]+Tabla2[[#This Row],[Div.]]</f>
        <v>1.9419999999999999</v>
      </c>
      <c r="AE101" s="159">
        <f ca="1">IF(Z101="-",+AC101/Y101-1,AC101/D101-1)</f>
        <v>0.30160857908847172</v>
      </c>
      <c r="AF101" s="81">
        <v>2.35</v>
      </c>
      <c r="AG101" s="253">
        <f ca="1">IF(Z101="-",+AF101/D101-1,AF101/D101-1)</f>
        <v>0.57506702412868638</v>
      </c>
      <c r="AH101" s="81">
        <v>1.3580000000000001</v>
      </c>
      <c r="AI101" s="147">
        <f ca="1">IF(Z101="-",AH101/Y101-1,+AH101/D101-1)</f>
        <v>-8.9812332439678233E-2</v>
      </c>
      <c r="AJ101" s="121">
        <f ca="1">IF(Z101="-","-",+(D101/Z101)-1)</f>
        <v>-3.2425421530479892E-2</v>
      </c>
      <c r="AK101" s="120">
        <f ca="1">IF(AA101="-","-",+(D101/AA101)-1)</f>
        <v>-3.2425421530479892E-2</v>
      </c>
      <c r="AM101" s="49" t="str">
        <f>IF(AL101=0,"-",+AL101/Z101-1)</f>
        <v>-</v>
      </c>
      <c r="AN101" s="28">
        <f ca="1">+D101/Y101-1</f>
        <v>-3.8659793814433074E-2</v>
      </c>
      <c r="AO101" s="75">
        <f ca="1">VLOOKUP(Tabla2[[#This Row],[TCKR]],'2026'!$D$5:$AH$257,8,FALSE)</f>
        <v>6796</v>
      </c>
      <c r="AP101" s="193">
        <f ca="1">VLOOKUP(Tabla2[[#This Row],[TCKR]],'2026'!$D$5:$AH$257,26,FALSE)</f>
        <v>-293.15397837724373</v>
      </c>
      <c r="AQ101" s="5" cm="1">
        <f t="array" aca="1" ref="AQ101" ca="1">_FV(Tabla2[[#This Row],[valor]],"P/E",TRUE)</f>
        <v>33.976999999999997</v>
      </c>
      <c r="AR101" s="4"/>
      <c r="AT101" s="193">
        <f ca="1">+Tabla2[[#This Row],[Titulos2]]*Tabla2[[#This Row],[Neto]]</f>
        <v>0</v>
      </c>
      <c r="AU101" s="28">
        <f>+Tabla2[[#This Row],[Neto]]/Tabla2[[#This Row],[Precio compra2]]</f>
        <v>0</v>
      </c>
    </row>
    <row r="102" spans="1:47" ht="16" customHeight="1" x14ac:dyDescent="0.2">
      <c r="A102" s="325" t="e" vm="166">
        <v>#VALUE!</v>
      </c>
      <c r="B102" s="75" t="str" cm="1">
        <f t="array" aca="1" ref="B102" ca="1">_FV(A102,"Ticker symbol",TRUE)</f>
        <v>TE</v>
      </c>
      <c r="C102" s="217" cm="1">
        <f t="array" aca="1" ref="C102" ca="1">_FV(A102,"Change (%)",TRUE)</f>
        <v>-3.9740000000000001E-3</v>
      </c>
      <c r="D102" s="144" cm="1">
        <f t="array" aca="1" ref="D102" ca="1">_FV(A102,"Price")</f>
        <v>40.1</v>
      </c>
      <c r="E102" s="289">
        <f ca="1">AE102</f>
        <v>0.30349127182044899</v>
      </c>
      <c r="F102" s="321">
        <f ca="1">+Tabla2[[#This Row],[Rentab. Parcial]]</f>
        <v>8.6720867208672114E-2</v>
      </c>
      <c r="G102" s="321">
        <f ca="1">+Tabla2[[#This Row],[Rentab. Parcial2]]</f>
        <v>8.6720867208672114E-2</v>
      </c>
      <c r="H102" s="253">
        <f ca="1">+Tabla2[[#This Row],[Difer. Investing]]</f>
        <v>0.14239401496259352</v>
      </c>
      <c r="I102" s="79">
        <f>+Tabla2[[#This Row],[Objetivo div2]]</f>
        <v>52.27</v>
      </c>
      <c r="J102" s="75" cm="1">
        <f t="array" aca="1" ref="J102" ca="1">_FV(A102,"High")</f>
        <v>40.94</v>
      </c>
      <c r="K102" s="75" cm="1">
        <f t="array" aca="1" ref="K102" ca="1">_FV(A102,"Low")</f>
        <v>40</v>
      </c>
      <c r="L102" s="75" cm="1">
        <f t="array" aca="1" ref="L102" ca="1">_FV(A102,"52 week high",TRUE)</f>
        <v>42.82</v>
      </c>
      <c r="M102" s="75">
        <f ca="1">+L102*0.9</f>
        <v>38.538000000000004</v>
      </c>
      <c r="N102" s="75">
        <f ca="1">+L102*0.95</f>
        <v>40.678999999999995</v>
      </c>
      <c r="O102" s="75" cm="1">
        <f t="array" aca="1" ref="O102" ca="1">_FV(A102,"52 week low",TRUE)</f>
        <v>28.06</v>
      </c>
      <c r="P102" s="220">
        <f ca="1">+TODAY()-Tabla2[[#This Row],[F. compra]]</f>
        <v>57</v>
      </c>
      <c r="Q102" s="220">
        <f ca="1">GESTEP(D102,M102)</f>
        <v>1</v>
      </c>
      <c r="R102" s="220">
        <f ca="1">GESTEP(D102,N102)</f>
        <v>0</v>
      </c>
      <c r="S102" s="75" t="s">
        <v>75</v>
      </c>
      <c r="T102" s="110" t="s">
        <v>78</v>
      </c>
      <c r="U102" s="110" t="s">
        <v>26</v>
      </c>
      <c r="V102" s="16">
        <v>46083</v>
      </c>
      <c r="W102" s="16">
        <v>46083</v>
      </c>
      <c r="X102" s="80"/>
      <c r="Y102" s="79">
        <v>38.26</v>
      </c>
      <c r="Z102" s="79">
        <v>36.9</v>
      </c>
      <c r="AA102" s="79">
        <v>36.9</v>
      </c>
      <c r="AB102" s="79"/>
      <c r="AC102" s="79">
        <v>52.27</v>
      </c>
      <c r="AD102" s="79">
        <f>+Tabla2[[#This Row],[Objetivo div2]]+Tabla2[[#This Row],[Div.]]</f>
        <v>52.27</v>
      </c>
      <c r="AE102" s="289">
        <f ca="1">IF(Z102="-",+AC102/Y102-1,AC102/D102-1)</f>
        <v>0.30349127182044899</v>
      </c>
      <c r="AF102" s="76">
        <v>45.81</v>
      </c>
      <c r="AG102" s="253">
        <f ca="1">IF(Z102="-",+AF102/D102-1,AF102/D102-1)</f>
        <v>0.14239401496259352</v>
      </c>
      <c r="AH102" s="76">
        <v>32.94</v>
      </c>
      <c r="AI102" s="147">
        <f ca="1">IF(Z102="-",AH102/Y102-1,+AH102/D102-1)</f>
        <v>-0.17855361596009989</v>
      </c>
      <c r="AJ102" s="121">
        <f ca="1">IF(Z102="-","-",+(D102/Z102)-1)</f>
        <v>8.6720867208672114E-2</v>
      </c>
      <c r="AK102" s="120">
        <f ca="1">IF(AA102="-","-",+(D102/AA102)-1)</f>
        <v>8.6720867208672114E-2</v>
      </c>
      <c r="AM102" s="49" t="str">
        <f>IF(AL102=0,"-",+AL102/Z102-1)</f>
        <v>-</v>
      </c>
      <c r="AN102" s="28">
        <f ca="1">+D102/Y102-1</f>
        <v>4.8092002090956765E-2</v>
      </c>
      <c r="AO102" s="75"/>
      <c r="AP102" s="193"/>
      <c r="AR102" s="4"/>
      <c r="AU102" s="28"/>
    </row>
    <row r="103" spans="1:47" ht="16" customHeight="1" x14ac:dyDescent="0.2">
      <c r="A103" s="75" t="e" vm="57">
        <v>#VALUE!</v>
      </c>
      <c r="B103" s="75" t="str" cm="1">
        <f t="array" aca="1" ref="B103" ca="1">_FV(A103,"Ticker symbol",TRUE)</f>
        <v>LHA</v>
      </c>
      <c r="C103" s="217" cm="1">
        <f t="array" aca="1" ref="C103" ca="1">_FV(A103,"Change (%)",TRUE)</f>
        <v>-9.7169999999999999E-3</v>
      </c>
      <c r="D103" s="144" cm="1">
        <f t="array" aca="1" ref="D103" ca="1">_FV(A103,"Price")</f>
        <v>7.3380000000000001</v>
      </c>
      <c r="E103" s="159">
        <f ca="1">AE103</f>
        <v>0.30553284273644055</v>
      </c>
      <c r="F103" s="321">
        <f ca="1">+Tabla2[[#This Row],[Rentab. Parcial]]</f>
        <v>-6.4030612244898033E-2</v>
      </c>
      <c r="G103" s="321">
        <f ca="1">+Tabla2[[#This Row],[Rentab. Parcial2]]</f>
        <v>-9.8525798525798569E-2</v>
      </c>
      <c r="H103" s="253">
        <f ca="1">+Tabla2[[#This Row],[Difer. Investing]]</f>
        <v>0.28100299809212315</v>
      </c>
      <c r="I103" s="79">
        <f>+Tabla2[[#This Row],[Objetivo div2]]</f>
        <v>9.58</v>
      </c>
      <c r="J103" s="75" cm="1">
        <f t="array" aca="1" ref="J103" ca="1">_FV(A103,"High")</f>
        <v>7.3680000000000003</v>
      </c>
      <c r="K103" s="75" cm="1">
        <f t="array" aca="1" ref="K103" ca="1">_FV(A103,"Low")</f>
        <v>7.2</v>
      </c>
      <c r="L103" s="75" cm="1">
        <f t="array" aca="1" ref="L103" ca="1">_FV(Tabla2[[#This Row],[valor]],"52 week high",TRUE)</f>
        <v>29.16</v>
      </c>
      <c r="M103" s="75">
        <f ca="1">+Tabla2[[#This Row],[52 high]]*0.9</f>
        <v>26.244</v>
      </c>
      <c r="N103" s="75">
        <f ca="1">+Tabla2[[#This Row],[52 high]]*0.95</f>
        <v>27.701999999999998</v>
      </c>
      <c r="O103" s="75" cm="1">
        <f t="array" aca="1" ref="O103" ca="1">_FV(Tabla2[[#This Row],[valor]],"52 week low",TRUE)</f>
        <v>5.26</v>
      </c>
      <c r="P103" s="220">
        <f ca="1">+TODAY()-Tabla2[[#This Row],[F. compra]]</f>
        <v>978</v>
      </c>
      <c r="Q103" s="220">
        <f ca="1">GESTEP(Tabla2[[#This Row],[price]],Tabla2[[#This Row],[HIGH 10%]])</f>
        <v>0</v>
      </c>
      <c r="R103" s="220">
        <f ca="1">GESTEP(Tabla2[[#This Row],[price]],Tabla2[[#This Row],[HIGH 5%]])</f>
        <v>0</v>
      </c>
      <c r="S103" s="75" t="s">
        <v>75</v>
      </c>
      <c r="T103" s="110" t="s">
        <v>78</v>
      </c>
      <c r="U103" s="110" t="s">
        <v>26</v>
      </c>
      <c r="V103" s="16">
        <v>45162</v>
      </c>
      <c r="W103" s="16">
        <v>45162</v>
      </c>
      <c r="X103" s="80"/>
      <c r="Y103" s="79"/>
      <c r="Z103" s="79">
        <f>8.14-AB103</f>
        <v>7.8400000000000007</v>
      </c>
      <c r="AA103" s="79">
        <f>+Tabla2[[#This Row],[Precio compra]]+Tabla2[[#This Row],[Div.]]</f>
        <v>8.14</v>
      </c>
      <c r="AB103" s="96">
        <v>0.3</v>
      </c>
      <c r="AC103" s="79">
        <f>9.88-AB103</f>
        <v>9.58</v>
      </c>
      <c r="AD103" s="79">
        <f>+Tabla2[[#This Row],[Objetivo div2]]+Tabla2[[#This Row],[Div.]]</f>
        <v>9.8800000000000008</v>
      </c>
      <c r="AE103" s="159">
        <f ca="1">IF(Z103="-",+AC103/Y103-1,AC103/D103-1)</f>
        <v>0.30553284273644055</v>
      </c>
      <c r="AF103" s="81">
        <v>9.4</v>
      </c>
      <c r="AG103" s="253">
        <f ca="1">IF(Z103="-",+AF103/D103-1,AF103/D103-1)</f>
        <v>0.28100299809212315</v>
      </c>
      <c r="AH103" s="81">
        <f>7.594-AB103</f>
        <v>7.2940000000000005</v>
      </c>
      <c r="AI103" s="147">
        <f ca="1">IF(Z103="-",AH103/Y103-1,+AH103/D103-1)</f>
        <v>-5.9961842463885917E-3</v>
      </c>
      <c r="AJ103" s="121">
        <f ca="1">IF(Z103="-","-",+(D103/Z103)-1)</f>
        <v>-6.4030612244898033E-2</v>
      </c>
      <c r="AK103" s="120">
        <f ca="1">IF(AA103="-","-",+(D103/AA103)-1)</f>
        <v>-9.8525798525798569E-2</v>
      </c>
      <c r="AM103" s="49" t="str">
        <f>IF(AL103=0,"-",+AL103/Z103-1)</f>
        <v>-</v>
      </c>
      <c r="AN103" s="28" t="e">
        <f ca="1">+D103/Y103-1</f>
        <v>#DIV/0!</v>
      </c>
      <c r="AO103" s="75">
        <f ca="1">VLOOKUP(Tabla2[[#This Row],[TCKR]],'2026'!$D$5:$AH$257,8,FALSE)</f>
        <v>1200</v>
      </c>
      <c r="AP103" s="193">
        <f ca="1">VLOOKUP(Tabla2[[#This Row],[TCKR]],'2026'!$D$5:$AH$257,26,FALSE)</f>
        <v>-784.16713784791136</v>
      </c>
      <c r="AQ103" s="5" cm="1">
        <f t="array" aca="1" ref="AQ103" ca="1">_FV(Tabla2[[#This Row],[valor]],"P/E",TRUE)</f>
        <v>6.64</v>
      </c>
      <c r="AR103" s="4"/>
      <c r="AT103" s="193">
        <f ca="1">+Tabla2[[#This Row],[Titulos2]]*Tabla2[[#This Row],[Neto]]</f>
        <v>0</v>
      </c>
      <c r="AU103" s="28">
        <f>+Tabla2[[#This Row],[Neto]]/Tabla2[[#This Row],[Precio compra2]]</f>
        <v>0</v>
      </c>
    </row>
    <row r="104" spans="1:47" ht="16" customHeight="1" x14ac:dyDescent="0.2">
      <c r="A104" s="179" t="e" vm="58">
        <v>#VALUE!</v>
      </c>
      <c r="B104" s="75" t="str" cm="1">
        <f t="array" aca="1" ref="B104" ca="1">_FV(A104,"Ticker symbol",TRUE)</f>
        <v>DB1</v>
      </c>
      <c r="C104" s="217" cm="1">
        <f t="array" aca="1" ref="C104" ca="1">_FV(A104,"Change (%)",TRUE)</f>
        <v>-4.8470000000000006E-3</v>
      </c>
      <c r="D104" s="144" cm="1">
        <f t="array" aca="1" ref="D104" ca="1">_FV(A104,"Price")</f>
        <v>266.89999999999998</v>
      </c>
      <c r="E104" s="289">
        <f>AE104</f>
        <v>0.31914893617021267</v>
      </c>
      <c r="F104" s="321">
        <f ca="1">+Tabla2[[#This Row],[Rentab. Parcial]]</f>
        <v>0.13574468085106384</v>
      </c>
      <c r="G104" s="321">
        <f ca="1">+Tabla2[[#This Row],[Rentab. Parcial2]]</f>
        <v>0.13574468085106384</v>
      </c>
      <c r="H104" s="253">
        <f ca="1">+Tabla2[[#This Row],[Difer. Investing]]</f>
        <v>7.8681153990258768E-3</v>
      </c>
      <c r="I104" s="79">
        <f>+Tabla2[[#This Row],[Objetivo div2]]</f>
        <v>310</v>
      </c>
      <c r="J104" s="75" cm="1">
        <f t="array" aca="1" ref="J104" ca="1">_FV(A104,"High")</f>
        <v>267.5</v>
      </c>
      <c r="K104" s="75" cm="1">
        <f t="array" aca="1" ref="K104" ca="1">_FV(A104,"Low")</f>
        <v>265</v>
      </c>
      <c r="L104" s="75" cm="1">
        <f t="array" aca="1" ref="L104" ca="1">_FV(A104,"52 week high",TRUE)</f>
        <v>294.7</v>
      </c>
      <c r="M104" s="75">
        <f ca="1">+L104*0.9</f>
        <v>265.23</v>
      </c>
      <c r="N104" s="75">
        <f ca="1">+L104*0.95</f>
        <v>279.96499999999997</v>
      </c>
      <c r="O104" s="75" cm="1">
        <f t="array" aca="1" ref="O104" ca="1">_FV(A104,"52 week low",TRUE)</f>
        <v>93.18</v>
      </c>
      <c r="P104" s="220">
        <f ca="1">+TODAY()-Tabla2[[#This Row],[F. compra]]</f>
        <v>47</v>
      </c>
      <c r="Q104" s="220">
        <f ca="1">GESTEP(D104,M104)</f>
        <v>1</v>
      </c>
      <c r="R104" s="220">
        <f ca="1">GESTEP(D104,N104)</f>
        <v>0</v>
      </c>
      <c r="S104" s="75" t="s">
        <v>75</v>
      </c>
      <c r="T104" s="110" t="s">
        <v>77</v>
      </c>
      <c r="U104" s="110" t="s">
        <v>26</v>
      </c>
      <c r="V104" s="16">
        <v>46093</v>
      </c>
      <c r="W104" s="16">
        <v>46093</v>
      </c>
      <c r="X104" s="80"/>
      <c r="Y104" s="79">
        <v>235</v>
      </c>
      <c r="Z104" s="79">
        <v>235</v>
      </c>
      <c r="AA104" s="79">
        <v>235</v>
      </c>
      <c r="AB104" s="79"/>
      <c r="AC104" s="79">
        <v>310</v>
      </c>
      <c r="AD104" s="79">
        <f>+Tabla2[[#This Row],[Objetivo div2]]+Tabla2[[#This Row],[Div.]]</f>
        <v>310</v>
      </c>
      <c r="AE104" s="289">
        <f>IF(Z104="-",+AC104/Y104-1,AC104/Y104-1)</f>
        <v>0.31914893617021267</v>
      </c>
      <c r="AF104" s="76">
        <v>269</v>
      </c>
      <c r="AG104" s="253">
        <f ca="1">IF(Z104="-",+AF104/D104-1,AF104/D104-1)</f>
        <v>7.8681153990258768E-3</v>
      </c>
      <c r="AH104" s="76">
        <v>200</v>
      </c>
      <c r="AI104" s="147">
        <f ca="1">IF(Z104="-",AH104/Y104-1,+AH104/D104-1)</f>
        <v>-0.25065567628325214</v>
      </c>
      <c r="AJ104" s="121">
        <f ca="1">IF(Z104="-","-",+(D104/Z104)-1)</f>
        <v>0.13574468085106384</v>
      </c>
      <c r="AK104" s="120">
        <f ca="1">IF(AA104="-","-",+(D104/AA104)-1)</f>
        <v>0.13574468085106384</v>
      </c>
      <c r="AM104" s="49" t="str">
        <f>IF(AL104=0,"-",+AL104/Z104-1)</f>
        <v>-</v>
      </c>
      <c r="AN104" s="28">
        <f ca="1">+D104/Y104-1</f>
        <v>0.13574468085106384</v>
      </c>
      <c r="AO104" s="75"/>
      <c r="AP104" s="193"/>
      <c r="AR104" s="4"/>
      <c r="AU104" s="28"/>
    </row>
    <row r="105" spans="1:47" ht="16" customHeight="1" x14ac:dyDescent="0.2">
      <c r="A105" s="360" t="e" vm="153">
        <v>#VALUE!</v>
      </c>
      <c r="B105" s="75" t="str" cm="1">
        <f t="array" aca="1" ref="B105" ca="1">_FV(A105,"Ticker symbol",TRUE)</f>
        <v>SIX2</v>
      </c>
      <c r="C105" s="217" cm="1">
        <f t="array" aca="1" ref="C105" ca="1">_FV(A105,"Change (%)",TRUE)</f>
        <v>-4.9540000000000001E-3</v>
      </c>
      <c r="D105" s="144" cm="1">
        <f t="array" aca="1" ref="D105" ca="1">_FV(A105,"Price")</f>
        <v>70.3</v>
      </c>
      <c r="E105" s="356">
        <f>AE105</f>
        <v>0.32094594594594605</v>
      </c>
      <c r="F105" s="321">
        <f ca="1">+Tabla2[[#This Row],[Rentab. Parcial]]</f>
        <v>-5.0000000000000044E-2</v>
      </c>
      <c r="G105" s="321">
        <f ca="1">+Tabla2[[#This Row],[Rentab. Parcial2]]</f>
        <v>-5.0000000000000044E-2</v>
      </c>
      <c r="H105" s="253">
        <f ca="1">+Tabla2[[#This Row],[Difer. Investing]]</f>
        <v>0.37766714082503561</v>
      </c>
      <c r="I105" s="79">
        <v>77</v>
      </c>
      <c r="J105" s="75" cm="1">
        <f t="array" aca="1" ref="J105" ca="1">_FV(A105,"High")</f>
        <v>71.2</v>
      </c>
      <c r="K105" s="75" cm="1">
        <f t="array" aca="1" ref="K105" ca="1">_FV(A105,"Low")</f>
        <v>70.05</v>
      </c>
      <c r="L105" s="75" cm="1">
        <f t="array" aca="1" ref="L105" ca="1">_FV(A105,"52 week high",TRUE)</f>
        <v>98.7</v>
      </c>
      <c r="M105" s="75">
        <f ca="1">+L105*0.9</f>
        <v>88.83</v>
      </c>
      <c r="N105" s="75">
        <f ca="1">+L105*0.95</f>
        <v>93.765000000000001</v>
      </c>
      <c r="O105" s="75" cm="1">
        <f t="array" aca="1" ref="O105" ca="1">_FV(A105,"52 week low",TRUE)</f>
        <v>57.7</v>
      </c>
      <c r="P105" s="220">
        <f ca="1">+TODAY()-Tabla2[[#This Row],[F. compra]]</f>
        <v>14</v>
      </c>
      <c r="Q105" s="220">
        <f ca="1">GESTEP(D105,M105)</f>
        <v>0</v>
      </c>
      <c r="R105" s="220">
        <f ca="1">GESTEP(D105,N105)</f>
        <v>0</v>
      </c>
      <c r="S105" s="75" t="s">
        <v>75</v>
      </c>
      <c r="T105" s="110" t="s">
        <v>78</v>
      </c>
      <c r="U105" s="110" t="s">
        <v>26</v>
      </c>
      <c r="V105" s="16">
        <v>46125</v>
      </c>
      <c r="W105" s="16">
        <v>46126</v>
      </c>
      <c r="X105" s="80" t="s">
        <v>432</v>
      </c>
      <c r="Y105" s="79">
        <v>72.650000000000006</v>
      </c>
      <c r="Z105" s="79">
        <v>74</v>
      </c>
      <c r="AA105" s="79">
        <v>74</v>
      </c>
      <c r="AB105" s="79"/>
      <c r="AC105" s="79">
        <v>97.75</v>
      </c>
      <c r="AD105" s="79">
        <f>+Tabla2[[#This Row],[Objetivo div2]]+Tabla2[[#This Row],[Div.]]</f>
        <v>97.75</v>
      </c>
      <c r="AE105" s="356">
        <f>IF(Z105="",+AC105/Y105-1,AC105/Z105-1)</f>
        <v>0.32094594594594605</v>
      </c>
      <c r="AF105" s="76">
        <v>96.85</v>
      </c>
      <c r="AG105" s="253">
        <f ca="1">IF(Z105="-",+AF105/D105-1,AF105/D105-1)</f>
        <v>0.37766714082503561</v>
      </c>
      <c r="AH105" s="76">
        <v>62.95</v>
      </c>
      <c r="AI105" s="147">
        <f ca="1">IF(Z105="-",AH105/Y105-1,+AH105/D105-1)</f>
        <v>-0.10455192034139393</v>
      </c>
      <c r="AJ105" s="121">
        <f ca="1">IF(Z105="-","-",+(D105/Z105)-1)</f>
        <v>-5.0000000000000044E-2</v>
      </c>
      <c r="AK105" s="120">
        <f ca="1">IF(AA105="-","-",+(D105/AA105)-1)</f>
        <v>-5.0000000000000044E-2</v>
      </c>
      <c r="AM105" s="49" t="str">
        <f>IF(AL105=0,"-",+AL105/Z105-1)</f>
        <v>-</v>
      </c>
      <c r="AN105" s="28">
        <f ca="1">+D105/Y105-1</f>
        <v>-3.2346868547832197E-2</v>
      </c>
      <c r="AO105" s="75"/>
      <c r="AP105" s="193"/>
      <c r="AR105" s="4"/>
      <c r="AU105" s="28"/>
    </row>
    <row r="106" spans="1:47" ht="16" customHeight="1" x14ac:dyDescent="0.2">
      <c r="A106" s="151" t="e" vm="122">
        <v>#VALUE!</v>
      </c>
      <c r="B106" s="75" t="str" cm="1">
        <f t="array" aca="1" ref="B106" ca="1">_FV(A106,"Ticker symbol",TRUE)</f>
        <v>NTGY</v>
      </c>
      <c r="C106" s="217" cm="1">
        <f t="array" aca="1" ref="C106" ca="1">_FV(A106,"Change (%)",TRUE)</f>
        <v>2.1949999999999999E-3</v>
      </c>
      <c r="D106" s="144" cm="1">
        <f t="array" aca="1" ref="D106" ca="1">_FV(A106,"Price")</f>
        <v>27.4</v>
      </c>
      <c r="E106" s="357">
        <f>AE106</f>
        <v>0.32175226586102723</v>
      </c>
      <c r="F106" s="321">
        <f ca="1">+Tabla2[[#This Row],[Rentab. Parcial]]</f>
        <v>3.4743202416918306E-2</v>
      </c>
      <c r="G106" s="321">
        <f ca="1">+Tabla2[[#This Row],[Rentab. Parcial2]]</f>
        <v>3.4743202416918306E-2</v>
      </c>
      <c r="H106" s="253">
        <f ca="1">+Tabla2[[#This Row],[Difer. Investing]]</f>
        <v>-2.1897810218978186E-3</v>
      </c>
      <c r="I106" s="75">
        <v>77</v>
      </c>
      <c r="J106" s="75" cm="1">
        <f t="array" aca="1" ref="J106" ca="1">_FV(A106,"High")</f>
        <v>27.58</v>
      </c>
      <c r="K106" s="75" cm="1">
        <f t="array" aca="1" ref="K106" ca="1">_FV(A106,"Low")</f>
        <v>27.1</v>
      </c>
      <c r="L106" s="75" cm="1">
        <f t="array" aca="1" ref="L106" ca="1">_FV(A106,"52 week high",TRUE)</f>
        <v>27.9</v>
      </c>
      <c r="M106" s="75">
        <f ca="1">+L106*0.9</f>
        <v>25.11</v>
      </c>
      <c r="N106" s="75">
        <f ca="1">+L106*0.95</f>
        <v>26.504999999999999</v>
      </c>
      <c r="O106" s="75" cm="1">
        <f t="array" aca="1" ref="O106" ca="1">_FV(A106,"52 week low",TRUE)</f>
        <v>24.3</v>
      </c>
      <c r="P106" s="220">
        <f ca="1">+TODAY()-Tabla2[[#This Row],[F. compra]]</f>
        <v>21</v>
      </c>
      <c r="Q106" s="220">
        <f ca="1">GESTEP(D106,M106)</f>
        <v>1</v>
      </c>
      <c r="R106" s="220">
        <f ca="1">GESTEP(D106,N106)</f>
        <v>1</v>
      </c>
      <c r="S106" s="75" t="s">
        <v>75</v>
      </c>
      <c r="T106" s="110" t="s">
        <v>77</v>
      </c>
      <c r="U106" s="110" t="s">
        <v>72</v>
      </c>
      <c r="V106" s="4">
        <v>46114</v>
      </c>
      <c r="W106" s="4">
        <v>46119</v>
      </c>
      <c r="X106" s="81"/>
      <c r="Y106" s="75">
        <v>26</v>
      </c>
      <c r="Z106" s="75">
        <v>26.48</v>
      </c>
      <c r="AA106" s="75">
        <v>26.48</v>
      </c>
      <c r="AC106" s="75">
        <v>35</v>
      </c>
      <c r="AD106" s="79">
        <f>+Tabla2[[#This Row],[Objetivo div2]]+Tabla2[[#This Row],[Div.]]</f>
        <v>35</v>
      </c>
      <c r="AE106" s="357">
        <f>IF(Z106="",+AC106/Y106-1,AC106/Z106-1)</f>
        <v>0.32175226586102723</v>
      </c>
      <c r="AF106" s="76">
        <v>27.34</v>
      </c>
      <c r="AG106" s="358">
        <f ca="1">IF(Z106="-",+AF106/D106-1,AF106/D106-1)</f>
        <v>-2.1897810218978186E-3</v>
      </c>
      <c r="AH106" s="76">
        <v>23.75</v>
      </c>
      <c r="AI106" s="359">
        <f ca="1">IF(Z106="-",AH106/Y106-1,+AH106/D106-1)</f>
        <v>-0.13321167883211671</v>
      </c>
      <c r="AJ106" s="121">
        <f ca="1">IF(Z106="-","-",+(D106/Z106)-1)</f>
        <v>3.4743202416918306E-2</v>
      </c>
      <c r="AK106" s="120">
        <f ca="1">IF(AA106="-","-",+(D106/AA106)-1)</f>
        <v>3.4743202416918306E-2</v>
      </c>
      <c r="AM106" s="49" t="str">
        <f>IF(AL106=0,"-",+AL106/Z106-1)</f>
        <v>-</v>
      </c>
      <c r="AN106" s="28">
        <f ca="1">+D106/Y106-1</f>
        <v>5.3846153846153877E-2</v>
      </c>
      <c r="AO106" s="75"/>
      <c r="AP106" s="193"/>
      <c r="AR106" s="4"/>
      <c r="AU106" s="28"/>
    </row>
    <row r="107" spans="1:47" ht="16" customHeight="1" x14ac:dyDescent="0.2">
      <c r="A107" s="323" t="e" vm="182">
        <v>#VALUE!</v>
      </c>
      <c r="B107" s="75" t="str" cm="1">
        <f t="array" aca="1" ref="B107" ca="1">_FV(A107,"Ticker symbol",TRUE)</f>
        <v>VREX</v>
      </c>
      <c r="C107" s="217" cm="1">
        <f t="array" aca="1" ref="C107" ca="1">_FV(A107,"Change (%)",TRUE)</f>
        <v>1.4366E-2</v>
      </c>
      <c r="D107" s="144" cm="1">
        <f t="array" aca="1" ref="D107" ca="1">_FV(A107,"Price")</f>
        <v>12.71</v>
      </c>
      <c r="E107" s="159">
        <f ca="1">AE107</f>
        <v>0.31785995279307633</v>
      </c>
      <c r="F107" s="321">
        <f ca="1">+Tabla2[[#This Row],[Rentab. Parcial]]</f>
        <v>-0.1036671368124118</v>
      </c>
      <c r="G107" s="321">
        <f ca="1">+Tabla2[[#This Row],[Rentab. Parcial2]]</f>
        <v>-0.1036671368124118</v>
      </c>
      <c r="H107" s="253">
        <f ca="1">+Tabla2[[#This Row],[Difer. Investing]]</f>
        <v>0.41620771046420124</v>
      </c>
      <c r="I107" s="79">
        <f>+Tabla2[[#This Row],[Objetivo div2]]</f>
        <v>16.75</v>
      </c>
      <c r="J107" s="75" cm="1">
        <f t="array" aca="1" ref="J107" ca="1">_FV(A107,"High")</f>
        <v>12.73</v>
      </c>
      <c r="K107" s="75" cm="1">
        <f t="array" aca="1" ref="K107" ca="1">_FV(A107,"Low")</f>
        <v>12.34</v>
      </c>
      <c r="L107" s="75" cm="1">
        <f t="array" aca="1" ref="L107" ca="1">_FV(Tabla2[[#This Row],[valor]],"52 week high",TRUE)</f>
        <v>14.565</v>
      </c>
      <c r="M107" s="75">
        <f ca="1">+L107*0.9</f>
        <v>13.108499999999999</v>
      </c>
      <c r="N107" s="75">
        <f ca="1">+L107*0.95</f>
        <v>13.836749999999999</v>
      </c>
      <c r="O107" s="75" cm="1">
        <f t="array" aca="1" ref="O107" ca="1">_FV(A107,"52 week low",TRUE)</f>
        <v>6.76</v>
      </c>
      <c r="P107" s="220">
        <f ca="1">+TODAY()-Tabla2[[#This Row],[F. compra]]</f>
        <v>459</v>
      </c>
      <c r="Q107" s="220">
        <f ca="1">GESTEP(D107,M107)</f>
        <v>0</v>
      </c>
      <c r="R107" s="220">
        <f ca="1">GESTEP(D107,N107)</f>
        <v>0</v>
      </c>
      <c r="S107" s="75" t="s">
        <v>166</v>
      </c>
      <c r="T107" s="110" t="s">
        <v>78</v>
      </c>
      <c r="U107" s="110" t="s">
        <v>26</v>
      </c>
      <c r="V107" s="16">
        <v>45681</v>
      </c>
      <c r="W107" s="16">
        <v>45681</v>
      </c>
      <c r="X107" s="80" t="s">
        <v>11</v>
      </c>
      <c r="Y107" s="79">
        <v>14.31</v>
      </c>
      <c r="Z107" s="79">
        <v>14.18</v>
      </c>
      <c r="AA107" s="79">
        <f>+Tabla2[[#This Row],[Precio compra]]+Tabla2[[#This Row],[Div.]]</f>
        <v>14.18</v>
      </c>
      <c r="AB107" s="96"/>
      <c r="AC107" s="79">
        <v>16.75</v>
      </c>
      <c r="AD107" s="79">
        <f>+Tabla2[[#This Row],[Objetivo div2]]+Tabla2[[#This Row],[Div.]]</f>
        <v>16.75</v>
      </c>
      <c r="AE107" s="159">
        <f ca="1">IF(Z107="-",+AC107/Y107-1,AC107/D107-1)</f>
        <v>0.31785995279307633</v>
      </c>
      <c r="AF107" s="81">
        <v>18</v>
      </c>
      <c r="AG107" s="253">
        <f ca="1">IF(Z107="-",+AF107/D107-1,AF107/D107-1)</f>
        <v>0.41620771046420124</v>
      </c>
      <c r="AH107" s="81">
        <v>13.09</v>
      </c>
      <c r="AI107" s="147">
        <f ca="1">IF(Z107="-",AH107/Y107-1,+AH107/D107-1)</f>
        <v>2.9897718332021928E-2</v>
      </c>
      <c r="AJ107" s="121">
        <f ca="1">IF(Z107="-","-",+(D107/Z107)-1)</f>
        <v>-0.1036671368124118</v>
      </c>
      <c r="AK107" s="120">
        <f ca="1">IF(AA107="-","-",+(D107/AA107)-1)</f>
        <v>-0.1036671368124118</v>
      </c>
      <c r="AM107" s="49" t="str">
        <f>IF(AL107=0,"-",+AL107/Z107-1)</f>
        <v>-</v>
      </c>
      <c r="AN107" s="28">
        <f ca="1">+D107/Y107-1</f>
        <v>-0.11180992313067784</v>
      </c>
      <c r="AO107" s="75">
        <f ca="1">VLOOKUP(Tabla2[[#This Row],[TCKR]],'2026'!$D$5:$AH$257,8,FALSE)</f>
        <v>702</v>
      </c>
      <c r="AP107" s="193">
        <f ca="1">VLOOKUP(Tabla2[[#This Row],[TCKR]],'2026'!$D$5:$AH$257,26,FALSE)</f>
        <v>-1529.5128725728166</v>
      </c>
      <c r="AQ107" s="5" cm="1">
        <f t="array" aca="1" ref="AQ107" ca="1">_FV(Tabla2[[#This Row],[valor]],"P/E",TRUE)</f>
        <v>0</v>
      </c>
      <c r="AR107" s="4"/>
      <c r="AT107" s="193">
        <f ca="1">+Tabla2[[#This Row],[Titulos2]]*Tabla2[[#This Row],[Neto]]</f>
        <v>0</v>
      </c>
      <c r="AU107" s="28">
        <f>+Tabla2[[#This Row],[Neto]]/Tabla2[[#This Row],[Precio compra2]]</f>
        <v>0</v>
      </c>
    </row>
    <row r="108" spans="1:47" ht="16" customHeight="1" x14ac:dyDescent="0.2">
      <c r="A108" s="325" t="e" vm="48">
        <v>#VALUE!</v>
      </c>
      <c r="B108" s="75" t="str" cm="1">
        <f t="array" aca="1" ref="B108" ca="1">_FV(A108,"Ticker symbol",TRUE)</f>
        <v>COIN</v>
      </c>
      <c r="C108" s="217" cm="1">
        <f t="array" aca="1" ref="C108" ca="1">_FV(A108,"Change (%)",TRUE)</f>
        <v>-1.5318E-2</v>
      </c>
      <c r="D108" s="144" cm="1">
        <f t="array" aca="1" ref="D108" ca="1">_FV(A108,"Price")</f>
        <v>196.71</v>
      </c>
      <c r="E108" s="289">
        <f ca="1">AE108</f>
        <v>0.33435005846169497</v>
      </c>
      <c r="F108" s="321">
        <f ca="1">+Tabla2[[#This Row],[Rentab. Parcial]]</f>
        <v>-5.0444101177833489E-2</v>
      </c>
      <c r="G108" s="321">
        <f ca="1">+Tabla2[[#This Row],[Rentab. Parcial2]]</f>
        <v>-5.0444101177833489E-2</v>
      </c>
      <c r="H108" s="253">
        <f ca="1">+Tabla2[[#This Row],[Difer. Investing]]</f>
        <v>0.92161049260332462</v>
      </c>
      <c r="I108" s="79">
        <f>+Tabla2[[#This Row],[Objetivo div2]]</f>
        <v>262.48</v>
      </c>
      <c r="J108" s="75" cm="1">
        <f t="array" aca="1" ref="J108" ca="1">_FV(A108,"High")</f>
        <v>204.49</v>
      </c>
      <c r="K108" s="75" cm="1">
        <f t="array" aca="1" ref="K108" ca="1">_FV(A108,"Low")</f>
        <v>195.25</v>
      </c>
      <c r="L108" s="75" cm="1">
        <f t="array" aca="1" ref="L108" ca="1">_FV(A108,"52 week high",TRUE)</f>
        <v>444.64499999999998</v>
      </c>
      <c r="M108" s="75">
        <f ca="1">+L108*0.9</f>
        <v>400.18049999999999</v>
      </c>
      <c r="N108" s="75">
        <f ca="1">+L108*0.95</f>
        <v>422.41274999999996</v>
      </c>
      <c r="O108" s="75" cm="1">
        <f t="array" aca="1" ref="O108" ca="1">_FV(A108,"52 week low",TRUE)</f>
        <v>139.36000000000001</v>
      </c>
      <c r="P108" s="220">
        <f ca="1">+TODAY()-Tabla2[[#This Row],[F. compra]]</f>
        <v>42</v>
      </c>
      <c r="Q108" s="220">
        <f ca="1">GESTEP(D108,M108)</f>
        <v>0</v>
      </c>
      <c r="R108" s="220">
        <f ca="1">GESTEP(D108,N108)</f>
        <v>0</v>
      </c>
      <c r="S108" s="75" t="s">
        <v>75</v>
      </c>
      <c r="T108" s="110" t="s">
        <v>78</v>
      </c>
      <c r="U108" s="110" t="s">
        <v>88</v>
      </c>
      <c r="V108" s="16">
        <v>46098</v>
      </c>
      <c r="W108" s="16">
        <v>46098</v>
      </c>
      <c r="X108" s="80" t="s">
        <v>394</v>
      </c>
      <c r="Y108" s="79">
        <v>207.16</v>
      </c>
      <c r="Z108" s="79">
        <v>207.16</v>
      </c>
      <c r="AA108" s="79">
        <v>207.16</v>
      </c>
      <c r="AB108" s="79"/>
      <c r="AC108" s="79">
        <v>262.48</v>
      </c>
      <c r="AD108" s="82">
        <f>+Tabla2[[#This Row],[Objetivo div2]]+Tabla2[[#This Row],[Div.]]</f>
        <v>262.48</v>
      </c>
      <c r="AE108" s="289">
        <f ca="1">IF(Z108="-",+AC108/Y108-1,AC108/D108-1)</f>
        <v>0.33435005846169497</v>
      </c>
      <c r="AF108" s="76">
        <v>378</v>
      </c>
      <c r="AG108" s="253">
        <f ca="1">IF(Z108="-",+AF108/D108-1,AF108/D108-1)</f>
        <v>0.92161049260332462</v>
      </c>
      <c r="AH108" s="76">
        <v>179.48</v>
      </c>
      <c r="AI108" s="147">
        <f ca="1">IF(Z108="-",AH108/Y108-1,+AH108/D108-1)</f>
        <v>-8.7590869808347405E-2</v>
      </c>
      <c r="AJ108" s="121">
        <f ca="1">IF(Z108="-","-",+(D108/Z108)-1)</f>
        <v>-5.0444101177833489E-2</v>
      </c>
      <c r="AK108" s="120">
        <f ca="1">IF(AA108="-","-",+(D108/AA108)-1)</f>
        <v>-5.0444101177833489E-2</v>
      </c>
      <c r="AM108" s="49" t="str">
        <f>IF(AL108=0,"-",+AL108/Z108-1)</f>
        <v>-</v>
      </c>
      <c r="AN108" s="28">
        <f ca="1">+D108/Y108-1</f>
        <v>-5.0444101177833489E-2</v>
      </c>
      <c r="AO108" s="75"/>
      <c r="AP108" s="193"/>
      <c r="AR108" s="4"/>
      <c r="AU108" s="28"/>
    </row>
    <row r="109" spans="1:47" ht="16" customHeight="1" x14ac:dyDescent="0.2">
      <c r="A109" s="325" t="e" vm="161">
        <v>#VALUE!</v>
      </c>
      <c r="B109" s="75" t="str" cm="1">
        <f t="array" aca="1" ref="B109" ca="1">_FV(A109,"Ticker symbol",TRUE)</f>
        <v>SFM</v>
      </c>
      <c r="C109" s="217" cm="1">
        <f t="array" aca="1" ref="C109" ca="1">_FV(A109,"Change (%)",TRUE)</f>
        <v>-1.8366E-2</v>
      </c>
      <c r="D109" s="144" cm="1">
        <f t="array" aca="1" ref="D109" ca="1">_FV(A109,"Price")</f>
        <v>71.62</v>
      </c>
      <c r="E109" s="289">
        <f ca="1">AE109</f>
        <v>0.32560737224239023</v>
      </c>
      <c r="F109" s="321">
        <f ca="1">+Tabla2[[#This Row],[Rentab. Parcial]]</f>
        <v>-4.1872909698996597E-2</v>
      </c>
      <c r="G109" s="321">
        <f ca="1">+Tabla2[[#This Row],[Rentab. Parcial2]]</f>
        <v>-4.1872909698996597E-2</v>
      </c>
      <c r="H109" s="253">
        <f ca="1">+Tabla2[[#This Row],[Difer. Investing]]</f>
        <v>0.28358000558503216</v>
      </c>
      <c r="I109" s="79">
        <f>+Tabla2[[#This Row],[Objetivo div2]]</f>
        <v>94.94</v>
      </c>
      <c r="J109" s="75" cm="1">
        <f t="array" aca="1" ref="J109" ca="1">_FV(A109,"High")</f>
        <v>75</v>
      </c>
      <c r="K109" s="75" cm="1">
        <f t="array" aca="1" ref="K109" ca="1">_FV(A109,"Low")</f>
        <v>71.010000000000005</v>
      </c>
      <c r="L109" s="75" cm="1">
        <f t="array" aca="1" ref="L109" ca="1">_FV(A109,"52 week high",TRUE)</f>
        <v>182</v>
      </c>
      <c r="M109" s="75">
        <f ca="1">+L109*0.9</f>
        <v>163.80000000000001</v>
      </c>
      <c r="N109" s="75">
        <f ca="1">+L109*0.95</f>
        <v>172.9</v>
      </c>
      <c r="O109" s="75" cm="1">
        <f t="array" aca="1" ref="O109" ca="1">_FV(A109,"52 week low",TRUE)</f>
        <v>64.75</v>
      </c>
      <c r="P109" s="220">
        <f ca="1">+TODAY()-Tabla2[[#This Row],[F. compra]]</f>
        <v>60</v>
      </c>
      <c r="Q109" s="220">
        <f ca="1">GESTEP(D109,M109)</f>
        <v>0</v>
      </c>
      <c r="R109" s="220">
        <f ca="1">GESTEP(D109,N109)</f>
        <v>0</v>
      </c>
      <c r="S109" s="75" t="s">
        <v>76</v>
      </c>
      <c r="T109" s="110" t="s">
        <v>78</v>
      </c>
      <c r="U109" s="110" t="s">
        <v>88</v>
      </c>
      <c r="V109" s="16">
        <v>46080</v>
      </c>
      <c r="W109" s="16">
        <v>46080</v>
      </c>
      <c r="X109" s="80"/>
      <c r="Y109" s="79">
        <v>75.75</v>
      </c>
      <c r="Z109" s="79">
        <v>74.75</v>
      </c>
      <c r="AA109" s="79">
        <v>74.75</v>
      </c>
      <c r="AB109" s="79"/>
      <c r="AC109" s="79">
        <v>94.94</v>
      </c>
      <c r="AD109" s="79">
        <f>+Tabla2[[#This Row],[Objetivo div2]]+Tabla2[[#This Row],[Div.]]</f>
        <v>94.94</v>
      </c>
      <c r="AE109" s="289">
        <f ca="1">IF(Z109="-",+AC109/Y109-1,AC109/D109-1)</f>
        <v>0.32560737224239023</v>
      </c>
      <c r="AF109" s="76">
        <v>91.93</v>
      </c>
      <c r="AG109" s="253">
        <f ca="1">IF(Z109="-",+AF109/D109-1,AF109/D109-1)</f>
        <v>0.28358000558503216</v>
      </c>
      <c r="AH109" s="76">
        <v>64.78</v>
      </c>
      <c r="AI109" s="147">
        <f ca="1">IF(Z109="-",AH109/Y109-1,+AH109/D109-1)</f>
        <v>-9.5504049148282699E-2</v>
      </c>
      <c r="AJ109" s="121">
        <f ca="1">IF(Z109="-","-",+(D109/Z109)-1)</f>
        <v>-4.1872909698996597E-2</v>
      </c>
      <c r="AK109" s="120">
        <f ca="1">IF(AA109="-","-",+(D109/AA109)-1)</f>
        <v>-4.1872909698996597E-2</v>
      </c>
      <c r="AM109" s="49" t="str">
        <f>IF(AL109=0,"-",+AL109/Z109-1)</f>
        <v>-</v>
      </c>
      <c r="AN109" s="28">
        <f ca="1">+D109/Y109-1</f>
        <v>-5.4521452145214422E-2</v>
      </c>
      <c r="AO109" s="75"/>
      <c r="AP109" s="193"/>
      <c r="AR109" s="4"/>
      <c r="AU109" s="28"/>
    </row>
    <row r="110" spans="1:47" ht="16" customHeight="1" x14ac:dyDescent="0.2">
      <c r="A110" s="325" t="e" vm="39">
        <v>#VALUE!</v>
      </c>
      <c r="B110" s="75" t="str" cm="1">
        <f t="array" aca="1" ref="B110" ca="1">_FV(A110,"Ticker symbol",TRUE)</f>
        <v>CALM</v>
      </c>
      <c r="C110" s="217" cm="1">
        <f t="array" aca="1" ref="C110" ca="1">_FV(A110,"Change (%)",TRUE)</f>
        <v>2.0198999999999998E-2</v>
      </c>
      <c r="D110" s="144" cm="1">
        <f t="array" aca="1" ref="D110" ca="1">_FV(A110,"Price")</f>
        <v>77.78</v>
      </c>
      <c r="E110" s="289">
        <f ca="1">AE110</f>
        <v>0.3247621496528672</v>
      </c>
      <c r="F110" s="321">
        <f ca="1">+Tabla2[[#This Row],[Rentab. Parcial]]</f>
        <v>-0.10833428866215755</v>
      </c>
      <c r="G110" s="321">
        <f ca="1">+Tabla2[[#This Row],[Rentab. Parcial2]]</f>
        <v>-0.10833428866215755</v>
      </c>
      <c r="H110" s="253">
        <f ca="1">+Tabla2[[#This Row],[Difer. Investing]]</f>
        <v>0.34996142967343791</v>
      </c>
      <c r="I110" s="79">
        <f>+Tabla2[[#This Row],[Objetivo div2]]</f>
        <v>103.04</v>
      </c>
      <c r="J110" s="75" cm="1">
        <f t="array" aca="1" ref="J110" ca="1">_FV(A110,"High")</f>
        <v>77.91</v>
      </c>
      <c r="K110" s="75" cm="1">
        <f t="array" aca="1" ref="K110" ca="1">_FV(A110,"Low")</f>
        <v>76.290000000000006</v>
      </c>
      <c r="L110" s="75" cm="1">
        <f t="array" aca="1" ref="L110" ca="1">_FV(A110,"52 week high",TRUE)</f>
        <v>126.4</v>
      </c>
      <c r="M110" s="75">
        <f ca="1">+L110*0.9</f>
        <v>113.76</v>
      </c>
      <c r="N110" s="75">
        <f ca="1">+L110*0.95</f>
        <v>120.08</v>
      </c>
      <c r="O110" s="75" cm="1">
        <f t="array" aca="1" ref="O110" ca="1">_FV(A110,"52 week low",TRUE)</f>
        <v>71.92</v>
      </c>
      <c r="P110" s="220">
        <f ca="1">+TODAY()-Tabla2[[#This Row],[F. compra]]</f>
        <v>57</v>
      </c>
      <c r="Q110" s="220">
        <f ca="1">GESTEP(D110,M110)</f>
        <v>0</v>
      </c>
      <c r="R110" s="220">
        <f ca="1">GESTEP(D110,N110)</f>
        <v>0</v>
      </c>
      <c r="S110" s="75" t="s">
        <v>75</v>
      </c>
      <c r="T110" s="110" t="s">
        <v>78</v>
      </c>
      <c r="U110" s="110" t="s">
        <v>88</v>
      </c>
      <c r="V110" s="16">
        <v>46083</v>
      </c>
      <c r="W110" s="16">
        <v>46083</v>
      </c>
      <c r="X110" s="80" t="s">
        <v>380</v>
      </c>
      <c r="Y110" s="79">
        <v>87.23</v>
      </c>
      <c r="Z110" s="79">
        <v>87.23</v>
      </c>
      <c r="AA110" s="79">
        <v>87.23</v>
      </c>
      <c r="AB110" s="79"/>
      <c r="AC110" s="79">
        <v>103.04</v>
      </c>
      <c r="AD110" s="79">
        <f>+Tabla2[[#This Row],[Objetivo div2]]</f>
        <v>103.04</v>
      </c>
      <c r="AE110" s="289">
        <f ca="1">IF(Z110="-",+AC110/Y110-1,AC110/D110-1)</f>
        <v>0.3247621496528672</v>
      </c>
      <c r="AF110" s="76">
        <v>105</v>
      </c>
      <c r="AG110" s="253">
        <f ca="1">IF(Z110="-",+AF110/D110-1,AF110/D110-1)</f>
        <v>0.34996142967343791</v>
      </c>
      <c r="AH110" s="76">
        <v>79.88</v>
      </c>
      <c r="AI110" s="147">
        <f ca="1">IF(Z110="-",AH110/Y110-1,+AH110/D110-1)</f>
        <v>2.6999228593468594E-2</v>
      </c>
      <c r="AJ110" s="121">
        <f ca="1">IF(Z110="-","-",+(D110/Z110)-1)</f>
        <v>-0.10833428866215755</v>
      </c>
      <c r="AK110" s="120">
        <f ca="1">IF(AA110="-","-",+(D110/AA110)-1)</f>
        <v>-0.10833428866215755</v>
      </c>
      <c r="AM110" s="49" t="str">
        <f>IF(AL110=0,"-",+AL110/Z110-1)</f>
        <v>-</v>
      </c>
      <c r="AN110" s="28">
        <f ca="1">+D110/Y110-1</f>
        <v>-0.10833428866215755</v>
      </c>
      <c r="AO110" s="75"/>
      <c r="AP110" s="193"/>
      <c r="AR110" s="4"/>
      <c r="AU110" s="28"/>
    </row>
    <row r="111" spans="1:47" ht="16" customHeight="1" x14ac:dyDescent="0.2">
      <c r="A111" s="75" t="e" vm="41">
        <v>#VALUE!</v>
      </c>
      <c r="B111" s="75" t="str" cm="1">
        <f t="array" aca="1" ref="B111" ca="1">_FV(A111,"Ticker symbol",TRUE)</f>
        <v>CLNX</v>
      </c>
      <c r="C111" s="217" cm="1">
        <f t="array" aca="1" ref="C111" ca="1">_FV(A111,"Change (%)",TRUE)</f>
        <v>-1.0133000000000001E-2</v>
      </c>
      <c r="D111" s="144" cm="1">
        <f t="array" aca="1" ref="D111" ca="1">_FV(A111,"Price")</f>
        <v>28.33</v>
      </c>
      <c r="E111" s="159">
        <f ca="1">AE111</f>
        <v>0.33652146022013874</v>
      </c>
      <c r="F111" s="321">
        <f ca="1">+Tabla2[[#This Row],[Rentab. Parcial]]</f>
        <v>-9.5860287056238169E-2</v>
      </c>
      <c r="G111" s="321">
        <f ca="1">+Tabla2[[#This Row],[Rentab. Parcial2]]</f>
        <v>-0.11330203442879505</v>
      </c>
      <c r="H111" s="253">
        <f ca="1">+Tabla2[[#This Row],[Difer. Investing]]</f>
        <v>0.37451464878220975</v>
      </c>
      <c r="I111" s="79">
        <f ca="1">+Tabla2[[#This Row],[Objetivo div2]]</f>
        <v>37.863652968036526</v>
      </c>
      <c r="J111" s="75" cm="1">
        <f t="array" aca="1" ref="J111" ca="1">_FV(A111,"High")</f>
        <v>28.62</v>
      </c>
      <c r="K111" s="75" cm="1">
        <f t="array" aca="1" ref="K111" ca="1">_FV(A111,"Low")</f>
        <v>28.24</v>
      </c>
      <c r="L111" s="75" cm="1">
        <f t="array" aca="1" ref="L111" ca="1">_FV(Tabla2[[#This Row],[valor]],"52 week high",TRUE)</f>
        <v>35.950000000000003</v>
      </c>
      <c r="M111" s="75">
        <f ca="1">+L111*0.9</f>
        <v>32.355000000000004</v>
      </c>
      <c r="N111" s="75">
        <f ca="1">+L111*0.95</f>
        <v>34.152500000000003</v>
      </c>
      <c r="O111" s="75" cm="1">
        <f t="array" aca="1" ref="O111" ca="1">_FV(A111,"52 week low",TRUE)</f>
        <v>24.72</v>
      </c>
      <c r="P111" s="220">
        <f ca="1">+TODAY()-Tabla2[[#This Row],[F. compra]]</f>
        <v>383</v>
      </c>
      <c r="Q111" s="220">
        <f ca="1">GESTEP(D111,M111)</f>
        <v>0</v>
      </c>
      <c r="R111" s="220">
        <f ca="1">GESTEP(D111,N111)</f>
        <v>0</v>
      </c>
      <c r="S111" s="75" t="s">
        <v>166</v>
      </c>
      <c r="T111" s="110" t="s">
        <v>78</v>
      </c>
      <c r="U111" s="110" t="s">
        <v>26</v>
      </c>
      <c r="V111" s="16">
        <v>45714</v>
      </c>
      <c r="W111" s="16">
        <v>45757</v>
      </c>
      <c r="X111" s="80"/>
      <c r="Y111" s="79">
        <v>33.92</v>
      </c>
      <c r="Z111" s="79">
        <f ca="1">31.95-Tabla2[[#This Row],[Div.]]</f>
        <v>31.333652968036528</v>
      </c>
      <c r="AA111" s="79">
        <f ca="1">+Tabla2[[#This Row],[Precio compra]]+Tabla2[[#This Row],[Div.]]</f>
        <v>31.95</v>
      </c>
      <c r="AB111" s="96">
        <f ca="1">0.02+'dividendos 26'!E17</f>
        <v>0.61634703196347029</v>
      </c>
      <c r="AC111" s="79">
        <f ca="1">38.48-Tabla2[[#This Row],[Div.]]</f>
        <v>37.863652968036526</v>
      </c>
      <c r="AD111" s="79">
        <f ca="1">+Tabla2[[#This Row],[Objetivo div2]]+Tabla2[[#This Row],[Div.]]</f>
        <v>38.479999999999997</v>
      </c>
      <c r="AE111" s="159">
        <f ca="1">IF(Z111="-",+AC111/Y111-1,AC111/D111-1)</f>
        <v>0.33652146022013874</v>
      </c>
      <c r="AF111" s="81">
        <v>38.94</v>
      </c>
      <c r="AG111" s="253">
        <f ca="1">IF(Z111="-",+AF111/D111-1,AF111/D111-1)</f>
        <v>0.37451464878220975</v>
      </c>
      <c r="AH111" s="81">
        <f ca="1">31.64-Tabla2[[#This Row],[Div.]]</f>
        <v>31.023652968036529</v>
      </c>
      <c r="AI111" s="147">
        <f ca="1">IF(Z111="-",AH111/Y111-1,+AH111/D111-1)</f>
        <v>9.5081290788440853E-2</v>
      </c>
      <c r="AJ111" s="121">
        <f ca="1">IF(Z111="-","-",+(D111/Z111)-1)</f>
        <v>-9.5860287056238169E-2</v>
      </c>
      <c r="AK111" s="120">
        <f ca="1">IF(AA111="-","-",+(D111/AA111)-1)</f>
        <v>-0.11330203442879505</v>
      </c>
      <c r="AM111" s="49" t="str">
        <f>IF(AL111=0,"-",+AL111/Z111-1)</f>
        <v>-</v>
      </c>
      <c r="AN111" s="28">
        <f ca="1">+D111/Y111-1</f>
        <v>-0.16479952830188693</v>
      </c>
      <c r="AO111" s="75">
        <f ca="1">VLOOKUP(Tabla2[[#This Row],[TCKR]],'2026'!$D$5:$AH$257,8,FALSE)</f>
        <v>219</v>
      </c>
      <c r="AP111" s="193">
        <f ca="1">VLOOKUP(Tabla2[[#This Row],[TCKR]],'2026'!$D$5:$AH$257,26,FALSE)</f>
        <v>-649.73509919206231</v>
      </c>
      <c r="AQ111" s="5" t="e" cm="1" vm="221">
        <f t="array" ref="AQ111">_FV(Tabla2[[#This Row],[valor]],"P/E",TRUE)</f>
        <v>#VALUE!</v>
      </c>
      <c r="AR111" s="4"/>
      <c r="AT111" s="193">
        <f ca="1">+Tabla2[[#This Row],[Titulos2]]*Tabla2[[#This Row],[Neto]]</f>
        <v>0</v>
      </c>
      <c r="AU111" s="28">
        <f ca="1">+Tabla2[[#This Row],[Neto]]/Tabla2[[#This Row],[Precio compra2]]</f>
        <v>0</v>
      </c>
    </row>
    <row r="112" spans="1:47" ht="16" customHeight="1" x14ac:dyDescent="0.2">
      <c r="A112" s="355" t="e" vm="33">
        <v>#VALUE!</v>
      </c>
      <c r="B112" s="75" t="str" cm="1">
        <f t="array" aca="1" ref="B112" ca="1">_FV(A112,"Ticker symbol",TRUE)</f>
        <v>BTDR</v>
      </c>
      <c r="C112" s="217" cm="1">
        <f t="array" aca="1" ref="C112" ca="1">_FV(A112,"Change (%)",TRUE)</f>
        <v>-4.5605E-2</v>
      </c>
      <c r="D112" s="144" cm="1">
        <f t="array" aca="1" ref="D112" ca="1">_FV(A112,"Price")</f>
        <v>11.51</v>
      </c>
      <c r="E112" s="356">
        <f>AE112</f>
        <v>0.34271356783919593</v>
      </c>
      <c r="F112" s="321">
        <f ca="1">+Tabla2[[#This Row],[Rentab. Parcial]]</f>
        <v>0.1567839195979901</v>
      </c>
      <c r="G112" s="321">
        <f ca="1">+Tabla2[[#This Row],[Rentab. Parcial2]]</f>
        <v>0.1567839195979901</v>
      </c>
      <c r="H112" s="253">
        <f ca="1">+Tabla2[[#This Row],[Difer. Investing]]</f>
        <v>0.87836663770634238</v>
      </c>
      <c r="I112" s="79">
        <v>77</v>
      </c>
      <c r="J112" s="75" cm="1">
        <f t="array" aca="1" ref="J112" ca="1">_FV(A112,"High")</f>
        <v>12.11</v>
      </c>
      <c r="K112" s="75" cm="1">
        <f t="array" aca="1" ref="K112" ca="1">_FV(A112,"Low")</f>
        <v>11.15</v>
      </c>
      <c r="L112" s="75" cm="1">
        <f t="array" aca="1" ref="L112" ca="1">_FV(A112,"52 week high",TRUE)</f>
        <v>27.8</v>
      </c>
      <c r="M112" s="75">
        <f ca="1">+L112*0.9</f>
        <v>25.02</v>
      </c>
      <c r="N112" s="75">
        <f ca="1">+L112*0.95</f>
        <v>26.41</v>
      </c>
      <c r="O112" s="75" cm="1">
        <f t="array" aca="1" ref="O112" ca="1">_FV(A112,"52 week low",TRUE)</f>
        <v>6.9157000000000002</v>
      </c>
      <c r="P112" s="220">
        <f ca="1">+TODAY()-Tabla2[[#This Row],[F. compra]]</f>
        <v>19</v>
      </c>
      <c r="Q112" s="220">
        <f ca="1">GESTEP(D112,M112)</f>
        <v>0</v>
      </c>
      <c r="R112" s="220">
        <f ca="1">GESTEP(D112,N112)</f>
        <v>0</v>
      </c>
      <c r="S112" s="75" t="s">
        <v>431</v>
      </c>
      <c r="T112" s="110" t="s">
        <v>78</v>
      </c>
      <c r="U112" s="110" t="s">
        <v>26</v>
      </c>
      <c r="V112" s="16">
        <v>46121</v>
      </c>
      <c r="W112" s="16">
        <v>46121</v>
      </c>
      <c r="X112" s="80"/>
      <c r="Y112" s="79">
        <v>9.9499999999999993</v>
      </c>
      <c r="Z112" s="79">
        <v>9.9499999999999993</v>
      </c>
      <c r="AA112" s="79">
        <v>9.9499999999999993</v>
      </c>
      <c r="AB112" s="79"/>
      <c r="AC112" s="79">
        <v>13.36</v>
      </c>
      <c r="AD112" s="79">
        <f>+Tabla2[[#This Row],[Objetivo div2]]+Tabla2[[#This Row],[Div.]]</f>
        <v>13.36</v>
      </c>
      <c r="AE112" s="356">
        <f>IF(Z112="",+AC112/Y112-1,AC112/Z112-1)</f>
        <v>0.34271356783919593</v>
      </c>
      <c r="AF112" s="76">
        <v>21.62</v>
      </c>
      <c r="AG112" s="253">
        <f ca="1">IF(Z112="-",+AF112/D112-1,AF112/D112-1)</f>
        <v>0.87836663770634238</v>
      </c>
      <c r="AH112" s="76">
        <v>9.33</v>
      </c>
      <c r="AI112" s="147">
        <f ca="1">IF(Z112="-",AH112/Y112-1,+AH112/D112-1)</f>
        <v>-0.1894005212858384</v>
      </c>
      <c r="AJ112" s="121">
        <f ca="1">IF(Z112="-","-",+(D112/Z112)-1)</f>
        <v>0.1567839195979901</v>
      </c>
      <c r="AK112" s="120">
        <f ca="1">IF(AA112="-","-",+(D112/AA112)-1)</f>
        <v>0.1567839195979901</v>
      </c>
      <c r="AM112" s="49" t="str">
        <f>IF(AL112=0,"-",+AL112/Z112-1)</f>
        <v>-</v>
      </c>
      <c r="AN112" s="28">
        <f ca="1">+D112/Y112-1</f>
        <v>0.1567839195979901</v>
      </c>
      <c r="AO112" s="75">
        <f ca="1">VLOOKUP(Tabla2[[#This Row],[TCKR]],'2026'!$D$5:$AH$257,8,FALSE)</f>
        <v>772</v>
      </c>
      <c r="AP112" s="193"/>
      <c r="AR112" s="4"/>
      <c r="AU112" s="28"/>
    </row>
    <row r="113" spans="1:47" ht="16" customHeight="1" x14ac:dyDescent="0.2">
      <c r="A113" s="325" t="e" vm="98">
        <v>#VALUE!</v>
      </c>
      <c r="B113" s="75" t="str" cm="1">
        <f t="array" aca="1" ref="B113" ca="1">_FV(A113,"Ticker symbol",TRUE)</f>
        <v>IREN</v>
      </c>
      <c r="C113" s="217" cm="1">
        <f t="array" aca="1" ref="C113" ca="1">_FV(A113,"Change (%)",TRUE)</f>
        <v>-4.5023999999999995E-2</v>
      </c>
      <c r="D113" s="144" cm="1">
        <f t="array" aca="1" ref="D113" ca="1">_FV(A113,"Price")</f>
        <v>48.36</v>
      </c>
      <c r="E113" s="289">
        <f ca="1">AE113</f>
        <v>0.34284532671629453</v>
      </c>
      <c r="F113" s="321">
        <f ca="1">+Tabla2[[#This Row],[Rentab. Parcial]]</f>
        <v>-4.123711340206182E-2</v>
      </c>
      <c r="G113" s="321">
        <f ca="1">+Tabla2[[#This Row],[Rentab. Parcial2]]</f>
        <v>-4.123711340206182E-2</v>
      </c>
      <c r="H113" s="253">
        <f ca="1">+Tabla2[[#This Row],[Difer. Investing]]</f>
        <v>0.75434243176178661</v>
      </c>
      <c r="I113" s="79">
        <f>+Tabla2[[#This Row],[Objetivo div2]]</f>
        <v>64.94</v>
      </c>
      <c r="J113" s="75" cm="1">
        <f t="array" aca="1" ref="J113" ca="1">_FV(A113,"High")</f>
        <v>50.37</v>
      </c>
      <c r="K113" s="75" cm="1">
        <f t="array" aca="1" ref="K113" ca="1">_FV(A113,"Low")</f>
        <v>47.66</v>
      </c>
      <c r="L113" s="75" cm="1">
        <f t="array" aca="1" ref="L113" ca="1">_FV(Tabla2[[#This Row],[valor]],"52 week high",TRUE)</f>
        <v>76.87</v>
      </c>
      <c r="M113" s="75">
        <f ca="1">+L113*0.9</f>
        <v>69.183000000000007</v>
      </c>
      <c r="N113" s="75">
        <f ca="1">+L113*0.95</f>
        <v>73.026499999999999</v>
      </c>
      <c r="O113" s="75" cm="1">
        <f t="array" aca="1" ref="O113" ca="1">_FV(A113,"52 week low",TRUE)</f>
        <v>5.7249999999999996</v>
      </c>
      <c r="P113" s="220">
        <f ca="1">+TODAY()-Tabla2[[#This Row],[F. compra]]</f>
        <v>105</v>
      </c>
      <c r="Q113" s="220">
        <f ca="1">GESTEP(D113,M113)</f>
        <v>0</v>
      </c>
      <c r="R113" s="220">
        <f ca="1">GESTEP(D113,N113)</f>
        <v>0</v>
      </c>
      <c r="S113" s="75" t="s">
        <v>166</v>
      </c>
      <c r="T113" s="110" t="s">
        <v>78</v>
      </c>
      <c r="U113" s="110" t="s">
        <v>26</v>
      </c>
      <c r="V113" s="16">
        <v>46035</v>
      </c>
      <c r="W113" s="16">
        <v>46035</v>
      </c>
      <c r="X113" s="80"/>
      <c r="Y113" s="79">
        <v>50.51</v>
      </c>
      <c r="Z113" s="79">
        <v>50.44</v>
      </c>
      <c r="AA113" s="79">
        <v>50.44</v>
      </c>
      <c r="AB113" s="79"/>
      <c r="AC113" s="79">
        <v>64.94</v>
      </c>
      <c r="AD113" s="79">
        <f>+Tabla2[[#This Row],[Objetivo div2]]+Tabla2[[#This Row],[Div.]]</f>
        <v>64.94</v>
      </c>
      <c r="AE113" s="289">
        <f ca="1">IF(Z113="-",+AC113/Y113-1,AC113/D113-1)</f>
        <v>0.34284532671629453</v>
      </c>
      <c r="AF113" s="76">
        <v>84.84</v>
      </c>
      <c r="AG113" s="253">
        <f ca="1">IF(Z113="-",+AF113/D113-1,AF113/D113-1)</f>
        <v>0.75434243176178661</v>
      </c>
      <c r="AH113" s="76">
        <v>42.47</v>
      </c>
      <c r="AI113" s="147">
        <f ca="1">IF(Z113="-",AH113/Y113-1,+AH113/D113-1)</f>
        <v>-0.12179487179487181</v>
      </c>
      <c r="AJ113" s="121">
        <f ca="1">IF(Z113="-","-",+(D113/Z113)-1)</f>
        <v>-4.123711340206182E-2</v>
      </c>
      <c r="AK113" s="120">
        <f ca="1">IF(AA113="-","-",+(D113/AA113)-1)</f>
        <v>-4.123711340206182E-2</v>
      </c>
      <c r="AM113" s="49" t="str">
        <f>IF(AL113=0,"-",+AL113/Z113-1)</f>
        <v>-</v>
      </c>
      <c r="AN113" s="28">
        <f ca="1">+D113/Y113-1</f>
        <v>-4.2565828548802198E-2</v>
      </c>
      <c r="AO113" s="75">
        <f ca="1">VLOOKUP(Tabla2[[#This Row],[TCKR]],'2026'!$D$5:$AH$257,8,FALSE)</f>
        <v>109</v>
      </c>
      <c r="AP113" s="193">
        <f ca="1">VLOOKUP(Tabla2[[#This Row],[TCKR]],'2026'!$D$5:$AH$257,26,FALSE)</f>
        <v>-202.22013651507712</v>
      </c>
      <c r="AR113" s="4"/>
      <c r="AU113" s="28"/>
    </row>
    <row r="114" spans="1:47" ht="16" customHeight="1" x14ac:dyDescent="0.2">
      <c r="A114" s="325" t="e" vm="173">
        <v>#VALUE!</v>
      </c>
      <c r="B114" s="75" t="str" cm="1">
        <f t="array" aca="1" ref="B114" ca="1">_FV(A114,"Ticker symbol",TRUE)</f>
        <v>TGTX</v>
      </c>
      <c r="C114" s="217" cm="1">
        <f t="array" aca="1" ref="C114" ca="1">_FV(A114,"Change (%)",TRUE)</f>
        <v>-3.3861000000000002E-2</v>
      </c>
      <c r="D114" s="144" cm="1">
        <f t="array" aca="1" ref="D114" ca="1">_FV(A114,"Price")</f>
        <v>35.380000000000003</v>
      </c>
      <c r="E114" s="289">
        <f>AE114</f>
        <v>0.34821428571428581</v>
      </c>
      <c r="F114" s="321">
        <f ca="1">+Tabla2[[#This Row],[Rentab. Parcial]]</f>
        <v>8.9285714285714413E-2</v>
      </c>
      <c r="G114" s="321">
        <f ca="1">+Tabla2[[#This Row],[Rentab. Parcial2]]</f>
        <v>8.9285714285714413E-2</v>
      </c>
      <c r="H114" s="253">
        <f ca="1">+Tabla2[[#This Row],[Difer. Investing]]</f>
        <v>0.2557942340305257</v>
      </c>
      <c r="I114" s="79">
        <v>263.48</v>
      </c>
      <c r="J114" s="75" cm="1">
        <f t="array" aca="1" ref="J114" ca="1">_FV(A114,"High")</f>
        <v>36.99</v>
      </c>
      <c r="K114" s="75" cm="1">
        <f t="array" aca="1" ref="K114" ca="1">_FV(A114,"Low")</f>
        <v>34.984999999999999</v>
      </c>
      <c r="L114" s="75" cm="1">
        <f t="array" aca="1" ref="L114" ca="1">_FV(A114,"52 week high",TRUE)</f>
        <v>46.48</v>
      </c>
      <c r="M114" s="75">
        <f ca="1">+L114*0.9</f>
        <v>41.832000000000001</v>
      </c>
      <c r="N114" s="75">
        <f ca="1">+L114*0.95</f>
        <v>44.155999999999992</v>
      </c>
      <c r="O114" s="75" cm="1">
        <f t="array" aca="1" ref="O114" ca="1">_FV(A114,"52 week low",TRUE)</f>
        <v>25.28</v>
      </c>
      <c r="P114" s="220">
        <f ca="1">+TODAY()-Tabla2[[#This Row],[F. compra]]</f>
        <v>28</v>
      </c>
      <c r="Q114" s="220">
        <f ca="1">GESTEP(D114,M114)</f>
        <v>0</v>
      </c>
      <c r="R114" s="220">
        <f ca="1">GESTEP(D114,N114)</f>
        <v>0</v>
      </c>
      <c r="S114" s="75" t="s">
        <v>75</v>
      </c>
      <c r="T114" s="110" t="s">
        <v>78</v>
      </c>
      <c r="U114" s="110" t="s">
        <v>199</v>
      </c>
      <c r="V114" s="16">
        <v>46111</v>
      </c>
      <c r="W114" s="16">
        <v>46112</v>
      </c>
      <c r="X114" s="80" t="s">
        <v>420</v>
      </c>
      <c r="Y114" s="79">
        <v>32.369999999999997</v>
      </c>
      <c r="Z114" s="79">
        <v>32.479999999999997</v>
      </c>
      <c r="AA114" s="79">
        <v>32.479999999999997</v>
      </c>
      <c r="AB114" s="79"/>
      <c r="AC114" s="79">
        <v>43.79</v>
      </c>
      <c r="AD114" s="79">
        <f>+Tabla2[[#This Row],[Objetivo div2]]+Tabla2[[#This Row],[Div.]]</f>
        <v>43.79</v>
      </c>
      <c r="AE114" s="289">
        <f>IF(Z114="",+AC114/Y114-1,AC114/Z114-1)</f>
        <v>0.34821428571428581</v>
      </c>
      <c r="AF114" s="76">
        <v>44.43</v>
      </c>
      <c r="AG114" s="253">
        <f ca="1">IF(Z114="-",+AF114/D114-1,AF114/D114-1)</f>
        <v>0.2557942340305257</v>
      </c>
      <c r="AH114" s="76">
        <v>27.98</v>
      </c>
      <c r="AI114" s="147">
        <f ca="1">IF(Z114="-",AH114/Y114-1,+AH114/D114-1)</f>
        <v>-0.20915771622385537</v>
      </c>
      <c r="AJ114" s="121">
        <f ca="1">IF(Z114="-","-",+(D114/Z114)-1)</f>
        <v>8.9285714285714413E-2</v>
      </c>
      <c r="AK114" s="120">
        <f ca="1">IF(AA114="-","-",+(D114/AA114)-1)</f>
        <v>8.9285714285714413E-2</v>
      </c>
      <c r="AM114" s="49" t="str">
        <f>IF(AL114=0,"-",+AL114/Z114-1)</f>
        <v>-</v>
      </c>
      <c r="AN114" s="28">
        <f ca="1">+D114/Y114-1</f>
        <v>9.2987333951189521E-2</v>
      </c>
      <c r="AO114" s="75"/>
      <c r="AP114" s="193"/>
      <c r="AR114" s="4"/>
      <c r="AU114" s="28"/>
    </row>
    <row r="115" spans="1:47" ht="16" customHeight="1" x14ac:dyDescent="0.2">
      <c r="A115" s="355" t="e" vm="129">
        <v>#VALUE!</v>
      </c>
      <c r="B115" s="75" t="str" cm="1">
        <f t="array" aca="1" ref="B115" ca="1">_FV(A115,"Ticker symbol",TRUE)</f>
        <v>OC</v>
      </c>
      <c r="C115" s="217" cm="1">
        <f t="array" aca="1" ref="C115" ca="1">_FV(A115,"Change (%)",TRUE)</f>
        <v>-7.1650000000000001E-4</v>
      </c>
      <c r="D115" s="144" cm="1">
        <f t="array" aca="1" ref="D115" ca="1">_FV(A115,"Price")</f>
        <v>125.52</v>
      </c>
      <c r="E115" s="356">
        <f>AE115</f>
        <v>0.34961663109635599</v>
      </c>
      <c r="F115" s="321">
        <f ca="1">+Tabla2[[#This Row],[Rentab. Parcial]]</f>
        <v>-7.8254683424235916E-3</v>
      </c>
      <c r="G115" s="321">
        <f ca="1">+Tabla2[[#This Row],[Rentab. Parcial2]]</f>
        <v>-7.8254683424235916E-3</v>
      </c>
      <c r="H115" s="253">
        <f ca="1">+Tabla2[[#This Row],[Difer. Investing]]</f>
        <v>0.10293180369662203</v>
      </c>
      <c r="I115" s="79">
        <v>263.48</v>
      </c>
      <c r="J115" s="75" cm="1">
        <f t="array" aca="1" ref="J115" ca="1">_FV(A115,"High")</f>
        <v>128.03</v>
      </c>
      <c r="K115" s="75" cm="1">
        <f t="array" aca="1" ref="K115" ca="1">_FV(A115,"Low")</f>
        <v>125.02</v>
      </c>
      <c r="L115" s="75" cm="1">
        <f t="array" aca="1" ref="L115" ca="1">_FV(A115,"52 week high",TRUE)</f>
        <v>159.41999999999999</v>
      </c>
      <c r="M115" s="75">
        <f ca="1">+L115*0.9</f>
        <v>143.47799999999998</v>
      </c>
      <c r="N115" s="75">
        <f ca="1">+L115*0.95</f>
        <v>151.44899999999998</v>
      </c>
      <c r="O115" s="75" cm="1">
        <f t="array" aca="1" ref="O115" ca="1">_FV(A115,"52 week low",TRUE)</f>
        <v>97.53</v>
      </c>
      <c r="P115" s="220">
        <f ca="1">+TODAY()-Tabla2[[#This Row],[F. compra]]</f>
        <v>5</v>
      </c>
      <c r="Q115" s="220">
        <f ca="1">GESTEP(D115,M115)</f>
        <v>0</v>
      </c>
      <c r="R115" s="220">
        <f ca="1">GESTEP(D115,N115)</f>
        <v>0</v>
      </c>
      <c r="S115" s="75" t="s">
        <v>75</v>
      </c>
      <c r="T115" s="110" t="s">
        <v>78</v>
      </c>
      <c r="U115" s="110" t="s">
        <v>26</v>
      </c>
      <c r="V115" s="16">
        <v>46132</v>
      </c>
      <c r="W115" s="16">
        <v>46135</v>
      </c>
      <c r="X115" s="80" t="s">
        <v>437</v>
      </c>
      <c r="Y115" s="79">
        <v>126.52</v>
      </c>
      <c r="Z115" s="79">
        <v>126.51</v>
      </c>
      <c r="AA115" s="79">
        <v>126.51</v>
      </c>
      <c r="AB115" s="79"/>
      <c r="AC115" s="79">
        <v>170.74</v>
      </c>
      <c r="AD115" s="79">
        <f>+Tabla2[[#This Row],[Objetivo div2]]+Tabla2[[#This Row],[Div.]]</f>
        <v>170.74</v>
      </c>
      <c r="AE115" s="356">
        <f>IF(Z115="",+AC115/Y115-1,AC115/Z115-1)</f>
        <v>0.34961663109635599</v>
      </c>
      <c r="AF115" s="76">
        <v>138.44</v>
      </c>
      <c r="AG115" s="253">
        <f ca="1">IF(Z115="-",+AF115/D115-1,AF115/D115-1)</f>
        <v>0.10293180369662203</v>
      </c>
      <c r="AH115" s="76">
        <v>109.49</v>
      </c>
      <c r="AI115" s="147">
        <f ca="1">IF(Z115="-",AH115/Y115-1,+AH115/D115-1)</f>
        <v>-0.12770873167622687</v>
      </c>
      <c r="AJ115" s="121">
        <f ca="1">IF(Z115="-","-",+(D115/Z115)-1)</f>
        <v>-7.8254683424235916E-3</v>
      </c>
      <c r="AK115" s="120">
        <f ca="1">IF(AA115="-","-",+(D115/AA115)-1)</f>
        <v>-7.8254683424235916E-3</v>
      </c>
      <c r="AM115" s="49" t="str">
        <f>IF(AL115=0,"-",+AL115/Z115-1)</f>
        <v>-</v>
      </c>
      <c r="AN115" s="28">
        <f ca="1">+D115/Y115-1</f>
        <v>-7.903888713246876E-3</v>
      </c>
      <c r="AO115" s="75"/>
      <c r="AP115" s="193"/>
      <c r="AR115" s="4"/>
      <c r="AU115" s="28"/>
    </row>
    <row r="116" spans="1:47" ht="16" customHeight="1" x14ac:dyDescent="0.2">
      <c r="A116" s="75" t="e" vm="152">
        <v>#VALUE!</v>
      </c>
      <c r="B116" s="75" t="str" cm="1">
        <f t="array" aca="1" ref="B116" ca="1">_FV(A116,"Ticker symbol",TRUE)</f>
        <v>LIGHT</v>
      </c>
      <c r="C116" s="217" cm="1">
        <f t="array" aca="1" ref="C116" ca="1">_FV(A116,"Change (%)",TRUE)</f>
        <v>1.4654E-2</v>
      </c>
      <c r="D116" s="144" cm="1">
        <f t="array" aca="1" ref="D116" ca="1">_FV(A116,"Price")</f>
        <v>20.079999999999998</v>
      </c>
      <c r="E116" s="159">
        <f ca="1">AE116</f>
        <v>0.37101593625498031</v>
      </c>
      <c r="F116" s="321">
        <f ca="1">+Tabla2[[#This Row],[Rentab. Parcial]]</f>
        <v>-0.11071744906997338</v>
      </c>
      <c r="G116" s="321">
        <f ca="1">+Tabla2[[#This Row],[Rentab. Parcial2]]</f>
        <v>-0.11071744906997338</v>
      </c>
      <c r="H116" s="253">
        <f ca="1">+Tabla2[[#This Row],[Difer. Investing]]</f>
        <v>0.69173306772908383</v>
      </c>
      <c r="I116" s="79">
        <f>+Tabla2[[#This Row],[Objetivo div2]]</f>
        <v>27.53</v>
      </c>
      <c r="J116" s="75" cm="1">
        <f t="array" aca="1" ref="J116" ca="1">_FV(A116,"High")</f>
        <v>20.46</v>
      </c>
      <c r="K116" s="75" cm="1">
        <f t="array" aca="1" ref="K116" ca="1">_FV(A116,"Low")</f>
        <v>19.68</v>
      </c>
      <c r="L116" s="75" cm="1">
        <f t="array" aca="1" ref="L116" ca="1">_FV(Tabla2[[#This Row],[valor]],"52 week high",TRUE)</f>
        <v>23.84</v>
      </c>
      <c r="M116" s="75">
        <f ca="1">+L116*0.9</f>
        <v>21.456</v>
      </c>
      <c r="N116" s="75">
        <f ca="1">+L116*0.95</f>
        <v>22.648</v>
      </c>
      <c r="O116" s="75" cm="1">
        <f t="array" aca="1" ref="O116" ca="1">_FV(A116,"52 week low",TRUE)</f>
        <v>17.010000000000002</v>
      </c>
      <c r="P116" s="220">
        <f ca="1">+TODAY()-Tabla2[[#This Row],[F. compra]]</f>
        <v>314</v>
      </c>
      <c r="Q116" s="220">
        <f ca="1">GESTEP(D116,M116)</f>
        <v>0</v>
      </c>
      <c r="R116" s="220">
        <f ca="1">GESTEP(D116,N116)</f>
        <v>0</v>
      </c>
      <c r="S116" s="75" t="s">
        <v>75</v>
      </c>
      <c r="T116" s="110" t="s">
        <v>78</v>
      </c>
      <c r="U116" s="110" t="s">
        <v>26</v>
      </c>
      <c r="V116" s="16">
        <v>45825</v>
      </c>
      <c r="W116" s="16">
        <v>45826</v>
      </c>
      <c r="X116" s="80"/>
      <c r="Y116" s="79">
        <v>23.03</v>
      </c>
      <c r="Z116" s="79">
        <f>22.58-AB116</f>
        <v>22.58</v>
      </c>
      <c r="AA116" s="79">
        <f>+Tabla2[[#This Row],[Precio compra]]+Tabla2[[#This Row],[Div.]]</f>
        <v>22.58</v>
      </c>
      <c r="AB116" s="96"/>
      <c r="AC116" s="79">
        <v>27.53</v>
      </c>
      <c r="AD116" s="79">
        <f>+Tabla2[[#This Row],[Objetivo div2]]+Tabla2[[#This Row],[Div.]]</f>
        <v>27.53</v>
      </c>
      <c r="AE116" s="159">
        <f ca="1">IF(Z116="-",+AC116/Y116-1,AC116/D116-1)</f>
        <v>0.37101593625498031</v>
      </c>
      <c r="AF116" s="81">
        <v>33.97</v>
      </c>
      <c r="AG116" s="253">
        <f ca="1">IF(Z116="-",+AF116/D116-1,AF116/D116-1)</f>
        <v>0.69173306772908383</v>
      </c>
      <c r="AH116" s="81">
        <v>20.78</v>
      </c>
      <c r="AI116" s="147">
        <f ca="1">IF(Z116="-",AH116/Y116-1,+AH116/D116-1)</f>
        <v>3.4860557768924494E-2</v>
      </c>
      <c r="AJ116" s="121">
        <f ca="1">IF(Z116="-","-",+(D116/Z116)-1)</f>
        <v>-0.11071744906997338</v>
      </c>
      <c r="AK116" s="120">
        <f ca="1">IF(AA116="-","-",+(D116/AA116)-1)</f>
        <v>-0.11071744906997338</v>
      </c>
      <c r="AM116" s="49" t="str">
        <f>IF(AL116=0,"-",+AL116/Z116-1)</f>
        <v>-</v>
      </c>
      <c r="AN116" s="28">
        <f ca="1">+D116/Y116-1</f>
        <v>-0.1280937907077726</v>
      </c>
      <c r="AO116" s="75">
        <f ca="1">VLOOKUP(Tabla2[[#This Row],[TCKR]],'2026'!$D$5:$AH$257,8,FALSE)</f>
        <v>530</v>
      </c>
      <c r="AP116" s="193">
        <f ca="1">VLOOKUP(Tabla2[[#This Row],[TCKR]],'2026'!$D$5:$AH$257,26,FALSE)</f>
        <v>-1070.683667658122</v>
      </c>
      <c r="AQ116" s="5" cm="1">
        <f t="array" aca="1" ref="AQ116" ca="1">_FV(Tabla2[[#This Row],[valor]],"P/E",TRUE)</f>
        <v>12.7112</v>
      </c>
      <c r="AR116" s="4"/>
      <c r="AT116" s="193">
        <f ca="1">+Tabla2[[#This Row],[Titulos2]]*Tabla2[[#This Row],[Neto]]</f>
        <v>0</v>
      </c>
      <c r="AU116" s="28">
        <f>+Tabla2[[#This Row],[Neto]]/Tabla2[[#This Row],[Precio compra2]]</f>
        <v>0</v>
      </c>
    </row>
    <row r="117" spans="1:47" ht="16" customHeight="1" x14ac:dyDescent="0.2">
      <c r="A117" s="75" t="e" vm="130">
        <v>#VALUE!</v>
      </c>
      <c r="B117" s="75" t="str" cm="1">
        <f t="array" aca="1" ref="B117" ca="1">_FV(A117,"Ticker symbol",TRUE)</f>
        <v>ORY</v>
      </c>
      <c r="C117" s="217" cm="1">
        <f t="array" aca="1" ref="C117" ca="1">_FV(A117,"Change (%)",TRUE)</f>
        <v>7.8849999999999996E-3</v>
      </c>
      <c r="D117" s="144" cm="1">
        <f t="array" aca="1" ref="D117" ca="1">_FV(A117,"Price")</f>
        <v>2.8119999999999998</v>
      </c>
      <c r="E117" s="159">
        <f ca="1">AE117</f>
        <v>0.38691322901849223</v>
      </c>
      <c r="F117" s="321">
        <f ca="1">+Tabla2[[#This Row],[Rentab. Parcial]]</f>
        <v>-0.27112493519958536</v>
      </c>
      <c r="G117" s="321">
        <f ca="1">+Tabla2[[#This Row],[Rentab. Parcial2]]</f>
        <v>-0.27112493519958536</v>
      </c>
      <c r="H117" s="253">
        <f ca="1">+Tabla2[[#This Row],[Difer. Investing]]</f>
        <v>1.5106685633001424</v>
      </c>
      <c r="I117" s="79">
        <f>+Tabla2[[#This Row],[Objetivo div2]]</f>
        <v>3.9</v>
      </c>
      <c r="J117" s="75" cm="1">
        <f t="array" aca="1" ref="J117" ca="1">_FV(A117,"High")</f>
        <v>2.84</v>
      </c>
      <c r="K117" s="75" cm="1">
        <f t="array" aca="1" ref="K117" ca="1">_FV(A117,"Low")</f>
        <v>2.79</v>
      </c>
      <c r="L117" s="75" cm="1">
        <f t="array" aca="1" ref="L117" ca="1">_FV(Tabla2[[#This Row],[valor]],"52 week high",TRUE)</f>
        <v>4.0199999999999996</v>
      </c>
      <c r="M117" s="75">
        <f ca="1">+Tabla2[[#This Row],[52 high]]*0.9</f>
        <v>3.6179999999999999</v>
      </c>
      <c r="N117" s="75">
        <f ca="1">+Tabla2[[#This Row],[52 high]]*0.95</f>
        <v>3.8189999999999995</v>
      </c>
      <c r="O117" s="75" cm="1">
        <f t="array" aca="1" ref="O117" ca="1">_FV(Tabla2[[#This Row],[valor]],"52 week low",TRUE)</f>
        <v>2.5550000000000002</v>
      </c>
      <c r="P117" s="220">
        <f ca="1">+TODAY()-Tabla2[[#This Row],[F. compra]]</f>
        <v>2553</v>
      </c>
      <c r="Q117" s="220">
        <f ca="1">GESTEP(Tabla2[[#This Row],[price]],Tabla2[[#This Row],[HIGH 10%]])</f>
        <v>0</v>
      </c>
      <c r="R117" s="220">
        <f ca="1">GESTEP(Tabla2[[#This Row],[price]],Tabla2[[#This Row],[HIGH 5%]])</f>
        <v>0</v>
      </c>
      <c r="S117" s="75" t="s">
        <v>75</v>
      </c>
      <c r="T117" s="110" t="s">
        <v>136</v>
      </c>
      <c r="U117" s="110" t="s">
        <v>72</v>
      </c>
      <c r="V117" s="16">
        <v>43587</v>
      </c>
      <c r="W117" s="16">
        <v>43587</v>
      </c>
      <c r="X117" s="80"/>
      <c r="Y117" s="79" t="s">
        <v>11</v>
      </c>
      <c r="Z117" s="79">
        <v>3.8580000000000001</v>
      </c>
      <c r="AA117" s="79">
        <f>+Tabla2[[#This Row],[Precio compra]]+Tabla2[[#This Row],[Div.]]</f>
        <v>3.8580000000000001</v>
      </c>
      <c r="AB117" s="96"/>
      <c r="AC117" s="79">
        <v>3.9</v>
      </c>
      <c r="AD117" s="79">
        <f>+Tabla2[[#This Row],[Objetivo div2]]+Tabla2[[#This Row],[Div.]]</f>
        <v>3.9</v>
      </c>
      <c r="AE117" s="159">
        <f ca="1">IF(Z117="-",+AC117/Y117-1,AC117/D117-1)</f>
        <v>0.38691322901849223</v>
      </c>
      <c r="AF117" s="81">
        <v>7.06</v>
      </c>
      <c r="AG117" s="253">
        <f ca="1">IF(Z117="-",+AF117/D117-1,AF117/D117-1)</f>
        <v>1.5106685633001424</v>
      </c>
      <c r="AH117" s="81" t="s">
        <v>11</v>
      </c>
      <c r="AI117" s="147" t="e">
        <f ca="1">IF(Z117="-",AH117/Y117-1,+AH117/D117-1)</f>
        <v>#VALUE!</v>
      </c>
      <c r="AJ117" s="121">
        <f ca="1">IF(Z117="-","-",+(D117/Z117)-1)</f>
        <v>-0.27112493519958536</v>
      </c>
      <c r="AK117" s="120">
        <f ca="1">IF(AA117="-","-",+(D117/AA117)-1)</f>
        <v>-0.27112493519958536</v>
      </c>
      <c r="AM117" s="49" t="str">
        <f>IF(AL117=0,"-",+AL117/Z117-1)</f>
        <v>-</v>
      </c>
      <c r="AN117" s="28" t="e">
        <f ca="1">+D117/Y117-1</f>
        <v>#VALUE!</v>
      </c>
      <c r="AO117" s="75">
        <f ca="1">VLOOKUP(Tabla2[[#This Row],[TCKR]],'2026'!$D$5:$AH$257,8,FALSE)</f>
        <v>7676</v>
      </c>
      <c r="AP117" s="193">
        <f ca="1">VLOOKUP(Tabla2[[#This Row],[TCKR]],'2026'!$D$5:$AH$257,26,FALSE)</f>
        <v>-4577.4247442495289</v>
      </c>
      <c r="AQ117" s="5" t="e" cm="1" vm="221">
        <f t="array" ref="AQ117">_FV(Tabla2[[#This Row],[valor]],"P/E",TRUE)</f>
        <v>#VALUE!</v>
      </c>
      <c r="AR117" s="4"/>
      <c r="AT117" s="193">
        <f ca="1">+Tabla2[[#This Row],[Titulos2]]*Tabla2[[#This Row],[Neto]]</f>
        <v>0</v>
      </c>
      <c r="AU117" s="28">
        <f>+Tabla2[[#This Row],[Neto]]/Tabla2[[#This Row],[Precio compra2]]</f>
        <v>0</v>
      </c>
    </row>
    <row r="118" spans="1:47" ht="16" customHeight="1" x14ac:dyDescent="0.2">
      <c r="A118" s="75" t="e" vm="188">
        <v>#VALUE!</v>
      </c>
      <c r="B118" s="75" t="str" cm="1">
        <f t="array" aca="1" ref="B118" ca="1">_FV(A118,"Ticker symbol",TRUE)</f>
        <v>VNA</v>
      </c>
      <c r="C118" s="217" cm="1">
        <f t="array" aca="1" ref="C118" ca="1">_FV(A118,"Change (%)",TRUE)</f>
        <v>6.0980000000000001E-3</v>
      </c>
      <c r="D118" s="144" cm="1">
        <f t="array" aca="1" ref="D118" ca="1">_FV(A118,"Price")</f>
        <v>23.1</v>
      </c>
      <c r="E118" s="159">
        <f ca="1">AE118</f>
        <v>0.40086580086580081</v>
      </c>
      <c r="F118" s="321">
        <f ca="1">+Tabla2[[#This Row],[Rentab. Parcial]]</f>
        <v>-0.18661971830985902</v>
      </c>
      <c r="G118" s="321">
        <f ca="1">+Tabla2[[#This Row],[Rentab. Parcial2]]</f>
        <v>-0.18661971830985902</v>
      </c>
      <c r="H118" s="253">
        <f ca="1">+Tabla2[[#This Row],[Difer. Investing]]</f>
        <v>0.50735930735930723</v>
      </c>
      <c r="I118" s="79">
        <f>+Tabla2[[#This Row],[Objetivo div2]]</f>
        <v>32.36</v>
      </c>
      <c r="J118" s="75" cm="1">
        <f t="array" aca="1" ref="J118" ca="1">_FV(A118,"High")</f>
        <v>23.2</v>
      </c>
      <c r="K118" s="75" cm="1">
        <f t="array" aca="1" ref="K118" ca="1">_FV(A118,"Low")</f>
        <v>22.92</v>
      </c>
      <c r="L118" s="75" cm="1">
        <f t="array" aca="1" ref="L118" ca="1">_FV(Tabla2[[#This Row],[valor]],"52 week high",TRUE)</f>
        <v>30.69</v>
      </c>
      <c r="M118" s="75">
        <f ca="1">+L118*0.9</f>
        <v>27.621000000000002</v>
      </c>
      <c r="N118" s="75">
        <f ca="1">+L118*0.95</f>
        <v>29.1555</v>
      </c>
      <c r="O118" s="75" cm="1">
        <f t="array" aca="1" ref="O118" ca="1">_FV(A118,"52 week low",TRUE)</f>
        <v>20.09</v>
      </c>
      <c r="P118" s="220">
        <f ca="1">+TODAY()-Tabla2[[#This Row],[F. compra]]</f>
        <v>264</v>
      </c>
      <c r="Q118" s="220">
        <f ca="1">GESTEP(D118,M118)</f>
        <v>0</v>
      </c>
      <c r="R118" s="220">
        <f ca="1">GESTEP(D118,N118)</f>
        <v>0</v>
      </c>
      <c r="S118" s="75" t="s">
        <v>166</v>
      </c>
      <c r="T118" s="110" t="s">
        <v>78</v>
      </c>
      <c r="U118" s="110" t="s">
        <v>26</v>
      </c>
      <c r="V118" s="16">
        <v>45876</v>
      </c>
      <c r="W118" s="16">
        <v>45876</v>
      </c>
      <c r="X118" s="80"/>
      <c r="Y118" s="79">
        <v>28.44</v>
      </c>
      <c r="Z118" s="79">
        <v>28.4</v>
      </c>
      <c r="AA118" s="79">
        <f>+Tabla2[[#This Row],[Precio compra]]+Tabla2[[#This Row],[Div.]]</f>
        <v>28.4</v>
      </c>
      <c r="AB118" s="96"/>
      <c r="AC118" s="79">
        <v>32.36</v>
      </c>
      <c r="AD118" s="79">
        <f>+Tabla2[[#This Row],[Objetivo div2]]+Tabla2[[#This Row],[Div.]]</f>
        <v>32.36</v>
      </c>
      <c r="AE118" s="159">
        <f ca="1">IF(Z118="-",+AC118/Y118-1,AC118/D118-1)</f>
        <v>0.40086580086580081</v>
      </c>
      <c r="AF118" s="81">
        <v>34.82</v>
      </c>
      <c r="AG118" s="253">
        <f ca="1">IF(Z118="-",+AF118/D118-1,AF118/D118-1)</f>
        <v>0.50735930735930723</v>
      </c>
      <c r="AH118" s="81">
        <v>26.48</v>
      </c>
      <c r="AI118" s="147">
        <f ca="1">IF(Z118="-",AH118/Y118-1,+AH118/D118-1)</f>
        <v>0.14632034632034618</v>
      </c>
      <c r="AJ118" s="121">
        <f ca="1">IF(Z118="-","-",+(D118/Z118)-1)</f>
        <v>-0.18661971830985902</v>
      </c>
      <c r="AK118" s="120">
        <f ca="1">IF(AA118="-","-",+(D118/AA118)-1)</f>
        <v>-0.18661971830985902</v>
      </c>
      <c r="AM118" s="49" t="str">
        <f>IF(AL118=0,"-",+AL118/Z118-1)</f>
        <v>-</v>
      </c>
      <c r="AN118" s="28">
        <f ca="1">+D118/Y118-1</f>
        <v>-0.18776371308016881</v>
      </c>
      <c r="AO118" s="75">
        <f ca="1">VLOOKUP(Tabla2[[#This Row],[TCKR]],'2026'!$D$5:$AH$257,8,FALSE)</f>
        <v>353</v>
      </c>
      <c r="AP118" s="193">
        <f ca="1">VLOOKUP(Tabla2[[#This Row],[TCKR]],'2026'!$D$5:$AH$257,26,FALSE)</f>
        <v>-1502.038807270349</v>
      </c>
      <c r="AQ118" s="5" cm="1">
        <f t="array" aca="1" ref="AQ118" ca="1">_FV(Tabla2[[#This Row],[valor]],"P/E",TRUE)</f>
        <v>5.2469999999999999</v>
      </c>
      <c r="AR118" s="4"/>
      <c r="AT118" s="193">
        <f ca="1">+Tabla2[[#This Row],[Titulos2]]*Tabla2[[#This Row],[Neto]]</f>
        <v>0</v>
      </c>
      <c r="AU118" s="28">
        <f>+Tabla2[[#This Row],[Neto]]/Tabla2[[#This Row],[Precio compra2]]</f>
        <v>0</v>
      </c>
    </row>
    <row r="119" spans="1:47" ht="16" customHeight="1" x14ac:dyDescent="0.2">
      <c r="A119" s="330" t="e" vm="19">
        <v>#VALUE!</v>
      </c>
      <c r="B119" s="75" t="str" cm="1">
        <f t="array" aca="1" ref="B119" ca="1">_FV(A119,"Ticker symbol",TRUE)</f>
        <v>ARCAD</v>
      </c>
      <c r="C119" s="217" cm="1">
        <f t="array" aca="1" ref="C119" ca="1">_FV(A119,"Change (%)",TRUE)</f>
        <v>1.7297E-2</v>
      </c>
      <c r="D119" s="144" cm="1">
        <f t="array" aca="1" ref="D119" ca="1">_FV(A119,"Price")</f>
        <v>31.76</v>
      </c>
      <c r="E119" s="289">
        <f ca="1">AE119</f>
        <v>0.40176322418136023</v>
      </c>
      <c r="F119" s="321">
        <f ca="1">+Tabla2[[#This Row],[Rentab. Parcial]]</f>
        <v>-0.13882863340563989</v>
      </c>
      <c r="G119" s="321">
        <f ca="1">+Tabla2[[#This Row],[Rentab. Parcial2]]</f>
        <v>-0.13882863340563989</v>
      </c>
      <c r="H119" s="253">
        <f ca="1">+Tabla2[[#This Row],[Difer. Investing]]</f>
        <v>0.68860201511335006</v>
      </c>
      <c r="I119" s="79">
        <f>+Tabla2[[#This Row],[Objetivo div2]]</f>
        <v>44.52</v>
      </c>
      <c r="J119" s="75" cm="1">
        <f t="array" aca="1" ref="J119" ca="1">_FV(A119,"High")</f>
        <v>32.08</v>
      </c>
      <c r="K119" s="75" cm="1">
        <f t="array" aca="1" ref="K119" ca="1">_FV(A119,"Low")</f>
        <v>31.14</v>
      </c>
      <c r="L119" s="75" cm="1">
        <f t="array" aca="1" ref="L119" ca="1">_FV(Tabla2[[#This Row],[valor]],"52 week high",TRUE)</f>
        <v>51.25</v>
      </c>
      <c r="M119" s="75">
        <f ca="1">+L119*0.9</f>
        <v>46.125</v>
      </c>
      <c r="N119" s="75">
        <f ca="1">+L119*0.95</f>
        <v>48.6875</v>
      </c>
      <c r="O119" s="75" cm="1">
        <f t="array" aca="1" ref="O119" ca="1">_FV(A119,"52 week low",TRUE)</f>
        <v>25.88</v>
      </c>
      <c r="P119" s="220">
        <f ca="1">+TODAY()-Tabla2[[#This Row],[F. compra]]</f>
        <v>111</v>
      </c>
      <c r="Q119" s="220">
        <f ca="1">GESTEP(D119,M119)</f>
        <v>0</v>
      </c>
      <c r="R119" s="220">
        <f ca="1">GESTEP(D119,N119)</f>
        <v>0</v>
      </c>
      <c r="S119" s="75" t="s">
        <v>219</v>
      </c>
      <c r="T119" s="110" t="s">
        <v>78</v>
      </c>
      <c r="U119" s="110" t="s">
        <v>26</v>
      </c>
      <c r="V119" s="16">
        <v>46029</v>
      </c>
      <c r="W119" s="16">
        <v>46029</v>
      </c>
      <c r="X119" s="80"/>
      <c r="Y119" s="79">
        <v>36.880000000000003</v>
      </c>
      <c r="Z119" s="79">
        <v>36.880000000000003</v>
      </c>
      <c r="AA119" s="79">
        <v>36.880000000000003</v>
      </c>
      <c r="AB119" s="79"/>
      <c r="AC119" s="79">
        <v>44.52</v>
      </c>
      <c r="AD119" s="82">
        <f>+Tabla2[[#This Row],[Objetivo div2]]+Tabla2[[#This Row],[Div.]]</f>
        <v>44.52</v>
      </c>
      <c r="AE119" s="289">
        <f ca="1">IF(Z119="-",+AC119/Y119-1,AC119/D119-1)</f>
        <v>0.40176322418136023</v>
      </c>
      <c r="AF119" s="76">
        <v>53.63</v>
      </c>
      <c r="AG119" s="253">
        <f ca="1">IF(Z119="-",+AF119/D119-1,AF119/D119-1)</f>
        <v>0.68860201511335006</v>
      </c>
      <c r="AH119" s="76">
        <v>34.64</v>
      </c>
      <c r="AI119" s="147">
        <f ca="1">IF(Z119="-",AH119/Y119-1,+AH119/D119-1)</f>
        <v>9.0680100755667459E-2</v>
      </c>
      <c r="AJ119" s="121">
        <f ca="1">IF(Z119="-","-",+(D119/Z119)-1)</f>
        <v>-0.13882863340563989</v>
      </c>
      <c r="AK119" s="120">
        <f ca="1">IF(AA119="-","-",+(D119/AA119)-1)</f>
        <v>-0.13882863340563989</v>
      </c>
      <c r="AM119" s="49" t="str">
        <f>IF(AL119=0,"-",+AL119/Z119-1)</f>
        <v>-</v>
      </c>
      <c r="AN119" s="28">
        <f ca="1">+D119/Y119-1</f>
        <v>-0.13882863340563989</v>
      </c>
      <c r="AO119" s="75"/>
      <c r="AP119" s="193">
        <f ca="1">VLOOKUP(Tabla2[[#This Row],[TCKR]],'2026'!$D$5:$AH$257,26,FALSE)</f>
        <v>-1338.5521276847667</v>
      </c>
      <c r="AR119" s="4"/>
      <c r="AU119" s="28"/>
    </row>
    <row r="120" spans="1:47" ht="16" customHeight="1" x14ac:dyDescent="0.2">
      <c r="A120" s="323" t="e" vm="95">
        <v>#VALUE!</v>
      </c>
      <c r="B120" s="75" t="str" cm="1">
        <f t="array" aca="1" ref="B120" ca="1">_FV(A120,"Ticker symbol",TRUE)</f>
        <v>ISRG</v>
      </c>
      <c r="C120" s="217" cm="1">
        <f t="array" aca="1" ref="C120" ca="1">_FV(A120,"Change (%)",TRUE)</f>
        <v>-2.3288000000000003E-2</v>
      </c>
      <c r="D120" s="144" cm="1">
        <f t="array" aca="1" ref="D120" ca="1">_FV(A120,"Price")</f>
        <v>470.99</v>
      </c>
      <c r="E120" s="159">
        <f ca="1">AE120</f>
        <v>0.41457355782500693</v>
      </c>
      <c r="F120" s="321">
        <f ca="1">+Tabla2[[#This Row],[Rentab. Parcial]]</f>
        <v>-0.10437742450749221</v>
      </c>
      <c r="G120" s="321">
        <f ca="1">+Tabla2[[#This Row],[Rentab. Parcial2]]</f>
        <v>-0.10437742450749221</v>
      </c>
      <c r="H120" s="253">
        <f ca="1">+Tabla2[[#This Row],[Difer. Investing]]</f>
        <v>0.22301959701904495</v>
      </c>
      <c r="I120" s="79">
        <f>+Tabla2[[#This Row],[Objetivo div2]]</f>
        <v>666.25</v>
      </c>
      <c r="J120" s="75" cm="1">
        <f t="array" aca="1" ref="J120" ca="1">_FV(A120,"High")</f>
        <v>486.77420000000001</v>
      </c>
      <c r="K120" s="75" cm="1">
        <f t="array" aca="1" ref="K120" ca="1">_FV(A120,"Low")</f>
        <v>469.2</v>
      </c>
      <c r="L120" s="75" cm="1">
        <f t="array" aca="1" ref="L120" ca="1">_FV(Tabla2[[#This Row],[valor]],"52 week high",TRUE)</f>
        <v>603.88</v>
      </c>
      <c r="M120" s="75">
        <f ca="1">+L120*0.9</f>
        <v>543.49199999999996</v>
      </c>
      <c r="N120" s="75">
        <f ca="1">+L120*0.95</f>
        <v>573.68599999999992</v>
      </c>
      <c r="O120" s="75" cm="1">
        <f t="array" aca="1" ref="O120" ca="1">_FV(A120,"52 week low",TRUE)</f>
        <v>427.83600000000001</v>
      </c>
      <c r="P120" s="220">
        <f ca="1">+TODAY()-Tabla2[[#This Row],[F. compra]]</f>
        <v>358</v>
      </c>
      <c r="Q120" s="220">
        <f ca="1">GESTEP(D120,M120)</f>
        <v>0</v>
      </c>
      <c r="R120" s="220">
        <f ca="1">GESTEP(D120,N120)</f>
        <v>0</v>
      </c>
      <c r="S120" s="75" t="s">
        <v>75</v>
      </c>
      <c r="T120" s="110" t="s">
        <v>78</v>
      </c>
      <c r="U120" s="110" t="s">
        <v>72</v>
      </c>
      <c r="V120" s="16">
        <v>45782</v>
      </c>
      <c r="W120" s="16">
        <v>45782</v>
      </c>
      <c r="X120" s="80"/>
      <c r="Y120" s="79">
        <v>530.4</v>
      </c>
      <c r="Z120" s="79">
        <v>525.88</v>
      </c>
      <c r="AA120" s="79">
        <f>+Tabla2[[#This Row],[Precio compra]]+Tabla2[[#This Row],[Div.]]</f>
        <v>525.88</v>
      </c>
      <c r="AB120" s="96"/>
      <c r="AC120" s="79">
        <v>666.25</v>
      </c>
      <c r="AD120" s="79">
        <f>+Tabla2[[#This Row],[Objetivo div2]]+Tabla2[[#This Row],[Div.]]</f>
        <v>666.25</v>
      </c>
      <c r="AE120" s="159">
        <f ca="1">IF(Z120="-",+AC120/Y120-1,AC120/D120-1)</f>
        <v>0.41457355782500693</v>
      </c>
      <c r="AF120" s="81">
        <v>576.03</v>
      </c>
      <c r="AG120" s="253">
        <f ca="1">IF(Z120="-",+AF120/D120-1,AF120/D120-1)</f>
        <v>0.22301959701904495</v>
      </c>
      <c r="AH120" s="81">
        <v>462.48</v>
      </c>
      <c r="AI120" s="147">
        <f ca="1">IF(Z120="-",AH120/Y120-1,+AH120/D120-1)</f>
        <v>-1.8068324168241334E-2</v>
      </c>
      <c r="AJ120" s="121">
        <f ca="1">IF(Z120="-","-",+(D120/Z120)-1)</f>
        <v>-0.10437742450749221</v>
      </c>
      <c r="AK120" s="120">
        <f ca="1">IF(AA120="-","-",+(D120/AA120)-1)</f>
        <v>-0.10437742450749221</v>
      </c>
      <c r="AM120" s="49" t="str">
        <f>IF(AL120=0,"-",+AL120/Z120-1)</f>
        <v>-</v>
      </c>
      <c r="AN120" s="28">
        <f ca="1">+D120/Y120-1</f>
        <v>-0.11200980392156856</v>
      </c>
      <c r="AO120" s="75">
        <f ca="1">VLOOKUP(Tabla2[[#This Row],[TCKR]],'2026'!$D$5:$AH$257,8,FALSE)</f>
        <v>20</v>
      </c>
      <c r="AP120" s="193">
        <f ca="1">VLOOKUP(Tabla2[[#This Row],[TCKR]],'2026'!$D$5:$AH$257,26,FALSE)</f>
        <v>-1042.3269702486612</v>
      </c>
      <c r="AQ120" s="5" cm="1">
        <f t="array" aca="1" ref="AQ120" ca="1">_FV(Tabla2[[#This Row],[valor]],"P/E",TRUE)</f>
        <v>58.507899999999999</v>
      </c>
      <c r="AR120" s="4"/>
      <c r="AT120" s="193">
        <f ca="1">+Tabla2[[#This Row],[Titulos2]]*Tabla2[[#This Row],[Neto]]</f>
        <v>0</v>
      </c>
      <c r="AU120" s="28">
        <f>+Tabla2[[#This Row],[Neto]]/Tabla2[[#This Row],[Precio compra2]]</f>
        <v>0</v>
      </c>
    </row>
    <row r="121" spans="1:47" ht="16" customHeight="1" x14ac:dyDescent="0.2">
      <c r="A121" s="306" t="e" vm="119">
        <v>#VALUE!</v>
      </c>
      <c r="B121" s="75" t="str" cm="1">
        <f t="array" aca="1" ref="B121" ca="1">_FV(A121,"Ticker symbol",TRUE)</f>
        <v>MONC</v>
      </c>
      <c r="C121" s="217" cm="1">
        <f t="array" aca="1" ref="C121" ca="1">_FV(A121,"Change (%)",TRUE)</f>
        <v>1.6265999999999999E-2</v>
      </c>
      <c r="D121" s="144" cm="1">
        <f t="array" aca="1" ref="D121" ca="1">_FV(A121,"Price")</f>
        <v>54.98</v>
      </c>
      <c r="E121" s="307">
        <f ca="1">AE121</f>
        <v>0.41033102946526023</v>
      </c>
      <c r="F121" s="321">
        <f ca="1">+Tabla2[[#This Row],[Rentab. Parcial]]</f>
        <v>6.0980316480123475E-2</v>
      </c>
      <c r="G121" s="321">
        <f ca="1">+Tabla2[[#This Row],[Rentab. Parcial2]]</f>
        <v>6.0980316480123475E-2</v>
      </c>
      <c r="H121" s="253">
        <f ca="1">+Tabla2[[#This Row],[Difer. Investing]]</f>
        <v>2.346307748272114E-2</v>
      </c>
      <c r="I121" s="79">
        <f>+Tabla2[[#This Row],[Objetivo div2]]</f>
        <v>77.540000000000006</v>
      </c>
      <c r="J121" s="75" cm="1">
        <f t="array" aca="1" ref="J121" ca="1">_FV(A121,"High")</f>
        <v>55.36</v>
      </c>
      <c r="K121" s="75" cm="1">
        <f t="array" aca="1" ref="K121" ca="1">_FV(A121,"Low")</f>
        <v>54</v>
      </c>
      <c r="L121" s="75" cm="1">
        <f t="array" aca="1" ref="L121" ca="1">_FV(Tabla2[[#This Row],[valor]],"52 week high",TRUE)</f>
        <v>59.4</v>
      </c>
      <c r="M121" s="75">
        <f ca="1">+L121*0.9</f>
        <v>53.46</v>
      </c>
      <c r="N121" s="75">
        <f ca="1">+L121*0.95</f>
        <v>56.429999999999993</v>
      </c>
      <c r="O121" s="75" cm="1">
        <f t="array" aca="1" ref="O121" ca="1">_FV(A121,"52 week low",TRUE)</f>
        <v>45.46</v>
      </c>
      <c r="P121" s="220">
        <f ca="1">+TODAY()-Tabla2[[#This Row],[F. compra]]</f>
        <v>201</v>
      </c>
      <c r="Q121" s="220">
        <f ca="1">GESTEP(D121,M121)</f>
        <v>1</v>
      </c>
      <c r="R121" s="220">
        <f ca="1">GESTEP(D121,N121)</f>
        <v>0</v>
      </c>
      <c r="S121" s="75" t="s">
        <v>75</v>
      </c>
      <c r="T121" s="110" t="s">
        <v>78</v>
      </c>
      <c r="U121" s="110" t="s">
        <v>72</v>
      </c>
      <c r="V121" s="16">
        <v>45936</v>
      </c>
      <c r="W121" s="16">
        <v>45939</v>
      </c>
      <c r="X121" s="80" t="s">
        <v>248</v>
      </c>
      <c r="Y121" s="79">
        <v>52.22</v>
      </c>
      <c r="Z121" s="79">
        <v>51.82</v>
      </c>
      <c r="AA121" s="79">
        <v>51.82</v>
      </c>
      <c r="AB121" s="79"/>
      <c r="AC121" s="79">
        <v>77.540000000000006</v>
      </c>
      <c r="AD121" s="79">
        <f>+Tabla2[[#This Row],[Objetivo div2]]+Tabla2[[#This Row],[Div.]]</f>
        <v>77.540000000000006</v>
      </c>
      <c r="AE121" s="307">
        <f ca="1">IF(Z121="-",+AC121/Y121-1,AC121/D121-1)</f>
        <v>0.41033102946526023</v>
      </c>
      <c r="AF121" s="76">
        <v>56.27</v>
      </c>
      <c r="AG121" s="253">
        <f ca="1">IF(Z121="-",+AF121/D121-1,AF121/D121-1)</f>
        <v>2.346307748272114E-2</v>
      </c>
      <c r="AH121" s="76">
        <v>44.58</v>
      </c>
      <c r="AI121" s="147">
        <f ca="1">IF(Z121="-",AH121/Y121-1,+AH121/D121-1)</f>
        <v>-0.18915969443433978</v>
      </c>
      <c r="AJ121" s="121">
        <f ca="1">IF(Z121="-","-",+(D121/Z121)-1)</f>
        <v>6.0980316480123475E-2</v>
      </c>
      <c r="AK121" s="120">
        <f ca="1">IF(AA121="-","-",+(D121/AA121)-1)</f>
        <v>6.0980316480123475E-2</v>
      </c>
      <c r="AM121" s="49" t="str">
        <f>IF(AL121=0,"-",+AL121/Z121-1)</f>
        <v>-</v>
      </c>
      <c r="AN121" s="28">
        <f ca="1">+D121/Y121-1</f>
        <v>5.2853312906932182E-2</v>
      </c>
      <c r="AO121" s="75">
        <f ca="1">VLOOKUP(Tabla2[[#This Row],[TCKR]],'2026'!$D$5:$AH$257,8,FALSE)</f>
        <v>120</v>
      </c>
      <c r="AP121" s="193">
        <f ca="1">VLOOKUP(Tabla2[[#This Row],[TCKR]],'2026'!$D$5:$AH$257,26,FALSE)</f>
        <v>-1076.5309437766982</v>
      </c>
      <c r="AQ121" s="5" cm="1">
        <f t="array" aca="1" ref="AQ121" ca="1">_FV(Tabla2[[#This Row],[valor]],"P/E",TRUE)</f>
        <v>23.441199999999998</v>
      </c>
      <c r="AR121" s="4"/>
      <c r="AT121" s="193">
        <f ca="1">+Tabla2[[#This Row],[Titulos2]]*Tabla2[[#This Row],[Neto]]</f>
        <v>0</v>
      </c>
      <c r="AU121" s="28">
        <f>+Tabla2[[#This Row],[Neto]]/Tabla2[[#This Row],[Precio compra2]]</f>
        <v>0</v>
      </c>
    </row>
    <row r="122" spans="1:47" ht="16" customHeight="1" x14ac:dyDescent="0.2">
      <c r="A122" s="179" t="e" vm="6">
        <v>#VALUE!</v>
      </c>
      <c r="B122" s="75" t="str" cm="1">
        <f t="array" aca="1" ref="B122" ca="1">_FV(A122,"Ticker symbol",TRUE)</f>
        <v>ADS</v>
      </c>
      <c r="C122" s="217" cm="1">
        <f t="array" aca="1" ref="C122" ca="1">_FV(A122,"Change (%)",TRUE)</f>
        <v>8.0059999999999992E-3</v>
      </c>
      <c r="D122" s="144" cm="1">
        <f t="array" aca="1" ref="D122" ca="1">_FV(A122,"Price")</f>
        <v>138.5</v>
      </c>
      <c r="E122" s="289">
        <f ca="1">AE122</f>
        <v>0.41805054151624543</v>
      </c>
      <c r="F122" s="321">
        <f ca="1">+Tabla2[[#This Row],[Rentab. Parcial]]</f>
        <v>-0.1064516129032258</v>
      </c>
      <c r="G122" s="321">
        <f ca="1">+Tabla2[[#This Row],[Rentab. Parcial2]]</f>
        <v>-0.1064516129032258</v>
      </c>
      <c r="H122" s="253">
        <f ca="1">+Tabla2[[#This Row],[Difer. Investing]]</f>
        <v>0.60418772563176892</v>
      </c>
      <c r="I122" s="79">
        <f>+Tabla2[[#This Row],[Objetivo div2]]</f>
        <v>196.4</v>
      </c>
      <c r="J122" s="75" cm="1">
        <f t="array" aca="1" ref="J122" ca="1">_FV(A122,"High")</f>
        <v>138.85</v>
      </c>
      <c r="K122" s="75" cm="1">
        <f t="array" aca="1" ref="K122" ca="1">_FV(A122,"Low")</f>
        <v>137.35</v>
      </c>
      <c r="L122" s="75" cm="1">
        <f t="array" aca="1" ref="L122" ca="1">_FV(A122,"52 week high",TRUE)</f>
        <v>335.05</v>
      </c>
      <c r="M122" s="75">
        <f ca="1">+L122*0.9</f>
        <v>301.54500000000002</v>
      </c>
      <c r="N122" s="75">
        <f ca="1">+L122*0.95</f>
        <v>318.29750000000001</v>
      </c>
      <c r="O122" s="75" cm="1">
        <f t="array" aca="1" ref="O122" ca="1">_FV(A122,"52 week low",TRUE)</f>
        <v>93.44</v>
      </c>
      <c r="P122" s="220">
        <f ca="1">+TODAY()-Tabla2[[#This Row],[F. compra]]</f>
        <v>76</v>
      </c>
      <c r="Q122" s="220">
        <f ca="1">GESTEP(D122,M122)</f>
        <v>0</v>
      </c>
      <c r="R122" s="220">
        <f ca="1">GESTEP(D122,N122)</f>
        <v>0</v>
      </c>
      <c r="S122" s="75" t="s">
        <v>75</v>
      </c>
      <c r="T122" s="110" t="s">
        <v>26</v>
      </c>
      <c r="U122" s="110" t="s">
        <v>199</v>
      </c>
      <c r="V122" s="16">
        <v>46064</v>
      </c>
      <c r="W122" s="16">
        <v>46064</v>
      </c>
      <c r="X122" s="80"/>
      <c r="Y122" s="79">
        <v>155</v>
      </c>
      <c r="Z122" s="79">
        <v>155</v>
      </c>
      <c r="AA122" s="79">
        <v>155</v>
      </c>
      <c r="AB122" s="79"/>
      <c r="AC122" s="79">
        <v>196.4</v>
      </c>
      <c r="AD122" s="82">
        <f>+Tabla2[[#This Row],[Objetivo div2]]+Tabla2[[#This Row],[Div.]]</f>
        <v>196.4</v>
      </c>
      <c r="AE122" s="289">
        <f ca="1">IF(Z122="-",+AC122/Y122-1,AC122/D122-1)</f>
        <v>0.41805054151624543</v>
      </c>
      <c r="AF122" s="76">
        <v>222.18</v>
      </c>
      <c r="AG122" s="253">
        <f ca="1">IF(Z122="-",+AF122/D122-1,AF122/D122-1)</f>
        <v>0.60418772563176892</v>
      </c>
      <c r="AH122" s="76">
        <v>142.5</v>
      </c>
      <c r="AI122" s="147">
        <f ca="1">IF(Z122="-",AH122/Y122-1,+AH122/D122-1)</f>
        <v>2.8880866425992746E-2</v>
      </c>
      <c r="AJ122" s="121">
        <f ca="1">IF(Z122="-","-",+(D122/Z122)-1)</f>
        <v>-0.1064516129032258</v>
      </c>
      <c r="AK122" s="120">
        <f ca="1">IF(AA122="-","-",+(D122/AA122)-1)</f>
        <v>-0.1064516129032258</v>
      </c>
      <c r="AM122" s="49" t="str">
        <f>IF(AL122=0,"-",+AL122/Z122-1)</f>
        <v>-</v>
      </c>
      <c r="AN122" s="28">
        <f ca="1">+D122/Y122-1</f>
        <v>-0.1064516129032258</v>
      </c>
      <c r="AO122" s="75">
        <f ca="1">VLOOKUP(Tabla2[[#This Row],[TCKR]],'2026'!$D$5:$AH$257,8,FALSE)</f>
        <v>59</v>
      </c>
      <c r="AP122" s="193">
        <f ca="1">VLOOKUP(Tabla2[[#This Row],[TCKR]],'2026'!$D$5:$AH$257,26,FALSE)</f>
        <v>-769.23287857208993</v>
      </c>
      <c r="AQ122" s="5" cm="1">
        <f t="array" aca="1" ref="AQ122" ca="1">_FV(Tabla2[[#This Row],[valor]],"P/E",TRUE)</f>
        <v>18.55</v>
      </c>
      <c r="AR122" s="4"/>
      <c r="AT122" s="193">
        <f ca="1">+Tabla2[[#This Row],[Titulos2]]*Tabla2[[#This Row],[Neto]]</f>
        <v>0</v>
      </c>
      <c r="AU122" s="28">
        <f>+Tabla2[[#This Row],[Neto]]/Tabla2[[#This Row],[Precio compra2]]</f>
        <v>0</v>
      </c>
    </row>
    <row r="123" spans="1:47" ht="16" customHeight="1" x14ac:dyDescent="0.2">
      <c r="A123" s="360" t="e" vm="78">
        <v>#VALUE!</v>
      </c>
      <c r="B123" s="75" t="str" cm="1">
        <f t="array" aca="1" ref="B123" ca="1">_FV(A123,"Ticker symbol",TRUE)</f>
        <v>GNTX</v>
      </c>
      <c r="C123" s="217" cm="1">
        <f t="array" aca="1" ref="C123" ca="1">_FV(A123,"Change (%)",TRUE)</f>
        <v>-8.3750000000000003E-4</v>
      </c>
      <c r="D123" s="144" cm="1">
        <f t="array" aca="1" ref="D123" ca="1">_FV(A123,"Price")</f>
        <v>23.86</v>
      </c>
      <c r="E123" s="356">
        <f>AE123</f>
        <v>0.41553637484586936</v>
      </c>
      <c r="F123" s="321">
        <f ca="1">+Tabla2[[#This Row],[Rentab. Parcial]]</f>
        <v>-1.9317714755445858E-2</v>
      </c>
      <c r="G123" s="321">
        <f ca="1">+Tabla2[[#This Row],[Rentab. Parcial2]]</f>
        <v>-1.9317714755445858E-2</v>
      </c>
      <c r="H123" s="253">
        <f ca="1">+Tabla2[[#This Row],[Difer. Investing]]</f>
        <v>0.35917854149203698</v>
      </c>
      <c r="I123" s="79">
        <v>263.48</v>
      </c>
      <c r="J123" s="75" cm="1">
        <f t="array" aca="1" ref="J123" ca="1">_FV(A123,"High")</f>
        <v>24.82</v>
      </c>
      <c r="K123" s="75" cm="1">
        <f t="array" aca="1" ref="K123" ca="1">_FV(A123,"Low")</f>
        <v>23.83</v>
      </c>
      <c r="L123" s="75" cm="1">
        <f t="array" aca="1" ref="L123" ca="1">_FV(A123,"52 week high",TRUE)</f>
        <v>29.38</v>
      </c>
      <c r="M123" s="75">
        <f ca="1">+L123*0.9</f>
        <v>26.442</v>
      </c>
      <c r="N123" s="75">
        <f ca="1">+L123*0.95</f>
        <v>27.910999999999998</v>
      </c>
      <c r="O123" s="75" cm="1">
        <f t="array" aca="1" ref="O123" ca="1">_FV(A123,"52 week low",TRUE)</f>
        <v>20.48</v>
      </c>
      <c r="P123" s="220">
        <f ca="1">+TODAY()-Tabla2[[#This Row],[F. compra]]</f>
        <v>1</v>
      </c>
      <c r="Q123" s="220">
        <f ca="1">GESTEP(D123,M123)</f>
        <v>0</v>
      </c>
      <c r="R123" s="220">
        <f ca="1">GESTEP(D123,N123)</f>
        <v>0</v>
      </c>
      <c r="S123" s="75" t="s">
        <v>75</v>
      </c>
      <c r="T123" s="110" t="s">
        <v>78</v>
      </c>
      <c r="U123" s="110" t="s">
        <v>199</v>
      </c>
      <c r="V123" s="16">
        <v>46139</v>
      </c>
      <c r="W123" s="16">
        <v>46139</v>
      </c>
      <c r="X123" s="80" t="s">
        <v>445</v>
      </c>
      <c r="Y123" s="79">
        <v>24.62</v>
      </c>
      <c r="Z123" s="79">
        <v>24.33</v>
      </c>
      <c r="AA123" s="79">
        <v>24.33</v>
      </c>
      <c r="AB123" s="79"/>
      <c r="AC123" s="79">
        <v>34.44</v>
      </c>
      <c r="AD123" s="79">
        <f>+Tabla2[[#This Row],[Objetivo div2]]+Tabla2[[#This Row],[Div.]]</f>
        <v>34.44</v>
      </c>
      <c r="AE123" s="356">
        <f>IF(Z123="",+AC123/Y123-1,AC123/Z123-1)</f>
        <v>0.41553637484586936</v>
      </c>
      <c r="AF123" s="76">
        <v>32.43</v>
      </c>
      <c r="AG123" s="253">
        <f ca="1">IF(Z123="-",+AF123/D123-1,AF123/D123-1)</f>
        <v>0.35917854149203698</v>
      </c>
      <c r="AH123" s="76">
        <v>20.94</v>
      </c>
      <c r="AI123" s="147">
        <f ca="1">IF(Z123="-",AH123/#REF!-1,+AH123/D123-1)</f>
        <v>-0.12238055322715835</v>
      </c>
      <c r="AJ123" s="121">
        <f ca="1">IF(Z123="-","-",+(D123/Z123)-1)</f>
        <v>-1.9317714755445858E-2</v>
      </c>
      <c r="AK123" s="120">
        <f ca="1">IF(AA123="-","-",+(D123/AA123)-1)</f>
        <v>-1.9317714755445858E-2</v>
      </c>
      <c r="AM123" s="49" t="str">
        <f>IF(AL123=0,"-",+AL123/Z123-1)</f>
        <v>-</v>
      </c>
      <c r="AN123" s="28">
        <f ca="1">+D123/Y123-1</f>
        <v>-3.086921202274584E-2</v>
      </c>
      <c r="AO123" s="75"/>
      <c r="AP123" s="193"/>
      <c r="AR123" s="4"/>
      <c r="AU123" s="28"/>
    </row>
    <row r="124" spans="1:47" ht="16" customHeight="1" x14ac:dyDescent="0.2">
      <c r="A124" s="323" t="e" vm="26">
        <v>#VALUE!</v>
      </c>
      <c r="B124" s="75" t="str" cm="1">
        <f t="array" aca="1" ref="B124" ca="1">_FV(A124,"Ticker symbol",TRUE)</f>
        <v>BLCO</v>
      </c>
      <c r="C124" s="217" cm="1">
        <f t="array" aca="1" ref="C124" ca="1">_FV(A124,"Change (%)",TRUE)</f>
        <v>3.7930000000000004E-3</v>
      </c>
      <c r="D124" s="144" cm="1">
        <f t="array" aca="1" ref="D124" ca="1">_FV(A124,"Price")</f>
        <v>15.88</v>
      </c>
      <c r="E124" s="159">
        <f ca="1">AE124</f>
        <v>0.4382871536523929</v>
      </c>
      <c r="F124" s="321">
        <f ca="1">+Tabla2[[#This Row],[Rentab. Parcial]]</f>
        <v>-0.20995024875621893</v>
      </c>
      <c r="G124" s="321">
        <f ca="1">+Tabla2[[#This Row],[Rentab. Parcial2]]</f>
        <v>-0.20995024875621893</v>
      </c>
      <c r="H124" s="253">
        <f ca="1">+Tabla2[[#This Row],[Difer. Investing]]</f>
        <v>9.5088161209067934E-2</v>
      </c>
      <c r="I124" s="79">
        <f>+Tabla2[[#This Row],[Objetivo div2]]</f>
        <v>22.84</v>
      </c>
      <c r="J124" s="75" cm="1">
        <f t="array" aca="1" ref="J124" ca="1">_FV(A124,"High")</f>
        <v>16.23</v>
      </c>
      <c r="K124" s="75" cm="1">
        <f t="array" aca="1" ref="K124" ca="1">_FV(A124,"Low")</f>
        <v>15.8</v>
      </c>
      <c r="L124" s="75" cm="1">
        <f t="array" aca="1" ref="L124" ca="1">_FV(Tabla2[[#This Row],[valor]],"52 week high",TRUE)</f>
        <v>18.914999999999999</v>
      </c>
      <c r="M124" s="75">
        <f ca="1">+Tabla2[[#This Row],[52 high]]*0.9</f>
        <v>17.023499999999999</v>
      </c>
      <c r="N124" s="75">
        <f ca="1">+Tabla2[[#This Row],[52 high]]*0.95</f>
        <v>17.969249999999999</v>
      </c>
      <c r="O124" s="75" cm="1">
        <f t="array" aca="1" ref="O124" ca="1">_FV(Tabla2[[#This Row],[valor]],"52 week low",TRUE)</f>
        <v>10.45</v>
      </c>
      <c r="P124" s="220">
        <f ca="1">+TODAY()-Tabla2[[#This Row],[F. compra]]</f>
        <v>505</v>
      </c>
      <c r="Q124" s="220">
        <f ca="1">GESTEP(Tabla2[[#This Row],[price]],Tabla2[[#This Row],[HIGH 10%]])</f>
        <v>0</v>
      </c>
      <c r="R124" s="220">
        <f ca="1">GESTEP(Tabla2[[#This Row],[price]],Tabla2[[#This Row],[HIGH 5%]])</f>
        <v>0</v>
      </c>
      <c r="S124" s="75" t="s">
        <v>76</v>
      </c>
      <c r="T124" s="110" t="s">
        <v>78</v>
      </c>
      <c r="U124" s="110" t="s">
        <v>26</v>
      </c>
      <c r="V124" s="16">
        <v>45635</v>
      </c>
      <c r="W124" s="16">
        <v>45635</v>
      </c>
      <c r="X124" s="80" t="s">
        <v>11</v>
      </c>
      <c r="Y124" s="79">
        <v>20.16</v>
      </c>
      <c r="Z124" s="79">
        <v>20.100000000000001</v>
      </c>
      <c r="AA124" s="79">
        <f>+Tabla2[[#This Row],[Precio compra]]+Tabla2[[#This Row],[Div.]]</f>
        <v>20.100000000000001</v>
      </c>
      <c r="AB124" s="96"/>
      <c r="AC124" s="79">
        <v>22.84</v>
      </c>
      <c r="AD124" s="79">
        <f>+Tabla2[[#This Row],[Objetivo div2]]+Tabla2[[#This Row],[Div.]]</f>
        <v>22.84</v>
      </c>
      <c r="AE124" s="159">
        <f ca="1">IF(Z124="-",+AC124/Y124-1,AC124/D124-1)</f>
        <v>0.4382871536523929</v>
      </c>
      <c r="AF124" s="81">
        <v>17.39</v>
      </c>
      <c r="AG124" s="253">
        <f ca="1">IF(Z124="-",+AF124/D124-1,AF124/D124-1)</f>
        <v>9.5088161209067934E-2</v>
      </c>
      <c r="AH124" s="81">
        <v>18.82</v>
      </c>
      <c r="AI124" s="147">
        <f ca="1">IF(Z124="-",AH124/Y124-1,+AH124/D124-1)</f>
        <v>0.18513853904282107</v>
      </c>
      <c r="AJ124" s="121">
        <f ca="1">IF(Z124="-","-",+(D124/Z124)-1)</f>
        <v>-0.20995024875621893</v>
      </c>
      <c r="AK124" s="120">
        <f ca="1">IF(AA124="-","-",+(D124/AA124)-1)</f>
        <v>-0.20995024875621893</v>
      </c>
      <c r="AM124" s="49" t="str">
        <f>IF(AL124=0,"-",+AL124/Z124-1)</f>
        <v>-</v>
      </c>
      <c r="AN124" s="28">
        <f ca="1">+D124/Y124-1</f>
        <v>-0.21230158730158721</v>
      </c>
      <c r="AO124" s="75">
        <f ca="1">VLOOKUP(Tabla2[[#This Row],[TCKR]],'2026'!$D$5:$AH$257,8,FALSE)</f>
        <v>248</v>
      </c>
      <c r="AP124" s="193">
        <f ca="1">VLOOKUP(Tabla2[[#This Row],[TCKR]],'2026'!$D$5:$AH$257,26,FALSE)</f>
        <v>-1102.517029020097</v>
      </c>
      <c r="AQ124" s="5" t="e" cm="1" vm="221">
        <f t="array" ref="AQ124">_FV(Tabla2[[#This Row],[valor]],"P/E",TRUE)</f>
        <v>#VALUE!</v>
      </c>
      <c r="AR124" s="4"/>
      <c r="AT124" s="193">
        <f ca="1">+Tabla2[[#This Row],[Titulos2]]*Tabla2[[#This Row],[Neto]]</f>
        <v>0</v>
      </c>
      <c r="AU124" s="28">
        <f>+Tabla2[[#This Row],[Neto]]/Tabla2[[#This Row],[Precio compra2]]</f>
        <v>0</v>
      </c>
    </row>
    <row r="125" spans="1:47" ht="16" customHeight="1" x14ac:dyDescent="0.2">
      <c r="A125" s="325" t="e" vm="159">
        <v>#VALUE!</v>
      </c>
      <c r="B125" s="75" t="str" cm="1">
        <f t="array" aca="1" ref="B125" ca="1">_FV(A125,"Ticker symbol",TRUE)</f>
        <v>SAH</v>
      </c>
      <c r="C125" s="217" cm="1">
        <f t="array" aca="1" ref="C125" ca="1">_FV(A125,"Change (%)",TRUE)</f>
        <v>-3.6189999999999998E-3</v>
      </c>
      <c r="D125" s="144" cm="1">
        <f t="array" aca="1" ref="D125" ca="1">_FV(A125,"Price")</f>
        <v>71.58</v>
      </c>
      <c r="E125" s="289">
        <f ca="1">AE125</f>
        <v>0.44730567197541227</v>
      </c>
      <c r="F125" s="321">
        <f ca="1">+Tabla2[[#This Row],[Rentab. Parcial]]</f>
        <v>9.2855461239051973E-2</v>
      </c>
      <c r="G125" s="321">
        <f ca="1">+Tabla2[[#This Row],[Rentab. Parcial2]]</f>
        <v>8.7511394712853408E-2</v>
      </c>
      <c r="H125" s="253">
        <f ca="1">+Tabla2[[#This Row],[Difer. Investing]]</f>
        <v>7.2925398155909482E-2</v>
      </c>
      <c r="I125" s="79">
        <f>+Tabla2[[#This Row],[Objetivo div2]]</f>
        <v>103.59814</v>
      </c>
      <c r="J125" s="75" cm="1">
        <f t="array" aca="1" ref="J125" ca="1">_FV(A125,"High")</f>
        <v>72.739999999999995</v>
      </c>
      <c r="K125" s="75" cm="1">
        <f t="array" aca="1" ref="K125" ca="1">_FV(A125,"Low")</f>
        <v>70.965000000000003</v>
      </c>
      <c r="L125" s="75" cm="1">
        <f t="array" aca="1" ref="L125" ca="1">_FV(A125,"52 week high",TRUE)</f>
        <v>89.62</v>
      </c>
      <c r="M125" s="75">
        <f ca="1">+L125*0.9</f>
        <v>80.658000000000001</v>
      </c>
      <c r="N125" s="75">
        <f ca="1">+L125*0.95</f>
        <v>85.138999999999996</v>
      </c>
      <c r="O125" s="75" cm="1">
        <f t="array" aca="1" ref="O125" ca="1">_FV(A125,"52 week low",TRUE)</f>
        <v>54.11</v>
      </c>
      <c r="P125" s="220">
        <f ca="1">+TODAY()-Tabla2[[#This Row],[F. compra]]</f>
        <v>64</v>
      </c>
      <c r="Q125" s="220">
        <f ca="1">GESTEP(D125,M125)</f>
        <v>0</v>
      </c>
      <c r="R125" s="220">
        <f ca="1">GESTEP(D125,N125)</f>
        <v>0</v>
      </c>
      <c r="S125" s="75" t="s">
        <v>75</v>
      </c>
      <c r="T125" s="110" t="s">
        <v>78</v>
      </c>
      <c r="U125" s="110" t="s">
        <v>199</v>
      </c>
      <c r="V125" s="16">
        <v>46076</v>
      </c>
      <c r="W125" s="16">
        <v>46076</v>
      </c>
      <c r="X125" s="80" t="s">
        <v>375</v>
      </c>
      <c r="Y125" s="79">
        <v>67.12</v>
      </c>
      <c r="Z125" s="79">
        <f>65.82-Tabla2[[#This Row],[Div.]]</f>
        <v>65.498139999999992</v>
      </c>
      <c r="AA125" s="79">
        <v>65.819999999999993</v>
      </c>
      <c r="AB125" s="79">
        <f>+'dividendos 26'!E64</f>
        <v>0.32185999999999998</v>
      </c>
      <c r="AC125" s="79">
        <f>103.92-Tabla2[[#This Row],[Div.]]</f>
        <v>103.59814</v>
      </c>
      <c r="AD125" s="79">
        <f>+Tabla2[[#This Row],[Objetivo div2]]+Tabla2[[#This Row],[Div.]]</f>
        <v>103.92</v>
      </c>
      <c r="AE125" s="289">
        <f ca="1">IF(Z125="-",+AC125/Y125-1,AC125/D125-1)</f>
        <v>0.44730567197541227</v>
      </c>
      <c r="AF125" s="76">
        <v>76.8</v>
      </c>
      <c r="AG125" s="253">
        <f ca="1">IF(Z125="-",+AF125/D125-1,AF125/D125-1)</f>
        <v>7.2925398155909482E-2</v>
      </c>
      <c r="AH125" s="76">
        <f>16.49-Tabla2[[#This Row],[Div.]]</f>
        <v>16.168139999999998</v>
      </c>
      <c r="AI125" s="147">
        <f ca="1">IF(Z125="-",AH125/Y125-1,+AH125/D125-1)</f>
        <v>-0.77412489522212913</v>
      </c>
      <c r="AJ125" s="121">
        <f ca="1">IF(Z125="-","-",+(D125/Z125)-1)</f>
        <v>9.2855461239051973E-2</v>
      </c>
      <c r="AK125" s="120">
        <f ca="1">IF(AA125="-","-",+(D125/AA125)-1)</f>
        <v>8.7511394712853408E-2</v>
      </c>
      <c r="AM125" s="49" t="str">
        <f>IF(AL125=0,"-",+AL125/Z125-1)</f>
        <v>-</v>
      </c>
      <c r="AN125" s="28">
        <f ca="1">+D125/Y125-1</f>
        <v>6.6448152562574414E-2</v>
      </c>
      <c r="AO125" s="75"/>
      <c r="AP125" s="193"/>
      <c r="AR125" s="4"/>
      <c r="AU125" s="28"/>
    </row>
    <row r="126" spans="1:47" ht="16" customHeight="1" x14ac:dyDescent="0.2">
      <c r="A126" s="323" t="e" vm="105">
        <v>#VALUE!</v>
      </c>
      <c r="B126" s="75" t="str" cm="1">
        <f t="array" aca="1" ref="B126" ca="1">_FV(A126,"Ticker symbol",TRUE)</f>
        <v>SWIM</v>
      </c>
      <c r="C126" s="217" cm="1">
        <f t="array" aca="1" ref="C126" ca="1">_FV(A126,"Change (%)",TRUE)</f>
        <v>-4.9919999999999999E-3</v>
      </c>
      <c r="D126" s="144" cm="1">
        <f t="array" aca="1" ref="D126" ca="1">_FV(A126,"Price")</f>
        <v>5.98</v>
      </c>
      <c r="E126" s="159">
        <f ca="1">AE126</f>
        <v>0.46321070234113693</v>
      </c>
      <c r="F126" s="321">
        <f ca="1">+Tabla2[[#This Row],[Rentab. Parcial]]</f>
        <v>-7.999999999999996E-2</v>
      </c>
      <c r="G126" s="321">
        <f ca="1">+Tabla2[[#This Row],[Rentab. Parcial2]]</f>
        <v>-7.999999999999996E-2</v>
      </c>
      <c r="H126" s="253">
        <f ca="1">+Tabla2[[#This Row],[Difer. Investing]]</f>
        <v>0.28260869565217384</v>
      </c>
      <c r="I126" s="79">
        <f>+Tabla2[[#This Row],[Objetivo div2]]</f>
        <v>8.75</v>
      </c>
      <c r="J126" s="75" cm="1">
        <f t="array" aca="1" ref="J126" ca="1">_FV(A126,"High")</f>
        <v>6.18</v>
      </c>
      <c r="K126" s="75" cm="1">
        <f t="array" aca="1" ref="K126" ca="1">_FV(A126,"Low")</f>
        <v>5.92</v>
      </c>
      <c r="L126" s="75" cm="1">
        <f t="array" aca="1" ref="L126" ca="1">_FV(Tabla2[[#This Row],[valor]],"52 week high",TRUE)</f>
        <v>8.9662000000000006</v>
      </c>
      <c r="M126" s="75">
        <f ca="1">+L126*0.9</f>
        <v>8.0695800000000002</v>
      </c>
      <c r="N126" s="75">
        <f ca="1">+L126*0.95</f>
        <v>8.5178899999999995</v>
      </c>
      <c r="O126" s="75" cm="1">
        <f t="array" aca="1" ref="O126" ca="1">_FV(A126,"52 week low",TRUE)</f>
        <v>5.04</v>
      </c>
      <c r="P126" s="220">
        <f ca="1">+TODAY()-Tabla2[[#This Row],[F. compra]]</f>
        <v>302</v>
      </c>
      <c r="Q126" s="220">
        <f ca="1">GESTEP(D126,M126)</f>
        <v>0</v>
      </c>
      <c r="R126" s="220">
        <f ca="1">GESTEP(D126,N126)</f>
        <v>0</v>
      </c>
      <c r="S126" s="75" t="s">
        <v>75</v>
      </c>
      <c r="T126" s="110" t="s">
        <v>78</v>
      </c>
      <c r="U126" s="110" t="s">
        <v>199</v>
      </c>
      <c r="V126" s="16">
        <v>45838</v>
      </c>
      <c r="W126" s="16">
        <v>45838</v>
      </c>
      <c r="X126" s="80"/>
      <c r="Y126" s="79">
        <v>6.63</v>
      </c>
      <c r="Z126" s="79">
        <v>6.5</v>
      </c>
      <c r="AA126" s="79">
        <f>+Tabla2[[#This Row],[Precio compra]]+Tabla2[[#This Row],[Div.]]</f>
        <v>6.5</v>
      </c>
      <c r="AB126" s="96"/>
      <c r="AC126" s="79">
        <v>8.75</v>
      </c>
      <c r="AD126" s="79">
        <f>+Tabla2[[#This Row],[Objetivo div2]]+Tabla2[[#This Row],[Div.]]</f>
        <v>8.75</v>
      </c>
      <c r="AE126" s="159">
        <f ca="1">IF(Z126="-",+AC126/Y126-1,AC126/D126-1)</f>
        <v>0.46321070234113693</v>
      </c>
      <c r="AF126" s="81">
        <v>7.67</v>
      </c>
      <c r="AG126" s="253">
        <f ca="1">IF(Z126="-",+AF126/D126-1,AF126/D126-1)</f>
        <v>0.28260869565217384</v>
      </c>
      <c r="AH126" s="81">
        <v>5.57</v>
      </c>
      <c r="AI126" s="147">
        <f ca="1">IF(Z126="-",AH126/Y126-1,+AH126/D126-1)</f>
        <v>-6.8561872909699062E-2</v>
      </c>
      <c r="AJ126" s="121">
        <f ca="1">IF(Z126="-","-",+(D126/Z126)-1)</f>
        <v>-7.999999999999996E-2</v>
      </c>
      <c r="AK126" s="120">
        <f ca="1">IF(AA126="-","-",+(D126/AA126)-1)</f>
        <v>-7.999999999999996E-2</v>
      </c>
      <c r="AM126" s="49" t="str">
        <f>IF(AL126=0,"-",+AL126/Z126-1)</f>
        <v>-</v>
      </c>
      <c r="AN126" s="28">
        <f ca="1">+D126/Y126-1</f>
        <v>-9.8039215686274384E-2</v>
      </c>
      <c r="AO126" s="75">
        <f ca="1">VLOOKUP(Tabla2[[#This Row],[TCKR]],'2026'!$D$5:$AH$257,8,FALSE)</f>
        <v>1130</v>
      </c>
      <c r="AP126" s="193">
        <f ca="1">VLOOKUP(Tabla2[[#This Row],[TCKR]],'2026'!$D$5:$AH$257,26,FALSE)</f>
        <v>-372.83718056241855</v>
      </c>
      <c r="AQ126" s="5" cm="1">
        <f t="array" aca="1" ref="AQ126" ca="1">_FV(Tabla2[[#This Row],[valor]],"P/E",TRUE)</f>
        <v>66.444400000000002</v>
      </c>
      <c r="AR126" s="4"/>
      <c r="AT126" s="193">
        <f ca="1">+Tabla2[[#This Row],[Titulos2]]*Tabla2[[#This Row],[Neto]]</f>
        <v>0</v>
      </c>
      <c r="AU126" s="28">
        <f>+Tabla2[[#This Row],[Neto]]/Tabla2[[#This Row],[Precio compra2]]</f>
        <v>0</v>
      </c>
    </row>
    <row r="127" spans="1:47" ht="16" customHeight="1" x14ac:dyDescent="0.2">
      <c r="A127" s="325" t="e" vm="15">
        <v>#VALUE!</v>
      </c>
      <c r="B127" s="75" t="str" cm="1">
        <f t="array" aca="1" ref="B127" ca="1">_FV(A127,"Ticker symbol",TRUE)</f>
        <v>AMRC</v>
      </c>
      <c r="C127" s="217" cm="1">
        <f t="array" aca="1" ref="C127" ca="1">_FV(A127,"Change (%)",TRUE)</f>
        <v>-3.5819999999999998E-4</v>
      </c>
      <c r="D127" s="144" cm="1">
        <f t="array" aca="1" ref="D127" ca="1">_FV(A127,"Price")</f>
        <v>27.91</v>
      </c>
      <c r="E127" s="289">
        <f ca="1">AE127</f>
        <v>0.43353636689358654</v>
      </c>
      <c r="F127" s="321">
        <f ca="1">+Tabla2[[#This Row],[Rentab. Parcial]]</f>
        <v>-0.14360233200368222</v>
      </c>
      <c r="G127" s="321">
        <f ca="1">+Tabla2[[#This Row],[Rentab. Parcial2]]</f>
        <v>-0.14360233200368222</v>
      </c>
      <c r="H127" s="253">
        <f ca="1">+Tabla2[[#This Row],[Difer. Investing]]</f>
        <v>0.56861340021497675</v>
      </c>
      <c r="I127" s="79">
        <f>+Tabla2[[#This Row],[Objetivo div2]]</f>
        <v>40.01</v>
      </c>
      <c r="J127" s="75" cm="1">
        <f t="array" aca="1" ref="J127" ca="1">_FV(A127,"High")</f>
        <v>28.82</v>
      </c>
      <c r="K127" s="75" cm="1">
        <f t="array" aca="1" ref="K127" ca="1">_FV(A127,"Low")</f>
        <v>27.49</v>
      </c>
      <c r="L127" s="75" cm="1">
        <f t="array" aca="1" ref="L127" ca="1">_FV(Tabla2[[#This Row],[valor]],"52 week high",TRUE)</f>
        <v>44.93</v>
      </c>
      <c r="M127" s="75">
        <f ca="1">+L127*0.9</f>
        <v>40.436999999999998</v>
      </c>
      <c r="N127" s="75">
        <f ca="1">+L127*0.95</f>
        <v>42.683499999999995</v>
      </c>
      <c r="O127" s="75" cm="1">
        <f t="array" aca="1" ref="O127" ca="1">_FV(A127,"52 week low",TRUE)</f>
        <v>10.164999999999999</v>
      </c>
      <c r="P127" s="220">
        <f ca="1">+TODAY()-Tabla2[[#This Row],[F. compra]]</f>
        <v>96</v>
      </c>
      <c r="Q127" s="220">
        <f ca="1">GESTEP(D127,M127)</f>
        <v>0</v>
      </c>
      <c r="R127" s="220">
        <f ca="1">GESTEP(D127,N127)</f>
        <v>0</v>
      </c>
      <c r="S127" s="75" t="s">
        <v>75</v>
      </c>
      <c r="T127" s="110" t="s">
        <v>78</v>
      </c>
      <c r="U127" s="110" t="s">
        <v>199</v>
      </c>
      <c r="V127" s="16">
        <v>46044</v>
      </c>
      <c r="W127" s="16">
        <v>46044</v>
      </c>
      <c r="X127" s="80" t="s">
        <v>350</v>
      </c>
      <c r="Y127" s="79">
        <v>32.64</v>
      </c>
      <c r="Z127" s="79">
        <v>32.590000000000003</v>
      </c>
      <c r="AA127" s="79">
        <v>32.590000000000003</v>
      </c>
      <c r="AB127" s="79"/>
      <c r="AC127" s="79">
        <v>40.01</v>
      </c>
      <c r="AD127" s="79">
        <f>+Tabla2[[#This Row],[Objetivo div2]]+Tabla2[[#This Row],[Div.]]</f>
        <v>40.01</v>
      </c>
      <c r="AE127" s="289">
        <f ca="1">IF(Z127="-",+AC127/Y127-1,AC127/D127-1)</f>
        <v>0.43353636689358654</v>
      </c>
      <c r="AF127" s="76">
        <v>43.78</v>
      </c>
      <c r="AG127" s="253">
        <f ca="1">IF(Z127="-",+AF127/D127-1,AF127/D127-1)</f>
        <v>0.56861340021497675</v>
      </c>
      <c r="AH127" s="76">
        <v>28.68</v>
      </c>
      <c r="AI127" s="147">
        <f ca="1">IF(Z127="-",AH127/Y127-1,+AH127/D127-1)</f>
        <v>2.7588677893228164E-2</v>
      </c>
      <c r="AJ127" s="121">
        <f ca="1">IF(Z127="-","-",+(D127/Z127)-1)</f>
        <v>-0.14360233200368222</v>
      </c>
      <c r="AK127" s="120">
        <f ca="1">IF(AA127="-","-",+(D127/AA127)-1)</f>
        <v>-0.14360233200368222</v>
      </c>
      <c r="AM127" s="49" t="str">
        <f>IF(AL127=0,"-",+AL127/Z127-1)</f>
        <v>-</v>
      </c>
      <c r="AN127" s="28">
        <f ca="1">+D127/Y127-1</f>
        <v>-0.14491421568627449</v>
      </c>
      <c r="AO127" s="75"/>
      <c r="AP127" s="193">
        <f ca="1">VLOOKUP(Tabla2[[#This Row],[TCKR]],'2026'!$D$5:$AH$257,26,FALSE)</f>
        <v>-530.79311130882957</v>
      </c>
      <c r="AR127" s="4"/>
      <c r="AU127" s="28"/>
    </row>
    <row r="128" spans="1:47" ht="16" customHeight="1" x14ac:dyDescent="0.2">
      <c r="A128" s="75" t="e" vm="90">
        <v>#VALUE!</v>
      </c>
      <c r="B128" s="75" t="str" cm="1">
        <f t="array" aca="1" ref="B128" ca="1">_FV(A128,"Ticker symbol",TRUE)</f>
        <v>INW</v>
      </c>
      <c r="C128" s="217" cm="1">
        <f t="array" aca="1" ref="C128" ca="1">_FV(A128,"Change (%)",TRUE)</f>
        <v>4.8240000000000002E-3</v>
      </c>
      <c r="D128" s="144" cm="1">
        <f t="array" aca="1" ref="D128" ca="1">_FV(A128,"Price")</f>
        <v>7.29</v>
      </c>
      <c r="E128" s="159">
        <f ca="1">AE128</f>
        <v>0.44307270233196161</v>
      </c>
      <c r="F128" s="321">
        <f ca="1">+Tabla2[[#This Row],[Rentab. Parcial]]</f>
        <v>-0.23744769874476979</v>
      </c>
      <c r="G128" s="321">
        <f ca="1">+Tabla2[[#This Row],[Rentab. Parcial2]]</f>
        <v>-0.29154518950437314</v>
      </c>
      <c r="H128" s="253">
        <f ca="1">+Tabla2[[#This Row],[Difer. Investing]]</f>
        <v>0.62688614540466392</v>
      </c>
      <c r="I128" s="79">
        <f>+Tabla2[[#This Row],[Objetivo div2]]</f>
        <v>10.52</v>
      </c>
      <c r="J128" s="75" cm="1">
        <f t="array" aca="1" ref="J128" ca="1">_FV(A128,"High")</f>
        <v>7.34</v>
      </c>
      <c r="K128" s="75" cm="1">
        <f t="array" aca="1" ref="K128" ca="1">_FV(A128,"Low")</f>
        <v>7.2549999999999999</v>
      </c>
      <c r="L128" s="75" cm="1">
        <f t="array" aca="1" ref="L128" ca="1">_FV(Tabla2[[#This Row],[valor]],"52 week high",TRUE)</f>
        <v>10.51</v>
      </c>
      <c r="M128" s="75">
        <f ca="1">+Tabla2[[#This Row],[52 high]]*0.9</f>
        <v>9.4589999999999996</v>
      </c>
      <c r="N128" s="75">
        <f ca="1">+Tabla2[[#This Row],[52 high]]*0.95</f>
        <v>9.9844999999999988</v>
      </c>
      <c r="O128" s="75" cm="1">
        <f t="array" aca="1" ref="O128" ca="1">_FV(Tabla2[[#This Row],[valor]],"52 week low",TRUE)</f>
        <v>6.07</v>
      </c>
      <c r="P128" s="220">
        <f ca="1">+TODAY()-Tabla2[[#This Row],[F. compra]]</f>
        <v>655</v>
      </c>
      <c r="Q128" s="220">
        <f ca="1">GESTEP(Tabla2[[#This Row],[price]],Tabla2[[#This Row],[HIGH 10%]])</f>
        <v>0</v>
      </c>
      <c r="R128" s="220">
        <f ca="1">GESTEP(Tabla2[[#This Row],[price]],Tabla2[[#This Row],[HIGH 5%]])</f>
        <v>0</v>
      </c>
      <c r="S128" s="75" t="s">
        <v>76</v>
      </c>
      <c r="T128" s="110" t="s">
        <v>77</v>
      </c>
      <c r="U128" s="110" t="s">
        <v>26</v>
      </c>
      <c r="V128" s="4">
        <v>45485</v>
      </c>
      <c r="W128" s="4">
        <v>45485</v>
      </c>
      <c r="X128" s="80">
        <v>10.220000000000001</v>
      </c>
      <c r="Y128" s="79">
        <v>10.220000000000001</v>
      </c>
      <c r="Z128" s="79">
        <f>10.29-Tabla2[[#This Row],[Div.]]</f>
        <v>9.5599999999999987</v>
      </c>
      <c r="AA128" s="79">
        <f>+Tabla2[[#This Row],[Precio compra]]+Tabla2[[#This Row],[Div.]]</f>
        <v>10.29</v>
      </c>
      <c r="AB128" s="96">
        <v>0.73</v>
      </c>
      <c r="AC128" s="79">
        <f>11.25-Tabla2[[#This Row],[Div.]]</f>
        <v>10.52</v>
      </c>
      <c r="AD128" s="79">
        <f>+Tabla2[[#This Row],[Objetivo div2]]+Tabla2[[#This Row],[Div.]]</f>
        <v>11.25</v>
      </c>
      <c r="AE128" s="159">
        <f ca="1">IF(Z128="-",+AC128/Y128-1,AC128/D128-1)</f>
        <v>0.44307270233196161</v>
      </c>
      <c r="AF128" s="81">
        <v>11.86</v>
      </c>
      <c r="AG128" s="253">
        <f ca="1">IF(Z128="-",+AF128/D128-1,AF128/D128-1)</f>
        <v>0.62688614540466392</v>
      </c>
      <c r="AH128" s="81">
        <f>9.56-Tabla2[[#This Row],[Div.]]</f>
        <v>8.83</v>
      </c>
      <c r="AI128" s="147">
        <f ca="1">IF(Z128="-",AH128/Y128-1,+AH128/D128-1)</f>
        <v>0.2112482853223594</v>
      </c>
      <c r="AJ128" s="121">
        <f ca="1">IF(Z128="-","-",+(D128/Z128)-1)</f>
        <v>-0.23744769874476979</v>
      </c>
      <c r="AK128" s="120">
        <f ca="1">IF(AA128="-","-",+(D128/AA128)-1)</f>
        <v>-0.29154518950437314</v>
      </c>
      <c r="AM128" s="49" t="str">
        <f>IF(AL128=0,"-",+AL128/Z128-1)</f>
        <v>-</v>
      </c>
      <c r="AN128" s="28">
        <f ca="1">+D128/Y128-1</f>
        <v>-0.28669275929549909</v>
      </c>
      <c r="AO128" s="75">
        <f ca="1">VLOOKUP(Tabla2[[#This Row],[TCKR]],'2026'!$D$5:$AH$257,8,FALSE)</f>
        <v>1000</v>
      </c>
      <c r="AP128" s="193">
        <f ca="1">VLOOKUP(Tabla2[[#This Row],[TCKR]],'2026'!$D$5:$AH$257,26,FALSE)</f>
        <v>-2093.9569884088719</v>
      </c>
      <c r="AQ128" s="5" cm="1">
        <f t="array" aca="1" ref="AQ128" ca="1">_FV(Tabla2[[#This Row],[valor]],"P/E",TRUE)</f>
        <v>18.423100000000002</v>
      </c>
      <c r="AR128" s="4"/>
      <c r="AT128" s="193">
        <f ca="1">+Tabla2[[#This Row],[Titulos2]]*Tabla2[[#This Row],[Neto]]</f>
        <v>0</v>
      </c>
      <c r="AU128" s="28">
        <f>+Tabla2[[#This Row],[Neto]]/Tabla2[[#This Row],[Precio compra2]]</f>
        <v>0</v>
      </c>
    </row>
    <row r="129" spans="1:47" ht="16" customHeight="1" x14ac:dyDescent="0.2">
      <c r="A129" s="75" t="e" vm="119">
        <v>#VALUE!</v>
      </c>
      <c r="B129" s="75" t="str" cm="1">
        <f t="array" aca="1" ref="B129" ca="1">_FV(A129,"Ticker symbol",TRUE)</f>
        <v>MONC</v>
      </c>
      <c r="C129" s="217" cm="1">
        <f t="array" aca="1" ref="C129" ca="1">_FV(A129,"Change (%)",TRUE)</f>
        <v>1.6265999999999999E-2</v>
      </c>
      <c r="D129" s="144" cm="1">
        <f t="array" aca="1" ref="D129" ca="1">_FV(A129,"Price")</f>
        <v>54.98</v>
      </c>
      <c r="E129" s="159">
        <f ca="1">AE129</f>
        <v>0.47489996362313591</v>
      </c>
      <c r="F129" s="321">
        <f ca="1">+Tabla2[[#This Row],[Rentab. Parcial]]</f>
        <v>-0.13485444531864677</v>
      </c>
      <c r="G129" s="321">
        <f ca="1">+Tabla2[[#This Row],[Rentab. Parcial2]]</f>
        <v>-0.16696969696969699</v>
      </c>
      <c r="H129" s="253">
        <f ca="1">+Tabla2[[#This Row],[Difer. Investing]]</f>
        <v>0.62077118952346311</v>
      </c>
      <c r="I129" s="79">
        <f>+Tabla2[[#This Row],[Objetivo div2]]</f>
        <v>81.09</v>
      </c>
      <c r="J129" s="75" cm="1">
        <f t="array" aca="1" ref="J129" ca="1">_FV(A129,"High")</f>
        <v>55.36</v>
      </c>
      <c r="K129" s="75" cm="1">
        <f t="array" aca="1" ref="K129" ca="1">_FV(A129,"Low")</f>
        <v>54</v>
      </c>
      <c r="L129" s="75" cm="1">
        <f t="array" aca="1" ref="L129" ca="1">_FV(Tabla2[[#This Row],[valor]],"52 week high",TRUE)</f>
        <v>59.4</v>
      </c>
      <c r="M129" s="75">
        <f ca="1">+Tabla2[[#This Row],[52 high]]*0.9</f>
        <v>53.46</v>
      </c>
      <c r="N129" s="75">
        <f ca="1">+Tabla2[[#This Row],[52 high]]*0.95</f>
        <v>56.429999999999993</v>
      </c>
      <c r="O129" s="75" cm="1">
        <f t="array" aca="1" ref="O129" ca="1">_FV(Tabla2[[#This Row],[valor]],"52 week low",TRUE)</f>
        <v>45.46</v>
      </c>
      <c r="P129" s="220">
        <f ca="1">+TODAY()-Tabla2[[#This Row],[F. compra]]</f>
        <v>784</v>
      </c>
      <c r="Q129" s="220">
        <f ca="1">GESTEP(Tabla2[[#This Row],[price]],Tabla2[[#This Row],[HIGH 10%]])</f>
        <v>1</v>
      </c>
      <c r="R129" s="220">
        <f ca="1">GESTEP(Tabla2[[#This Row],[price]],Tabla2[[#This Row],[HIGH 5%]])</f>
        <v>0</v>
      </c>
      <c r="S129" s="75" t="s">
        <v>75</v>
      </c>
      <c r="T129" s="110" t="s">
        <v>78</v>
      </c>
      <c r="U129" s="110" t="s">
        <v>72</v>
      </c>
      <c r="V129" s="16">
        <v>45386</v>
      </c>
      <c r="W129" s="16">
        <v>45356</v>
      </c>
      <c r="X129" s="80" t="s">
        <v>11</v>
      </c>
      <c r="Y129" s="79">
        <v>67.5</v>
      </c>
      <c r="Z129" s="79">
        <f>66-AB129</f>
        <v>63.55</v>
      </c>
      <c r="AA129" s="79">
        <f>+Tabla2[[#This Row],[Precio compra]]+Tabla2[[#This Row],[Div.]]</f>
        <v>66</v>
      </c>
      <c r="AB129" s="96">
        <v>2.4500000000000002</v>
      </c>
      <c r="AC129" s="79">
        <f>83.54-AB129</f>
        <v>81.09</v>
      </c>
      <c r="AD129" s="79">
        <f>+Tabla2[[#This Row],[Objetivo div2]]+Tabla2[[#This Row],[Div.]]</f>
        <v>83.54</v>
      </c>
      <c r="AE129" s="159">
        <f ca="1">IF(Z129="-",+AC129/Y129-1,AC129/D129-1)</f>
        <v>0.47489996362313591</v>
      </c>
      <c r="AF129" s="81">
        <f>91.56-AB129</f>
        <v>89.11</v>
      </c>
      <c r="AG129" s="253">
        <f ca="1">IF(Z129="-",+AF129/D129-1,AF129/D129-1)</f>
        <v>0.62077118952346311</v>
      </c>
      <c r="AH129" s="81">
        <f>59.48-AB129</f>
        <v>57.029999999999994</v>
      </c>
      <c r="AI129" s="147">
        <f ca="1">IF(Z129="-",AH129/Y129-1,+AH129/D129-1)</f>
        <v>3.7286285922153439E-2</v>
      </c>
      <c r="AJ129" s="121">
        <f ca="1">IF(Z129="-","-",+(D129/Z129)-1)</f>
        <v>-0.13485444531864677</v>
      </c>
      <c r="AK129" s="120">
        <f ca="1">IF(AA129="-","-",+(D129/AA129)-1)</f>
        <v>-0.16696969696969699</v>
      </c>
      <c r="AM129" s="49" t="str">
        <f>IF(AL129=0,"-",+AL129/Z129-1)</f>
        <v>-</v>
      </c>
      <c r="AN129" s="28">
        <f ca="1">+D129/Y129-1</f>
        <v>-0.18548148148148158</v>
      </c>
      <c r="AO129" s="75">
        <f ca="1">VLOOKUP(Tabla2[[#This Row],[TCKR]],'2026'!$D$5:$AH$257,8,FALSE)</f>
        <v>120</v>
      </c>
      <c r="AP129" s="193">
        <f ca="1">VLOOKUP(Tabla2[[#This Row],[TCKR]],'2026'!$D$5:$AH$257,26,FALSE)</f>
        <v>-1076.5309437766982</v>
      </c>
      <c r="AQ129" s="5" cm="1">
        <f t="array" aca="1" ref="AQ129" ca="1">_FV(Tabla2[[#This Row],[valor]],"P/E",TRUE)</f>
        <v>23.441199999999998</v>
      </c>
      <c r="AR129" s="4"/>
      <c r="AT129" s="193">
        <f ca="1">+Tabla2[[#This Row],[Titulos2]]*Tabla2[[#This Row],[Neto]]</f>
        <v>0</v>
      </c>
      <c r="AU129" s="28">
        <f>+Tabla2[[#This Row],[Neto]]/Tabla2[[#This Row],[Precio compra2]]</f>
        <v>0</v>
      </c>
    </row>
    <row r="130" spans="1:47" ht="16" customHeight="1" x14ac:dyDescent="0.2">
      <c r="A130" s="75" t="e" vm="169">
        <v>#VALUE!</v>
      </c>
      <c r="B130" s="75" t="str" cm="1">
        <f t="array" aca="1" ref="B130" ca="1">_FV(A130,"Ticker symbol",TRUE)</f>
        <v>TEP</v>
      </c>
      <c r="C130" s="217" cm="1">
        <f t="array" aca="1" ref="C130" ca="1">_FV(A130,"Change (%)",TRUE)</f>
        <v>2.3264E-2</v>
      </c>
      <c r="D130" s="144" cm="1">
        <f t="array" aca="1" ref="D130" ca="1">_FV(A130,"Price")</f>
        <v>55.42</v>
      </c>
      <c r="E130" s="159">
        <f ca="1">AE130</f>
        <v>0.47690364489354042</v>
      </c>
      <c r="F130" s="321">
        <f ca="1">+Tabla2[[#This Row],[Rentab. Parcial]]</f>
        <v>-0.51279120879120876</v>
      </c>
      <c r="G130" s="321">
        <f ca="1">+Tabla2[[#This Row],[Rentab. Parcial2]]</f>
        <v>-0.54499178981937602</v>
      </c>
      <c r="H130" s="253">
        <f ca="1">+Tabla2[[#This Row],[Difer. Investing]]</f>
        <v>0.62215806568025989</v>
      </c>
      <c r="I130" s="79">
        <f>+Tabla2[[#This Row],[Objetivo div2]]</f>
        <v>81.850000000000009</v>
      </c>
      <c r="J130" s="75" cm="1">
        <f t="array" aca="1" ref="J130" ca="1">_FV(A130,"High")</f>
        <v>55.64</v>
      </c>
      <c r="K130" s="75" cm="1">
        <f t="array" aca="1" ref="K130" ca="1">_FV(A130,"Low")</f>
        <v>54.12</v>
      </c>
      <c r="L130" s="75" cm="1">
        <f t="array" aca="1" ref="L130" ca="1">_FV(Tabla2[[#This Row],[valor]],"52 week high",TRUE)</f>
        <v>100.3</v>
      </c>
      <c r="M130" s="75">
        <f ca="1">+Tabla2[[#This Row],[52 high]]*0.9</f>
        <v>90.27</v>
      </c>
      <c r="N130" s="75">
        <f ca="1">+Tabla2[[#This Row],[52 high]]*0.95</f>
        <v>95.284999999999997</v>
      </c>
      <c r="O130" s="75" cm="1">
        <f t="array" aca="1" ref="O130" ca="1">_FV(Tabla2[[#This Row],[valor]],"52 week low",TRUE)</f>
        <v>45.5</v>
      </c>
      <c r="P130" s="220">
        <f ca="1">+TODAY()-Tabla2[[#This Row],[F. compra]]</f>
        <v>1197</v>
      </c>
      <c r="Q130" s="220">
        <f ca="1">GESTEP(Tabla2[[#This Row],[price]],Tabla2[[#This Row],[HIGH 10%]])</f>
        <v>0</v>
      </c>
      <c r="R130" s="220">
        <f ca="1">GESTEP(Tabla2[[#This Row],[price]],Tabla2[[#This Row],[HIGH 5%]])</f>
        <v>0</v>
      </c>
      <c r="S130" s="75" t="s">
        <v>75</v>
      </c>
      <c r="T130" s="110" t="s">
        <v>77</v>
      </c>
      <c r="U130" s="110" t="s">
        <v>190</v>
      </c>
      <c r="V130" s="16">
        <v>43847</v>
      </c>
      <c r="W130" s="16">
        <v>44943</v>
      </c>
      <c r="X130" s="80"/>
      <c r="Y130" s="79"/>
      <c r="Z130" s="79">
        <f>121.8-AB130</f>
        <v>113.75</v>
      </c>
      <c r="AA130" s="79">
        <f>+Tabla2[[#This Row],[Precio compra]]+Tabla2[[#This Row],[Div.]]</f>
        <v>121.8</v>
      </c>
      <c r="AB130" s="96">
        <v>8.0500000000000007</v>
      </c>
      <c r="AC130" s="341">
        <f>89.9-AB130</f>
        <v>81.850000000000009</v>
      </c>
      <c r="AD130" s="79">
        <f>+Tabla2[[#This Row],[Objetivo div2]]+Tabla2[[#This Row],[Div.]]</f>
        <v>89.9</v>
      </c>
      <c r="AE130" s="159">
        <f ca="1">IF(Z130="-",+AC130/Y130-1,AC130/D130-1)</f>
        <v>0.47690364489354042</v>
      </c>
      <c r="AF130" s="81">
        <v>89.9</v>
      </c>
      <c r="AG130" s="253">
        <f ca="1">IF(Z130="-",+AF130/D130-1,AF130/D130-1)</f>
        <v>0.62215806568025989</v>
      </c>
      <c r="AH130" s="81">
        <f>121.45-AB130</f>
        <v>113.4</v>
      </c>
      <c r="AI130" s="147">
        <f ca="1">IF(Z130="-",AH130/Y130-1,+AH130/D130-1)</f>
        <v>1.0461927102129196</v>
      </c>
      <c r="AJ130" s="121">
        <f ca="1">IF(Z130="-","-",+(D130/Z130)-1)</f>
        <v>-0.51279120879120876</v>
      </c>
      <c r="AK130" s="120">
        <f ca="1">IF(AA130="-","-",+(D130/AA130)-1)</f>
        <v>-0.54499178981937602</v>
      </c>
      <c r="AM130" s="49" t="str">
        <f>IF(AL130=0,"-",+AL130/Z130-1)</f>
        <v>-</v>
      </c>
      <c r="AN130" s="28" t="e">
        <f ca="1">+D130/Y130-1</f>
        <v>#DIV/0!</v>
      </c>
      <c r="AO130" s="75">
        <f ca="1">VLOOKUP(Tabla2[[#This Row],[TCKR]],'2026'!$D$5:$AH$257,8,FALSE)</f>
        <v>52</v>
      </c>
      <c r="AP130" s="193">
        <f ca="1">VLOOKUP(Tabla2[[#This Row],[TCKR]],'2026'!$D$5:$AH$257,26,FALSE)</f>
        <v>-2751.1908241367842</v>
      </c>
      <c r="AQ130" s="5" cm="1">
        <f t="array" aca="1" ref="AQ130" ca="1">_FV(Tabla2[[#This Row],[valor]],"P/E",TRUE)</f>
        <v>6.3940999999999999</v>
      </c>
      <c r="AR130" s="4"/>
      <c r="AT130" s="193">
        <f ca="1">+Tabla2[[#This Row],[Titulos2]]*Tabla2[[#This Row],[Neto]]</f>
        <v>0</v>
      </c>
      <c r="AU130" s="28">
        <f>+Tabla2[[#This Row],[Neto]]/Tabla2[[#This Row],[Precio compra2]]</f>
        <v>0</v>
      </c>
    </row>
    <row r="131" spans="1:47" ht="16" customHeight="1" x14ac:dyDescent="0.2">
      <c r="A131" s="355" t="e" vm="2">
        <v>#VALUE!</v>
      </c>
      <c r="B131" s="75" t="str" cm="1">
        <f t="array" aca="1" ref="B131" ca="1">_FV(A131,"Ticker symbol",TRUE)</f>
        <v>ABCL</v>
      </c>
      <c r="C131" s="217" cm="1">
        <f t="array" aca="1" ref="C131" ca="1">_FV(A131,"Change (%)",TRUE)</f>
        <v>2.4099999999999998E-3</v>
      </c>
      <c r="D131" s="144" cm="1">
        <f t="array" aca="1" ref="D131" ca="1">_FV(A131,"Price")</f>
        <v>4.16</v>
      </c>
      <c r="E131" s="356">
        <f>AE131</f>
        <v>0.49257985257985237</v>
      </c>
      <c r="F131" s="321">
        <f ca="1">+Tabla2[[#This Row],[Rentab. Parcial]]</f>
        <v>2.2113022113022129E-2</v>
      </c>
      <c r="G131" s="321">
        <f ca="1">+Tabla2[[#This Row],[Rentab. Parcial2]]</f>
        <v>2.2113022113022129E-2</v>
      </c>
      <c r="H131" s="253">
        <f ca="1">+Tabla2[[#This Row],[Difer. Investing]]</f>
        <v>1.2644230769230766</v>
      </c>
      <c r="I131" s="79">
        <v>264.48</v>
      </c>
      <c r="J131" s="75" cm="1">
        <f t="array" aca="1" ref="J131" ca="1">_FV(A131,"High")</f>
        <v>4.38</v>
      </c>
      <c r="K131" s="75" cm="1">
        <f t="array" aca="1" ref="K131" ca="1">_FV(A131,"Low")</f>
        <v>4.1100000000000003</v>
      </c>
      <c r="L131" s="75" cm="1">
        <f t="array" aca="1" ref="L131" ca="1">_FV(A131,"52 week high",TRUE)</f>
        <v>6.5149999999999997</v>
      </c>
      <c r="M131" s="75">
        <f ca="1">+L131*0.9</f>
        <v>5.8635000000000002</v>
      </c>
      <c r="N131" s="75">
        <f ca="1">+L131*0.95</f>
        <v>6.1892499999999995</v>
      </c>
      <c r="O131" s="75" cm="1">
        <f t="array" aca="1" ref="O131" ca="1">_FV(A131,"52 week low",TRUE)</f>
        <v>1.94</v>
      </c>
      <c r="P131" s="220">
        <f ca="1">+TODAY()-Tabla2[[#This Row],[F. compra]]</f>
        <v>6</v>
      </c>
      <c r="Q131" s="220">
        <f ca="1">GESTEP(D131,M131)</f>
        <v>0</v>
      </c>
      <c r="R131" s="220">
        <f ca="1">GESTEP(D131,N131)</f>
        <v>0</v>
      </c>
      <c r="S131" s="75" t="s">
        <v>75</v>
      </c>
      <c r="T131" s="110" t="s">
        <v>78</v>
      </c>
      <c r="U131" s="110" t="s">
        <v>26</v>
      </c>
      <c r="V131" s="16">
        <v>46132</v>
      </c>
      <c r="W131" s="16">
        <v>46134</v>
      </c>
      <c r="X131" s="80" t="s">
        <v>438</v>
      </c>
      <c r="Y131" s="79">
        <v>4.08</v>
      </c>
      <c r="Z131" s="79">
        <v>4.07</v>
      </c>
      <c r="AA131" s="79">
        <v>4.07</v>
      </c>
      <c r="AB131" s="79"/>
      <c r="AC131" s="79">
        <v>6.0747999999999998</v>
      </c>
      <c r="AD131" s="79">
        <f>+Tabla2[[#This Row],[Objetivo div2]]+Tabla2[[#This Row],[Div.]]</f>
        <v>6.0747999999999998</v>
      </c>
      <c r="AE131" s="356">
        <f>IF(Z131="",+AC131/Y131-1,AC131/Z131-1)</f>
        <v>0.49257985257985237</v>
      </c>
      <c r="AF131" s="76">
        <v>9.42</v>
      </c>
      <c r="AG131" s="253">
        <f ca="1">IF(Z131="-",+AF131/D131-1,AF131/D131-1)</f>
        <v>1.2644230769230766</v>
      </c>
      <c r="AH131" s="76">
        <v>3.36</v>
      </c>
      <c r="AI131" s="147">
        <f ca="1">IF(Z131="-",AH131/Y131-1,+AH131/D131-1)</f>
        <v>-0.1923076923076924</v>
      </c>
      <c r="AJ131" s="121">
        <f ca="1">IF(Z131="-","-",+(D131/Z131)-1)</f>
        <v>2.2113022113022129E-2</v>
      </c>
      <c r="AK131" s="120">
        <f ca="1">IF(AA131="-","-",+(D131/AA131)-1)</f>
        <v>2.2113022113022129E-2</v>
      </c>
      <c r="AM131" s="49" t="str">
        <f>IF(AL131=0,"-",+AL131/Z131-1)</f>
        <v>-</v>
      </c>
      <c r="AN131" s="28">
        <f ca="1">+D131/Y131-1</f>
        <v>1.9607843137254832E-2</v>
      </c>
      <c r="AO131" s="75"/>
      <c r="AP131" s="193"/>
      <c r="AR131" s="4"/>
      <c r="AU131" s="28"/>
    </row>
    <row r="132" spans="1:47" ht="16" customHeight="1" x14ac:dyDescent="0.2">
      <c r="A132" s="179" t="e" vm="35">
        <v>#VALUE!</v>
      </c>
      <c r="B132" s="75" t="str" cm="1">
        <f t="array" aca="1" ref="B132" ca="1">_FV(A132,"Ticker symbol",TRUE)</f>
        <v>BNR</v>
      </c>
      <c r="C132" s="217" cm="1">
        <f t="array" aca="1" ref="C132" ca="1">_FV(A132,"Change (%)",TRUE)</f>
        <v>2.9949999999999998E-3</v>
      </c>
      <c r="D132" s="144" cm="1">
        <f t="array" aca="1" ref="D132" ca="1">_FV(A132,"Price")</f>
        <v>60.28</v>
      </c>
      <c r="E132" s="289">
        <f>AE132</f>
        <v>0.49625761531766743</v>
      </c>
      <c r="F132" s="321">
        <f ca="1">+Tabla2[[#This Row],[Rentab. Parcial]]</f>
        <v>4.926022628372495E-2</v>
      </c>
      <c r="G132" s="321">
        <f ca="1">+Tabla2[[#This Row],[Rentab. Parcial2]]</f>
        <v>4.926022628372495E-2</v>
      </c>
      <c r="H132" s="253">
        <f ca="1">+Tabla2[[#This Row],[Difer. Investing]]</f>
        <v>4.4625082946250894E-2</v>
      </c>
      <c r="I132" s="79">
        <v>77</v>
      </c>
      <c r="J132" s="75" cm="1">
        <f t="array" aca="1" ref="J132" ca="1">_FV(A132,"High")</f>
        <v>60.28</v>
      </c>
      <c r="K132" s="75" cm="1">
        <f t="array" aca="1" ref="K132" ca="1">_FV(A132,"Low")</f>
        <v>59.82</v>
      </c>
      <c r="L132" s="75" cm="1">
        <f t="array" aca="1" ref="L132" ca="1">_FV(A132,"52 week high",TRUE)</f>
        <v>88.34</v>
      </c>
      <c r="M132" s="75">
        <f ca="1">+L132*0.9</f>
        <v>79.506</v>
      </c>
      <c r="N132" s="75">
        <f ca="1">+L132*0.95</f>
        <v>83.923000000000002</v>
      </c>
      <c r="O132" s="75" cm="1">
        <f t="array" aca="1" ref="O132" ca="1">_FV(A132,"52 week low",TRUE)</f>
        <v>29.32</v>
      </c>
      <c r="P132" s="220">
        <f ca="1">+TODAY()-Tabla2[[#This Row],[F. compra]]</f>
        <v>29</v>
      </c>
      <c r="Q132" s="220">
        <f ca="1">GESTEP(D132,M132)</f>
        <v>0</v>
      </c>
      <c r="R132" s="220">
        <f ca="1">GESTEP(D132,N132)</f>
        <v>0</v>
      </c>
      <c r="S132" s="75" t="s">
        <v>75</v>
      </c>
      <c r="T132" s="110" t="s">
        <v>78</v>
      </c>
      <c r="U132" s="110" t="s">
        <v>26</v>
      </c>
      <c r="V132" s="16">
        <v>46111</v>
      </c>
      <c r="W132" s="16">
        <v>46111</v>
      </c>
      <c r="X132" s="80" t="s">
        <v>412</v>
      </c>
      <c r="Y132" s="79">
        <v>57.46</v>
      </c>
      <c r="Z132" s="79">
        <v>57.45</v>
      </c>
      <c r="AA132" s="79">
        <v>57.45</v>
      </c>
      <c r="AB132" s="79"/>
      <c r="AC132" s="79">
        <v>85.96</v>
      </c>
      <c r="AD132" s="79">
        <f>+Tabla2[[#This Row],[Objetivo div2]]+Tabla2[[#This Row],[Div.]]</f>
        <v>85.96</v>
      </c>
      <c r="AE132" s="289">
        <f>IF(Z132="",+AC132/Y132-1,AC132/Z132-1)</f>
        <v>0.49625761531766743</v>
      </c>
      <c r="AF132" s="76">
        <v>62.97</v>
      </c>
      <c r="AG132" s="253">
        <f ca="1">IF(Z132="-",+AF132/D132-1,AF132/D132-1)</f>
        <v>4.4625082946250894E-2</v>
      </c>
      <c r="AH132" s="76">
        <v>47.38</v>
      </c>
      <c r="AI132" s="147">
        <f ca="1">IF(Z132="-",AH132/Y132-1,+AH132/D132-1)</f>
        <v>-0.2140013271400133</v>
      </c>
      <c r="AJ132" s="121">
        <f ca="1">IF(Z132="-","-",+(D132/Z132)-1)</f>
        <v>4.926022628372495E-2</v>
      </c>
      <c r="AK132" s="120">
        <f ca="1">IF(AA132="-","-",+(D132/AA132)-1)</f>
        <v>4.926022628372495E-2</v>
      </c>
      <c r="AM132" s="49" t="str">
        <f>IF(AL132=0,"-",+AL132/Z132-1)</f>
        <v>-</v>
      </c>
      <c r="AN132" s="28">
        <f ca="1">+D132/Y132-1</f>
        <v>4.9077619213365731E-2</v>
      </c>
      <c r="AO132" s="75"/>
      <c r="AP132" s="193"/>
      <c r="AR132" s="4"/>
      <c r="AU132" s="28"/>
    </row>
    <row r="133" spans="1:47" ht="16" customHeight="1" x14ac:dyDescent="0.2">
      <c r="A133" s="360" t="e" vm="120">
        <v>#VALUE!</v>
      </c>
      <c r="B133" s="75" t="str" cm="1">
        <f t="array" aca="1" ref="B133" ca="1">_FV(A133,"Ticker symbol",TRUE)</f>
        <v>MOH</v>
      </c>
      <c r="C133" s="217" cm="1">
        <f t="array" aca="1" ref="C133" ca="1">_FV(A133,"Change (%)",TRUE)</f>
        <v>1.9068999999999999E-2</v>
      </c>
      <c r="D133" s="144" cm="1">
        <f t="array" aca="1" ref="D133" ca="1">_FV(A133,"Price")</f>
        <v>179.29499999999999</v>
      </c>
      <c r="E133" s="356">
        <f>AE133</f>
        <v>0.4979225154407636</v>
      </c>
      <c r="F133" s="321">
        <f ca="1">+Tabla2[[#This Row],[Rentab. Parcial]]</f>
        <v>6.7097136440201766E-3</v>
      </c>
      <c r="G133" s="321">
        <f ca="1">+Tabla2[[#This Row],[Rentab. Parcial2]]</f>
        <v>6.7097136440201766E-3</v>
      </c>
      <c r="H133" s="253">
        <f ca="1">+Tabla2[[#This Row],[Difer. Investing]]</f>
        <v>0.26595833681920866</v>
      </c>
      <c r="I133" s="79">
        <v>263.48</v>
      </c>
      <c r="J133" s="75" cm="1">
        <f t="array" aca="1" ref="J133" ca="1">_FV(A133,"High")</f>
        <v>180.3</v>
      </c>
      <c r="K133" s="75" cm="1">
        <f t="array" aca="1" ref="K133" ca="1">_FV(A133,"Low")</f>
        <v>172.82239999999999</v>
      </c>
      <c r="L133" s="75" cm="1">
        <f t="array" aca="1" ref="L133" ca="1">_FV(A133,"52 week high",TRUE)</f>
        <v>333</v>
      </c>
      <c r="M133" s="75">
        <f ca="1">+L133*0.9</f>
        <v>299.7</v>
      </c>
      <c r="N133" s="75">
        <f ca="1">+L133*0.95</f>
        <v>316.34999999999997</v>
      </c>
      <c r="O133" s="75" cm="1">
        <f t="array" aca="1" ref="O133" ca="1">_FV(A133,"52 week low",TRUE)</f>
        <v>121.06</v>
      </c>
      <c r="P133" s="220">
        <f ca="1">+TODAY()-Tabla2[[#This Row],[F. compra]]</f>
        <v>1</v>
      </c>
      <c r="Q133" s="220">
        <f ca="1">GESTEP(D133,M133)</f>
        <v>0</v>
      </c>
      <c r="R133" s="220">
        <f ca="1">GESTEP(D133,N133)</f>
        <v>0</v>
      </c>
      <c r="S133" s="75" t="s">
        <v>75</v>
      </c>
      <c r="T133" s="110" t="s">
        <v>78</v>
      </c>
      <c r="U133" s="110" t="s">
        <v>88</v>
      </c>
      <c r="V133" s="16">
        <v>46139</v>
      </c>
      <c r="W133" s="16">
        <v>46139</v>
      </c>
      <c r="X133" s="80" t="s">
        <v>444</v>
      </c>
      <c r="Y133" s="79">
        <v>178.31</v>
      </c>
      <c r="Z133" s="79">
        <v>178.1</v>
      </c>
      <c r="AA133" s="79">
        <v>178.1</v>
      </c>
      <c r="AB133" s="79"/>
      <c r="AC133" s="79">
        <v>266.77999999999997</v>
      </c>
      <c r="AD133" s="79">
        <f>+Tabla2[[#This Row],[Objetivo div2]]+Tabla2[[#This Row],[Div.]]</f>
        <v>266.77999999999997</v>
      </c>
      <c r="AE133" s="356">
        <f>IF(Z133="",+AC133/Y133-1,AC133/Z133-1)</f>
        <v>0.4979225154407636</v>
      </c>
      <c r="AF133" s="76">
        <v>226.98</v>
      </c>
      <c r="AG133" s="253">
        <f ca="1">IF(Z133="-",+AF133/D133-1,AF133/D133-1)</f>
        <v>0.26595833681920866</v>
      </c>
      <c r="AH133" s="76">
        <v>146.47999999999999</v>
      </c>
      <c r="AI133" s="147">
        <f ca="1">IF(Z133="-",AH133/#REF!-1,+AH133/D133-1)</f>
        <v>-0.18302239326250036</v>
      </c>
      <c r="AJ133" s="121">
        <f ca="1">IF(Z133="-","-",+(D133/Z133)-1)</f>
        <v>6.7097136440201766E-3</v>
      </c>
      <c r="AK133" s="120">
        <f ca="1">IF(AA133="-","-",+(D133/AA133)-1)</f>
        <v>6.7097136440201766E-3</v>
      </c>
      <c r="AM133" s="49" t="str">
        <f>IF(AL133=0,"-",+AL133/Z133-1)</f>
        <v>-</v>
      </c>
      <c r="AN133" s="28">
        <f ca="1">+D133/Y133-1</f>
        <v>5.524087263754085E-3</v>
      </c>
      <c r="AO133" s="75"/>
      <c r="AP133" s="193"/>
      <c r="AR133" s="4"/>
      <c r="AU133" s="28"/>
    </row>
    <row r="134" spans="1:47" ht="16" customHeight="1" x14ac:dyDescent="0.2">
      <c r="A134" s="75" t="e" vm="178">
        <v>#VALUE!</v>
      </c>
      <c r="B134" s="75" t="str" cm="1">
        <f t="array" aca="1" ref="B134" ca="1">_FV(A134,"Ticker symbol",TRUE)</f>
        <v>TUI1</v>
      </c>
      <c r="C134" s="217" cm="1">
        <f t="array" aca="1" ref="C134" ca="1">_FV(A134,"Change (%)",TRUE)</f>
        <v>-4.3140000000000001E-3</v>
      </c>
      <c r="D134" s="144" cm="1">
        <f t="array" aca="1" ref="D134" ca="1">_FV(A134,"Price")</f>
        <v>6.4619999999999997</v>
      </c>
      <c r="E134" s="159">
        <f ca="1">AE134</f>
        <v>0.49798823893531408</v>
      </c>
      <c r="F134" s="321">
        <f ca="1">+Tabla2[[#This Row],[Rentab. Parcial]]</f>
        <v>-0.15107724645296905</v>
      </c>
      <c r="G134" s="321">
        <f ca="1">+Tabla2[[#This Row],[Rentab. Parcial2]]</f>
        <v>-0.16208506224066388</v>
      </c>
      <c r="H134" s="253">
        <f ca="1">+Tabla2[[#This Row],[Difer. Investing]]</f>
        <v>0.80284741566078632</v>
      </c>
      <c r="I134" s="79">
        <f ca="1">+Tabla2[[#This Row],[Objetivo div2]]</f>
        <v>9.68</v>
      </c>
      <c r="J134" s="75" cm="1">
        <f t="array" aca="1" ref="J134" ca="1">_FV(A134,"High")</f>
        <v>6.5380000000000003</v>
      </c>
      <c r="K134" s="75" cm="1">
        <f t="array" aca="1" ref="K134" ca="1">_FV(A134,"Low")</f>
        <v>6.3959999999999999</v>
      </c>
      <c r="L134" s="75" cm="1">
        <f t="array" aca="1" ref="L134" ca="1">_FV(Tabla2[[#This Row],[valor]],"52 week high",TRUE)</f>
        <v>20.76</v>
      </c>
      <c r="M134" s="75">
        <f ca="1">+Tabla2[[#This Row],[52 high]]*0.9</f>
        <v>18.684000000000001</v>
      </c>
      <c r="N134" s="75">
        <f ca="1">+Tabla2[[#This Row],[52 high]]*0.95</f>
        <v>19.722000000000001</v>
      </c>
      <c r="O134" s="75" cm="1">
        <f t="array" aca="1" ref="O134" ca="1">_FV(Tabla2[[#This Row],[valor]],"52 week low",TRUE)</f>
        <v>1.1675</v>
      </c>
      <c r="P134" s="220">
        <f ca="1">+TODAY()-Tabla2[[#This Row],[F. compra]]</f>
        <v>756</v>
      </c>
      <c r="Q134" s="220">
        <f ca="1">GESTEP(Tabla2[[#This Row],[price]],Tabla2[[#This Row],[HIGH 10%]])</f>
        <v>0</v>
      </c>
      <c r="R134" s="220">
        <f ca="1">GESTEP(Tabla2[[#This Row],[price]],Tabla2[[#This Row],[HIGH 5%]])</f>
        <v>0</v>
      </c>
      <c r="S134" s="75" t="s">
        <v>75</v>
      </c>
      <c r="T134" s="110" t="s">
        <v>78</v>
      </c>
      <c r="U134" s="110" t="s">
        <v>72</v>
      </c>
      <c r="V134" s="16">
        <v>45383</v>
      </c>
      <c r="W134" s="16">
        <v>45384</v>
      </c>
      <c r="X134" s="80"/>
      <c r="Y134" s="79">
        <v>7.74</v>
      </c>
      <c r="Z134" s="79">
        <f ca="1">7.712-Tabla2[[#This Row],[Div.]]</f>
        <v>7.6120000000000001</v>
      </c>
      <c r="AA134" s="79">
        <f ca="1">+Tabla2[[#This Row],[Precio compra]]+Tabla2[[#This Row],[Div.]]</f>
        <v>7.7119999999999997</v>
      </c>
      <c r="AB134" s="96">
        <f ca="1">+'dividendos 26'!E30</f>
        <v>0.1</v>
      </c>
      <c r="AC134" s="79">
        <f ca="1">9.78-Tabla2[[#This Row],[Div.]]</f>
        <v>9.68</v>
      </c>
      <c r="AD134" s="79">
        <f ca="1">+Tabla2[[#This Row],[Objetivo div2]]+Tabla2[[#This Row],[Div.]]</f>
        <v>9.7799999999999994</v>
      </c>
      <c r="AE134" s="159">
        <f ca="1">IF(Z134="-",+AC134/Y134-1,AC134/D134-1)</f>
        <v>0.49798823893531408</v>
      </c>
      <c r="AF134" s="81">
        <v>11.65</v>
      </c>
      <c r="AG134" s="253">
        <f ca="1">IF(Z134="-",+AF134/D134-1,AF134/D134-1)</f>
        <v>0.80284741566078632</v>
      </c>
      <c r="AH134" s="81">
        <f ca="1">6.696-Tabla2[[#This Row],[Div.]]</f>
        <v>6.5960000000000001</v>
      </c>
      <c r="AI134" s="147">
        <f ca="1">IF(Z134="-",AH134/Y134-1,+AH134/D134-1)</f>
        <v>2.0736614051377389E-2</v>
      </c>
      <c r="AJ134" s="121">
        <f ca="1">IF(Z134="-","-",+(D134/Z134)-1)</f>
        <v>-0.15107724645296905</v>
      </c>
      <c r="AK134" s="120">
        <f ca="1">IF(AA134="-","-",+(D134/AA134)-1)</f>
        <v>-0.16208506224066388</v>
      </c>
      <c r="AM134" s="49" t="str">
        <f>IF(AL134=0,"-",+AL134/Z134-1)</f>
        <v>-</v>
      </c>
      <c r="AN134" s="28">
        <f ca="1">+D134/Y134-1</f>
        <v>-0.16511627906976745</v>
      </c>
      <c r="AO134" s="75">
        <f ca="1">VLOOKUP(Tabla2[[#This Row],[TCKR]],'2026'!$D$5:$AH$257,8,FALSE)</f>
        <v>1500</v>
      </c>
      <c r="AP134" s="193">
        <f ca="1">VLOOKUP(Tabla2[[#This Row],[TCKR]],'2026'!$D$5:$AH$257,26,FALSE)</f>
        <v>-1505.2785143090205</v>
      </c>
      <c r="AQ134" s="5" cm="1">
        <f t="array" aca="1" ref="AQ134" ca="1">_FV(Tabla2[[#This Row],[valor]],"P/E",TRUE)</f>
        <v>5.01</v>
      </c>
      <c r="AR134" s="4"/>
      <c r="AT134" s="193">
        <f ca="1">+Tabla2[[#This Row],[Titulos2]]*Tabla2[[#This Row],[Neto]]</f>
        <v>0</v>
      </c>
      <c r="AU134" s="28">
        <f ca="1">+Tabla2[[#This Row],[Neto]]/Tabla2[[#This Row],[Precio compra2]]</f>
        <v>0</v>
      </c>
    </row>
    <row r="135" spans="1:47" ht="16" customHeight="1" x14ac:dyDescent="0.2">
      <c r="A135" s="324" t="e" vm="131">
        <v>#VALUE!</v>
      </c>
      <c r="B135" s="75" t="str" cm="1">
        <f t="array" aca="1" ref="B135" ca="1">_FV(A135,"Ticker symbol",TRUE)</f>
        <v>PCRX</v>
      </c>
      <c r="C135" s="217" cm="1">
        <f t="array" aca="1" ref="C135" ca="1">_FV(A135,"Change (%)",TRUE)</f>
        <v>4.2431999999999997E-2</v>
      </c>
      <c r="D135" s="144" cm="1">
        <f t="array" aca="1" ref="D135" ca="1">_FV(A135,"Price")</f>
        <v>25.55</v>
      </c>
      <c r="E135" s="307">
        <f ca="1">AE135</f>
        <v>0.48610567514677094</v>
      </c>
      <c r="F135" s="321">
        <f ca="1">+Tabla2[[#This Row],[Rentab. Parcial]]</f>
        <v>-3.5485088712721713E-2</v>
      </c>
      <c r="G135" s="321">
        <f ca="1">+Tabla2[[#This Row],[Rentab. Parcial2]]</f>
        <v>-3.5485088712721713E-2</v>
      </c>
      <c r="H135" s="253">
        <f ca="1">+Tabla2[[#This Row],[Difer. Investing]]</f>
        <v>0.49001956947162428</v>
      </c>
      <c r="I135" s="79">
        <f>+Tabla2[[#This Row],[Objetivo div2]]</f>
        <v>37.97</v>
      </c>
      <c r="J135" s="75" cm="1">
        <f t="array" aca="1" ref="J135" ca="1">_FV(A135,"High")</f>
        <v>25.68</v>
      </c>
      <c r="K135" s="75" cm="1">
        <f t="array" aca="1" ref="K135" ca="1">_FV(A135,"Low")</f>
        <v>24.07</v>
      </c>
      <c r="L135" s="75" cm="1">
        <f t="array" aca="1" ref="L135" ca="1">_FV(Tabla2[[#This Row],[valor]],"52 week high",TRUE)</f>
        <v>27.64</v>
      </c>
      <c r="M135" s="75">
        <f ca="1">+L135*0.9</f>
        <v>24.876000000000001</v>
      </c>
      <c r="N135" s="75">
        <f ca="1">+L135*0.95</f>
        <v>26.257999999999999</v>
      </c>
      <c r="O135" s="75" cm="1">
        <f t="array" aca="1" ref="O135" ca="1">_FV(A135,"52 week low",TRUE)</f>
        <v>18.8</v>
      </c>
      <c r="P135" s="220">
        <f ca="1">+TODAY()-Tabla2[[#This Row],[F. compra]]</f>
        <v>134</v>
      </c>
      <c r="Q135" s="220">
        <f ca="1">GESTEP(D135,M135)</f>
        <v>1</v>
      </c>
      <c r="R135" s="220">
        <f ca="1">GESTEP(D135,N135)</f>
        <v>0</v>
      </c>
      <c r="S135" s="75" t="s">
        <v>75</v>
      </c>
      <c r="T135" s="110" t="s">
        <v>78</v>
      </c>
      <c r="U135" s="110" t="s">
        <v>26</v>
      </c>
      <c r="V135" s="16">
        <v>46006</v>
      </c>
      <c r="W135" s="16">
        <v>46006</v>
      </c>
      <c r="X135" s="80" t="s">
        <v>308</v>
      </c>
      <c r="Y135" s="79">
        <v>26.5</v>
      </c>
      <c r="Z135" s="79">
        <v>26.49</v>
      </c>
      <c r="AA135" s="79">
        <v>26.49</v>
      </c>
      <c r="AB135" s="79"/>
      <c r="AC135" s="79">
        <v>37.97</v>
      </c>
      <c r="AD135" s="79">
        <f>+Tabla2[[#This Row],[Objetivo div2]]+Tabla2[[#This Row],[Div.]]</f>
        <v>37.97</v>
      </c>
      <c r="AE135" s="307">
        <f ca="1">IF(Z135="-",+AC135/Y135-1,AC135/D135-1)</f>
        <v>0.48610567514677094</v>
      </c>
      <c r="AF135" s="76">
        <v>38.07</v>
      </c>
      <c r="AG135" s="253">
        <f ca="1">IF(Z135="-",+AF135/D135-1,AF135/D135-1)</f>
        <v>0.49001956947162428</v>
      </c>
      <c r="AH135" s="76">
        <v>22.27</v>
      </c>
      <c r="AI135" s="147">
        <f ca="1">IF(Z135="-",AH135/Y135-1,+AH135/D135-1)</f>
        <v>-0.12837573385518597</v>
      </c>
      <c r="AJ135" s="121">
        <f ca="1">IF(Z135="-","-",+(D135/Z135)-1)</f>
        <v>-3.5485088712721713E-2</v>
      </c>
      <c r="AK135" s="120">
        <f ca="1">IF(AA135="-","-",+(D135/AA135)-1)</f>
        <v>-3.5485088712721713E-2</v>
      </c>
      <c r="AM135" s="49" t="str">
        <f>IF(AL135=0,"-",+AL135/Z135-1)</f>
        <v>-</v>
      </c>
      <c r="AN135" s="28">
        <f ca="1">+D135/Y135-1</f>
        <v>-3.5849056603773577E-2</v>
      </c>
      <c r="AO135" s="75">
        <f ca="1">VLOOKUP(Tabla2[[#This Row],[TCKR]],'2026'!$D$5:$AH$257,8,FALSE)</f>
        <v>490</v>
      </c>
      <c r="AP135" s="193">
        <f ca="1">VLOOKUP(Tabla2[[#This Row],[TCKR]],'2026'!$D$5:$AH$257,26,FALSE)</f>
        <v>-337.86064752980133</v>
      </c>
      <c r="AQ135" s="5" cm="1">
        <f t="array" aca="1" ref="AQ135" ca="1">_FV(Tabla2[[#This Row],[valor]],"P/E",TRUE)</f>
        <v>162.6353</v>
      </c>
      <c r="AR135" s="4"/>
      <c r="AT135" s="193">
        <f ca="1">+Tabla2[[#This Row],[Titulos2]]*Tabla2[[#This Row],[Neto]]</f>
        <v>0</v>
      </c>
      <c r="AU135" s="28">
        <f>+Tabla2[[#This Row],[Neto]]/Tabla2[[#This Row],[Precio compra2]]</f>
        <v>0</v>
      </c>
    </row>
    <row r="136" spans="1:47" ht="16" customHeight="1" x14ac:dyDescent="0.2">
      <c r="A136" s="306" t="e" vm="157">
        <v>#VALUE!</v>
      </c>
      <c r="B136" s="75" t="str" cm="1">
        <f t="array" aca="1" ref="B136" ca="1">_FV(A136,"Ticker symbol",TRUE)</f>
        <v>SW</v>
      </c>
      <c r="C136" s="217" cm="1">
        <f t="array" aca="1" ref="C136" ca="1">_FV(A136,"Change (%)",TRUE)</f>
        <v>-2.0369999999999999E-2</v>
      </c>
      <c r="D136" s="144" cm="1">
        <f t="array" aca="1" ref="D136" ca="1">_FV(A136,"Price")</f>
        <v>42.32</v>
      </c>
      <c r="E136" s="307">
        <f ca="1">AE136</f>
        <v>0.52292060491493397</v>
      </c>
      <c r="F136" s="321">
        <f ca="1">+Tabla2[[#This Row],[Rentab. Parcial]]</f>
        <v>-0.19082217973231352</v>
      </c>
      <c r="G136" s="321">
        <f ca="1">+Tabla2[[#This Row],[Rentab. Parcial2]]</f>
        <v>-0.2305454545454545</v>
      </c>
      <c r="H136" s="253">
        <f ca="1">+Tabla2[[#This Row],[Difer. Investing]]</f>
        <v>0.79229678638941392</v>
      </c>
      <c r="I136" s="79">
        <f>+Tabla2[[#This Row],[Objetivo div2]]</f>
        <v>64.45</v>
      </c>
      <c r="J136" s="75" cm="1">
        <f t="array" aca="1" ref="J136" ca="1">_FV(A136,"High")</f>
        <v>43.3</v>
      </c>
      <c r="K136" s="75" cm="1">
        <f t="array" aca="1" ref="K136" ca="1">_FV(A136,"Low")</f>
        <v>42.32</v>
      </c>
      <c r="L136" s="75" cm="1">
        <f t="array" aca="1" ref="L136" ca="1">_FV(Tabla2[[#This Row],[valor]],"52 week high",TRUE)</f>
        <v>62.05</v>
      </c>
      <c r="M136" s="75">
        <f ca="1">+L136*0.9</f>
        <v>55.844999999999999</v>
      </c>
      <c r="N136" s="75">
        <f ca="1">+L136*0.95</f>
        <v>58.947499999999998</v>
      </c>
      <c r="O136" s="75" cm="1">
        <f t="array" aca="1" ref="O136" ca="1">_FV(A136,"52 week low",TRUE)</f>
        <v>35.5</v>
      </c>
      <c r="P136" s="220">
        <f ca="1">+TODAY()-Tabla2[[#This Row],[F. compra]]</f>
        <v>211</v>
      </c>
      <c r="Q136" s="220">
        <f ca="1">GESTEP(D136,M136)</f>
        <v>0</v>
      </c>
      <c r="R136" s="220">
        <f ca="1">GESTEP(D136,N136)</f>
        <v>0</v>
      </c>
      <c r="S136" s="75" t="s">
        <v>75</v>
      </c>
      <c r="T136" s="110" t="s">
        <v>78</v>
      </c>
      <c r="U136" s="110" t="s">
        <v>72</v>
      </c>
      <c r="V136" s="16">
        <v>45929</v>
      </c>
      <c r="W136" s="16">
        <v>45929</v>
      </c>
      <c r="X136" s="80"/>
      <c r="Y136" s="79">
        <v>55.55</v>
      </c>
      <c r="Z136" s="79">
        <f>55-Tabla2[[#This Row],[Div.]]</f>
        <v>52.3</v>
      </c>
      <c r="AA136" s="79">
        <v>55</v>
      </c>
      <c r="AB136" s="79">
        <v>2.7</v>
      </c>
      <c r="AC136" s="79">
        <f>67.15-Tabla2[[#This Row],[Div.]]</f>
        <v>64.45</v>
      </c>
      <c r="AD136" s="79">
        <f>+Tabla2[[#This Row],[Objetivo div2]]+Tabla2[[#This Row],[Div.]]</f>
        <v>67.150000000000006</v>
      </c>
      <c r="AE136" s="307">
        <f ca="1">IF(Z136="-",+AC136/Y136-1,AC136/D136-1)</f>
        <v>0.52292060491493397</v>
      </c>
      <c r="AF136" s="76">
        <v>75.849999999999994</v>
      </c>
      <c r="AG136" s="253">
        <f ca="1">IF(Z136="-",+AF136/D136-1,AF136/D136-1)</f>
        <v>0.79229678638941392</v>
      </c>
      <c r="AH136" s="76">
        <f>49.75-Tabla2[[#This Row],[Div.]]</f>
        <v>47.05</v>
      </c>
      <c r="AI136" s="147">
        <f ca="1">IF(Z136="-",AH136/Y136-1,+AH136/D136-1)</f>
        <v>0.11176748582230611</v>
      </c>
      <c r="AJ136" s="121">
        <f ca="1">IF(Z136="-","-",+(D136/Z136)-1)</f>
        <v>-0.19082217973231352</v>
      </c>
      <c r="AK136" s="120">
        <f ca="1">IF(AA136="-","-",+(D136/AA136)-1)</f>
        <v>-0.2305454545454545</v>
      </c>
      <c r="AM136" s="49" t="str">
        <f>IF(AL136=0,"-",+AL136/Z136-1)</f>
        <v>-</v>
      </c>
      <c r="AN136" s="28">
        <f ca="1">+D136/Y136-1</f>
        <v>-0.23816381638163808</v>
      </c>
      <c r="AO136" s="75">
        <f ca="1">VLOOKUP(Tabla2[[#This Row],[TCKR]],'2026'!$D$5:$AH$257,8,FALSE)</f>
        <v>220</v>
      </c>
      <c r="AP136" s="193">
        <f ca="1">VLOOKUP(Tabla2[[#This Row],[TCKR]],'2026'!$D$5:$AH$257,26,FALSE)</f>
        <v>-2218.725218020104</v>
      </c>
      <c r="AQ136" s="5" cm="1">
        <f t="array" aca="1" ref="AQ136" ca="1">_FV(Tabla2[[#This Row],[valor]],"P/E",TRUE)</f>
        <v>14.031000000000001</v>
      </c>
      <c r="AR136" s="4"/>
      <c r="AT136" s="193">
        <f ca="1">+Tabla2[[#This Row],[Titulos2]]*Tabla2[[#This Row],[Neto]]</f>
        <v>0</v>
      </c>
      <c r="AU136" s="28">
        <f>+Tabla2[[#This Row],[Neto]]/Tabla2[[#This Row],[Precio compra2]]</f>
        <v>0</v>
      </c>
    </row>
    <row r="137" spans="1:47" ht="16" customHeight="1" x14ac:dyDescent="0.2">
      <c r="A137" s="324" t="e" vm="99">
        <v>#VALUE!</v>
      </c>
      <c r="B137" s="75" t="str" cm="1">
        <f t="array" aca="1" ref="B137" ca="1">_FV(A137,"Ticker symbol",TRUE)</f>
        <v>JKHY</v>
      </c>
      <c r="C137" s="217" cm="1">
        <f t="array" aca="1" ref="C137" ca="1">_FV(A137,"Change (%)",TRUE)</f>
        <v>-9.2619999999999996E-4</v>
      </c>
      <c r="D137" s="144" cm="1">
        <f t="array" aca="1" ref="D137" ca="1">_FV(A137,"Price")</f>
        <v>151.01</v>
      </c>
      <c r="E137" s="307">
        <f ca="1">AE137</f>
        <v>0.54030824483112427</v>
      </c>
      <c r="F137" s="321">
        <f ca="1">+Tabla2[[#This Row],[Rentab. Parcial]]</f>
        <v>-9.8458246269669369E-2</v>
      </c>
      <c r="G137" s="321">
        <f ca="1">+Tabla2[[#This Row],[Rentab. Parcial2]]</f>
        <v>-0.10390458105862821</v>
      </c>
      <c r="H137" s="253">
        <f ca="1">+Tabla2[[#This Row],[Difer. Investing]]</f>
        <v>0.30183431560823792</v>
      </c>
      <c r="I137" s="79">
        <f>+Tabla2[[#This Row],[Objetivo div2]]</f>
        <v>232.60194805194806</v>
      </c>
      <c r="J137" s="75" cm="1">
        <f t="array" aca="1" ref="J137" ca="1">_FV(A137,"High")</f>
        <v>153.15</v>
      </c>
      <c r="K137" s="75" cm="1">
        <f t="array" aca="1" ref="K137" ca="1">_FV(A137,"Low")</f>
        <v>150.51</v>
      </c>
      <c r="L137" s="75" cm="1">
        <f t="array" aca="1" ref="L137" ca="1">_FV(Tabla2[[#This Row],[valor]],"52 week high",TRUE)</f>
        <v>193.39</v>
      </c>
      <c r="M137" s="75">
        <f ca="1">+L137*0.9</f>
        <v>174.05099999999999</v>
      </c>
      <c r="N137" s="75">
        <f ca="1">+L137*0.95</f>
        <v>183.72049999999999</v>
      </c>
      <c r="O137" s="75" cm="1">
        <f t="array" aca="1" ref="O137" ca="1">_FV(A137,"52 week low",TRUE)</f>
        <v>144.12</v>
      </c>
      <c r="P137" s="220">
        <f ca="1">+TODAY()-Tabla2[[#This Row],[F. compra]]</f>
        <v>159</v>
      </c>
      <c r="Q137" s="220">
        <f ca="1">GESTEP(D137,M137)</f>
        <v>0</v>
      </c>
      <c r="R137" s="220">
        <f ca="1">GESTEP(D137,N137)</f>
        <v>0</v>
      </c>
      <c r="S137" s="75" t="s">
        <v>75</v>
      </c>
      <c r="T137" s="110" t="s">
        <v>78</v>
      </c>
      <c r="U137" s="110" t="s">
        <v>26</v>
      </c>
      <c r="V137" s="16">
        <v>45978</v>
      </c>
      <c r="W137" s="16">
        <v>45981</v>
      </c>
      <c r="X137" s="80" t="s">
        <v>291</v>
      </c>
      <c r="Y137" s="79">
        <v>168.52</v>
      </c>
      <c r="Z137" s="79">
        <f>168.52-Tabla2[[#This Row],[Div.]]</f>
        <v>167.50194805194806</v>
      </c>
      <c r="AA137" s="79">
        <v>168.52</v>
      </c>
      <c r="AB137" s="79">
        <f>0.49+'dividendos 26'!E50</f>
        <v>1.0180519480519479</v>
      </c>
      <c r="AC137" s="79">
        <f>233.62-Tabla2[[#This Row],[Div.]]</f>
        <v>232.60194805194806</v>
      </c>
      <c r="AD137" s="79">
        <f>+Tabla2[[#This Row],[Objetivo div2]]+Tabla2[[#This Row],[Div.]]</f>
        <v>233.62</v>
      </c>
      <c r="AE137" s="307">
        <f ca="1">IF(Z137="-",+AC137/Y137-1,AC137/D137-1)</f>
        <v>0.54030824483112427</v>
      </c>
      <c r="AF137" s="76">
        <v>196.59</v>
      </c>
      <c r="AG137" s="253">
        <f ca="1">IF(Z137="-",+AF137/D137-1,AF137/D137-1)</f>
        <v>0.30183431560823792</v>
      </c>
      <c r="AH137" s="76">
        <v>143.97999999999999</v>
      </c>
      <c r="AI137" s="147">
        <f ca="1">IF(Z137="-",AH137/Y137-1,+AH137/D137-1)</f>
        <v>-4.6553208396794887E-2</v>
      </c>
      <c r="AJ137" s="121">
        <f ca="1">IF(Z137="-","-",+(D137/Z137)-1)</f>
        <v>-9.8458246269669369E-2</v>
      </c>
      <c r="AK137" s="120">
        <f ca="1">IF(AA137="-","-",+(D137/AA137)-1)</f>
        <v>-0.10390458105862821</v>
      </c>
      <c r="AM137" s="49" t="str">
        <f>IF(AL137=0,"-",+AL137/Z137-1)</f>
        <v>-</v>
      </c>
      <c r="AN137" s="28">
        <f ca="1">+D137/Y137-1</f>
        <v>-0.10390458105862821</v>
      </c>
      <c r="AO137" s="75">
        <f ca="1">VLOOKUP(Tabla2[[#This Row],[TCKR]],'2026'!$D$5:$AH$257,8,FALSE)</f>
        <v>77</v>
      </c>
      <c r="AP137" s="193">
        <f ca="1">VLOOKUP(Tabla2[[#This Row],[TCKR]],'2026'!$D$5:$AH$257,26,FALSE)</f>
        <v>-1112.723944133025</v>
      </c>
      <c r="AQ137" s="5" cm="1">
        <f t="array" aca="1" ref="AQ137" ca="1">_FV(Tabla2[[#This Row],[valor]],"P/E",TRUE)</f>
        <v>21.697900000000001</v>
      </c>
      <c r="AR137" s="4"/>
      <c r="AT137" s="193">
        <f ca="1">+Tabla2[[#This Row],[Titulos2]]*Tabla2[[#This Row],[Neto]]</f>
        <v>0</v>
      </c>
      <c r="AU137" s="28">
        <f>+Tabla2[[#This Row],[Neto]]/Tabla2[[#This Row],[Precio compra2]]</f>
        <v>0</v>
      </c>
    </row>
    <row r="138" spans="1:47" ht="16" customHeight="1" x14ac:dyDescent="0.2">
      <c r="A138" s="324" t="e" vm="76">
        <v>#VALUE!</v>
      </c>
      <c r="B138" s="75" t="str" cm="1">
        <f t="array" aca="1" ref="B138" ca="1">_FV(A138,"Ticker symbol",TRUE)</f>
        <v>GLXY</v>
      </c>
      <c r="C138" s="217" cm="1">
        <f t="array" aca="1" ref="C138" ca="1">_FV(A138,"Change (%)",TRUE)</f>
        <v>-3.6724E-2</v>
      </c>
      <c r="D138" s="144" cm="1">
        <f t="array" aca="1" ref="D138" ca="1">_FV(A138,"Price")</f>
        <v>25.05</v>
      </c>
      <c r="E138" s="307">
        <f ca="1">AE138</f>
        <v>0.5125748502994012</v>
      </c>
      <c r="F138" s="321">
        <f ca="1">+Tabla2[[#This Row],[Rentab. Parcial]]</f>
        <v>-0.12869565217391299</v>
      </c>
      <c r="G138" s="321">
        <f ca="1">+Tabla2[[#This Row],[Rentab. Parcial2]]</f>
        <v>-0.12869565217391299</v>
      </c>
      <c r="H138" s="253">
        <f ca="1">+Tabla2[[#This Row],[Difer. Investing]]</f>
        <v>0.89820359281437101</v>
      </c>
      <c r="I138" s="79">
        <f>+Tabla2[[#This Row],[Objetivo div2]]</f>
        <v>37.89</v>
      </c>
      <c r="J138" s="75" cm="1">
        <f t="array" aca="1" ref="J138" ca="1">_FV(A138,"High")</f>
        <v>26.26</v>
      </c>
      <c r="K138" s="75" cm="1">
        <f t="array" aca="1" ref="K138" ca="1">_FV(A138,"Low")</f>
        <v>24.3</v>
      </c>
      <c r="L138" s="75" cm="1">
        <f t="array" aca="1" ref="L138" ca="1">_FV(Tabla2[[#This Row],[valor]],"52 week high",TRUE)</f>
        <v>45.92</v>
      </c>
      <c r="M138" s="75">
        <f ca="1">+L138*0.9</f>
        <v>41.328000000000003</v>
      </c>
      <c r="N138" s="75">
        <f ca="1">+L138*0.95</f>
        <v>43.624000000000002</v>
      </c>
      <c r="O138" s="75" cm="1">
        <f t="array" aca="1" ref="O138" ca="1">_FV(A138,"52 week low",TRUE)</f>
        <v>14.3</v>
      </c>
      <c r="P138" s="220">
        <f ca="1">+TODAY()-Tabla2[[#This Row],[F. compra]]</f>
        <v>139</v>
      </c>
      <c r="Q138" s="220">
        <f ca="1">GESTEP(D138,M138)</f>
        <v>0</v>
      </c>
      <c r="R138" s="220">
        <f ca="1">GESTEP(D138,N138)</f>
        <v>0</v>
      </c>
      <c r="S138" s="75" t="s">
        <v>76</v>
      </c>
      <c r="T138" s="110" t="s">
        <v>78</v>
      </c>
      <c r="U138" s="110" t="s">
        <v>88</v>
      </c>
      <c r="V138" s="16">
        <v>46001</v>
      </c>
      <c r="W138" s="16">
        <v>46001</v>
      </c>
      <c r="X138" s="80"/>
      <c r="Y138" s="79">
        <v>29.5</v>
      </c>
      <c r="Z138" s="79">
        <v>28.75</v>
      </c>
      <c r="AA138" s="79">
        <v>28.75</v>
      </c>
      <c r="AB138" s="79"/>
      <c r="AC138" s="79">
        <v>37.89</v>
      </c>
      <c r="AD138" s="79">
        <f>+Tabla2[[#This Row],[Objetivo div2]]+Tabla2[[#This Row],[Div.]]</f>
        <v>37.89</v>
      </c>
      <c r="AE138" s="307">
        <f ca="1">IF(Z138="-",+AC138/Y138-1,AC138/D138-1)</f>
        <v>0.5125748502994012</v>
      </c>
      <c r="AF138" s="76">
        <v>47.55</v>
      </c>
      <c r="AG138" s="253">
        <f ca="1">IF(Z138="-",+AF138/D138-1,AF138/D138-1)</f>
        <v>0.89820359281437101</v>
      </c>
      <c r="AH138" s="76">
        <v>25.28</v>
      </c>
      <c r="AI138" s="147">
        <f ca="1">IF(Z138="-",AH138/Y138-1,+AH138/D138-1)</f>
        <v>9.1816367265469268E-3</v>
      </c>
      <c r="AJ138" s="121">
        <f ca="1">IF(Z138="-","-",+(D138/Z138)-1)</f>
        <v>-0.12869565217391299</v>
      </c>
      <c r="AK138" s="120">
        <f ca="1">IF(AA138="-","-",+(D138/AA138)-1)</f>
        <v>-0.12869565217391299</v>
      </c>
      <c r="AM138" s="49" t="str">
        <f>IF(AL138=0,"-",+AL138/Z138-1)</f>
        <v>-</v>
      </c>
      <c r="AN138" s="28">
        <f ca="1">+D138/Y138-1</f>
        <v>-0.1508474576271186</v>
      </c>
      <c r="AO138" s="75">
        <f ca="1">VLOOKUP(Tabla2[[#This Row],[TCKR]],'2026'!$D$5:$AH$257,8,FALSE)</f>
        <v>300</v>
      </c>
      <c r="AP138" s="193">
        <f ca="1">VLOOKUP(Tabla2[[#This Row],[TCKR]],'2026'!$D$5:$AH$257,26,FALSE)</f>
        <v>-786.98971285104267</v>
      </c>
      <c r="AQ138" s="5" cm="1">
        <f t="array" aca="1" ref="AQ138" ca="1">_FV(Tabla2[[#This Row],[valor]],"P/E",TRUE)</f>
        <v>0</v>
      </c>
      <c r="AR138" s="4"/>
      <c r="AT138" s="193">
        <f ca="1">+Tabla2[[#This Row],[Titulos2]]*Tabla2[[#This Row],[Neto]]</f>
        <v>0</v>
      </c>
      <c r="AU138" s="28">
        <f>+Tabla2[[#This Row],[Neto]]/Tabla2[[#This Row],[Precio compra2]]</f>
        <v>0</v>
      </c>
    </row>
    <row r="139" spans="1:47" ht="16" customHeight="1" x14ac:dyDescent="0.2">
      <c r="A139" s="323" t="e" vm="1">
        <v>#VALUE!</v>
      </c>
      <c r="B139" s="75" t="str" cm="1">
        <f t="array" aca="1" ref="B139" ca="1">_FV(A139,"Ticker symbol",TRUE)</f>
        <v>ABEO</v>
      </c>
      <c r="C139" s="217" cm="1">
        <f t="array" aca="1" ref="C139" ca="1">_FV(A139,"Change (%)",TRUE)</f>
        <v>-9.2759999999999995E-3</v>
      </c>
      <c r="D139" s="144" cm="1">
        <f t="array" aca="1" ref="D139" ca="1">_FV(A139,"Price")</f>
        <v>5.34</v>
      </c>
      <c r="E139" s="159">
        <f ca="1">AE139</f>
        <v>0.54681647940074907</v>
      </c>
      <c r="F139" s="321">
        <f ca="1">+Tabla2[[#This Row],[Rentab. Parcial]]</f>
        <v>-0.17337461300309598</v>
      </c>
      <c r="G139" s="321">
        <f ca="1">+Tabla2[[#This Row],[Rentab. Parcial2]]</f>
        <v>-0.17337461300309598</v>
      </c>
      <c r="H139" s="253">
        <f ca="1">+Tabla2[[#This Row],[Difer. Investing]]</f>
        <v>2.8389513108614235</v>
      </c>
      <c r="I139" s="79">
        <f>+Tabla2[[#This Row],[Objetivo div2]]</f>
        <v>8.26</v>
      </c>
      <c r="J139" s="75" cm="1">
        <f t="array" aca="1" ref="J139" ca="1">_FV(A139,"High")</f>
        <v>5.48</v>
      </c>
      <c r="K139" s="75" cm="1">
        <f t="array" aca="1" ref="K139" ca="1">_FV(A139,"Low")</f>
        <v>5.3</v>
      </c>
      <c r="L139" s="75" cm="1">
        <f t="array" aca="1" ref="L139" ca="1">_FV(Tabla2[[#This Row],[valor]],"52 week high",TRUE)</f>
        <v>7.5400999999999998</v>
      </c>
      <c r="M139" s="75">
        <f ca="1">+Tabla2[[#This Row],[52 high]]*0.9</f>
        <v>6.7860899999999997</v>
      </c>
      <c r="N139" s="75">
        <f ca="1">+Tabla2[[#This Row],[52 high]]*0.95</f>
        <v>7.1630949999999993</v>
      </c>
      <c r="O139" s="75" cm="1">
        <f t="array" aca="1" ref="O139" ca="1">_FV(Tabla2[[#This Row],[valor]],"52 week low",TRUE)</f>
        <v>4</v>
      </c>
      <c r="P139" s="220">
        <f ca="1">+TODAY()-Tabla2[[#This Row],[F. compra]]</f>
        <v>515</v>
      </c>
      <c r="Q139" s="220">
        <f ca="1">GESTEP(Tabla2[[#This Row],[price]],Tabla2[[#This Row],[HIGH 10%]])</f>
        <v>0</v>
      </c>
      <c r="R139" s="220">
        <f ca="1">GESTEP(Tabla2[[#This Row],[price]],Tabla2[[#This Row],[HIGH 5%]])</f>
        <v>0</v>
      </c>
      <c r="S139" s="75" t="s">
        <v>75</v>
      </c>
      <c r="T139" s="110" t="s">
        <v>78</v>
      </c>
      <c r="U139" s="110" t="s">
        <v>26</v>
      </c>
      <c r="V139" s="16">
        <v>45625</v>
      </c>
      <c r="W139" s="16">
        <v>45625</v>
      </c>
      <c r="X139" s="80" t="s">
        <v>11</v>
      </c>
      <c r="Y139" s="79">
        <v>6.46</v>
      </c>
      <c r="Z139" s="79">
        <v>6.46</v>
      </c>
      <c r="AA139" s="79">
        <f>+Tabla2[[#This Row],[Precio compra]]+Tabla2[[#This Row],[Div.]]</f>
        <v>6.46</v>
      </c>
      <c r="AB139" s="96"/>
      <c r="AC139" s="79">
        <v>8.26</v>
      </c>
      <c r="AD139" s="79">
        <f>+Tabla2[[#This Row],[Objetivo div2]]+Tabla2[[#This Row],[Div.]]</f>
        <v>8.26</v>
      </c>
      <c r="AE139" s="159">
        <f ca="1">IF(Z139="-",+AC139/Y139-1,AC139/D139-1)</f>
        <v>0.54681647940074907</v>
      </c>
      <c r="AF139" s="81">
        <v>20.5</v>
      </c>
      <c r="AG139" s="253">
        <f ca="1">IF(Z139="-",+AF139/D139-1,AF139/D139-1)</f>
        <v>2.8389513108614235</v>
      </c>
      <c r="AH139" s="81">
        <v>5.56</v>
      </c>
      <c r="AI139" s="147">
        <f ca="1">IF(Z139="-",AH139/Y139-1,+AH139/D139-1)</f>
        <v>4.1198501872659055E-2</v>
      </c>
      <c r="AJ139" s="121">
        <f ca="1">IF(Z139="-","-",+(D139/Z139)-1)</f>
        <v>-0.17337461300309598</v>
      </c>
      <c r="AK139" s="120">
        <f ca="1">IF(AA139="-","-",+(D139/AA139)-1)</f>
        <v>-0.17337461300309598</v>
      </c>
      <c r="AM139" s="49" t="str">
        <f>IF(AL139=0,"-",+AL139/Z139-1)</f>
        <v>-</v>
      </c>
      <c r="AN139" s="28">
        <f ca="1">+D139/Y139-1</f>
        <v>-0.17337461300309598</v>
      </c>
      <c r="AO139" s="75">
        <f ca="1">VLOOKUP(Tabla2[[#This Row],[TCKR]],'2026'!$D$5:$AH$257,8,FALSE)</f>
        <v>800</v>
      </c>
      <c r="AP139" s="193">
        <f ca="1">VLOOKUP(Tabla2[[#This Row],[TCKR]],'2026'!$D$5:$AH$257,26,FALSE)</f>
        <v>-1020.1711827353574</v>
      </c>
      <c r="AQ139" s="5" cm="1">
        <f t="array" aca="1" ref="AQ139" ca="1">_FV(Tabla2[[#This Row],[valor]],"P/E",TRUE)</f>
        <v>5.8220999999999998</v>
      </c>
      <c r="AR139" s="4"/>
      <c r="AT139" s="193">
        <f ca="1">+Tabla2[[#This Row],[Titulos2]]*Tabla2[[#This Row],[Neto]]</f>
        <v>0</v>
      </c>
      <c r="AU139" s="28">
        <f>+Tabla2[[#This Row],[Neto]]/Tabla2[[#This Row],[Precio compra2]]</f>
        <v>0</v>
      </c>
    </row>
    <row r="140" spans="1:47" ht="16" customHeight="1" x14ac:dyDescent="0.2">
      <c r="A140" s="323" t="e" vm="155">
        <v>#VALUE!</v>
      </c>
      <c r="B140" s="75" t="str" cm="1">
        <f t="array" aca="1" ref="B140" ca="1">_FV(A140,"Ticker symbol",TRUE)</f>
        <v>SNDL</v>
      </c>
      <c r="C140" s="217" cm="1">
        <f t="array" aca="1" ref="C140" ca="1">_FV(A140,"Change (%)",TRUE)</f>
        <v>0</v>
      </c>
      <c r="D140" s="144" cm="1">
        <f t="array" aca="1" ref="D140" ca="1">_FV(A140,"Price")</f>
        <v>1.51</v>
      </c>
      <c r="E140" s="159">
        <f ca="1">AE140</f>
        <v>0.54966887417218535</v>
      </c>
      <c r="F140" s="321">
        <f ca="1">+Tabla2[[#This Row],[Rentab. Parcial]]</f>
        <v>-0.19251336898395721</v>
      </c>
      <c r="G140" s="321">
        <f ca="1">+Tabla2[[#This Row],[Rentab. Parcial2]]</f>
        <v>-0.19251336898395721</v>
      </c>
      <c r="H140" s="253">
        <f ca="1">+Tabla2[[#This Row],[Difer. Investing]]</f>
        <v>2.1390728476821192</v>
      </c>
      <c r="I140" s="79">
        <f>+Tabla2[[#This Row],[Objetivo div2]]</f>
        <v>2.34</v>
      </c>
      <c r="J140" s="75" cm="1">
        <f t="array" aca="1" ref="J140" ca="1">_FV(A140,"High")</f>
        <v>1.55</v>
      </c>
      <c r="K140" s="75" cm="1">
        <f t="array" aca="1" ref="K140" ca="1">_FV(A140,"Low")</f>
        <v>1.5</v>
      </c>
      <c r="L140" s="75" cm="1">
        <f t="array" aca="1" ref="L140" ca="1">_FV(Tabla2[[#This Row],[valor]],"52 week high",TRUE)</f>
        <v>2.89</v>
      </c>
      <c r="M140" s="75">
        <f ca="1">+L140*0.9</f>
        <v>2.601</v>
      </c>
      <c r="N140" s="75">
        <f ca="1">+L140*0.95</f>
        <v>2.7454999999999998</v>
      </c>
      <c r="O140" s="75" cm="1">
        <f t="array" aca="1" ref="O140" ca="1">_FV(A140,"52 week low",TRUE)</f>
        <v>1.1499999999999999</v>
      </c>
      <c r="P140" s="220">
        <f ca="1">+TODAY()-Tabla2[[#This Row],[F. compra]]</f>
        <v>446</v>
      </c>
      <c r="Q140" s="220">
        <f ca="1">GESTEP(D140,M140)</f>
        <v>0</v>
      </c>
      <c r="R140" s="220">
        <f ca="1">GESTEP(D140,N140)</f>
        <v>0</v>
      </c>
      <c r="S140" s="75" t="s">
        <v>166</v>
      </c>
      <c r="T140" s="110" t="s">
        <v>78</v>
      </c>
      <c r="U140" s="110" t="s">
        <v>26</v>
      </c>
      <c r="V140" s="16">
        <v>45694</v>
      </c>
      <c r="W140" s="16">
        <v>45694</v>
      </c>
      <c r="X140" s="80"/>
      <c r="Y140" s="79">
        <v>1.87</v>
      </c>
      <c r="Z140" s="79">
        <v>1.87</v>
      </c>
      <c r="AA140" s="79">
        <f>+Tabla2[[#This Row],[Precio compra]]+Tabla2[[#This Row],[Div.]]</f>
        <v>1.87</v>
      </c>
      <c r="AB140" s="96"/>
      <c r="AC140" s="79">
        <v>2.34</v>
      </c>
      <c r="AD140" s="79">
        <f>+Tabla2[[#This Row],[Objetivo div2]]+Tabla2[[#This Row],[Div.]]</f>
        <v>2.34</v>
      </c>
      <c r="AE140" s="159">
        <f ca="1">IF(Z140="-",+AC140/Y140-1,AC140/D140-1)</f>
        <v>0.54966887417218535</v>
      </c>
      <c r="AF140" s="81">
        <v>4.74</v>
      </c>
      <c r="AG140" s="253">
        <f ca="1">IF(Z140="-",+AF140/D140-1,AF140/D140-1)</f>
        <v>2.1390728476821192</v>
      </c>
      <c r="AH140" s="81">
        <v>1.64</v>
      </c>
      <c r="AI140" s="147">
        <f ca="1">IF(Z140="-",AH140/Y140-1,+AH140/D140-1)</f>
        <v>8.6092715231788075E-2</v>
      </c>
      <c r="AJ140" s="121">
        <f ca="1">IF(Z140="-","-",+(D140/Z140)-1)</f>
        <v>-0.19251336898395721</v>
      </c>
      <c r="AK140" s="120">
        <f ca="1">IF(AA140="-","-",+(D140/AA140)-1)</f>
        <v>-0.19251336898395721</v>
      </c>
      <c r="AM140" s="49" t="str">
        <f>IF(AL140=0,"-",+AL140/Z140-1)</f>
        <v>-</v>
      </c>
      <c r="AN140" s="28">
        <f ca="1">+D140/Y140-1</f>
        <v>-0.19251336898395721</v>
      </c>
      <c r="AO140" s="75">
        <f ca="1">VLOOKUP(Tabla2[[#This Row],[TCKR]],'2026'!$D$5:$AH$257,8,FALSE)</f>
        <v>4278</v>
      </c>
      <c r="AP140" s="193">
        <f ca="1">VLOOKUP(Tabla2[[#This Row],[TCKR]],'2026'!$D$5:$AH$257,26,FALSE)</f>
        <v>-1787.2030564967565</v>
      </c>
      <c r="AQ140" s="5" cm="1">
        <f t="array" aca="1" ref="AQ140" ca="1">_FV(Tabla2[[#This Row],[valor]],"P/E",TRUE)</f>
        <v>0</v>
      </c>
      <c r="AR140" s="4"/>
      <c r="AT140" s="193">
        <f ca="1">+Tabla2[[#This Row],[Titulos2]]*Tabla2[[#This Row],[Neto]]</f>
        <v>0</v>
      </c>
      <c r="AU140" s="28">
        <f>+Tabla2[[#This Row],[Neto]]/Tabla2[[#This Row],[Precio compra2]]</f>
        <v>0</v>
      </c>
    </row>
    <row r="141" spans="1:47" ht="16" customHeight="1" x14ac:dyDescent="0.2">
      <c r="A141" s="75" t="e" vm="136">
        <v>#VALUE!</v>
      </c>
      <c r="B141" s="75" t="str" cm="1">
        <f t="array" aca="1" ref="B141" ca="1">_FV(A141,"Ticker symbol",TRUE)</f>
        <v>PAH3</v>
      </c>
      <c r="C141" s="217" cm="1">
        <f t="array" aca="1" ref="C141" ca="1">_FV(A141,"Change (%)",TRUE)</f>
        <v>-2.5469999999999998E-3</v>
      </c>
      <c r="D141" s="144" cm="1">
        <f t="array" aca="1" ref="D141" ca="1">_FV(A141,"Price")</f>
        <v>31.33</v>
      </c>
      <c r="E141" s="159">
        <f ca="1">AE141</f>
        <v>0.54739865943185451</v>
      </c>
      <c r="F141" s="321">
        <f ca="1">+Tabla2[[#This Row],[Rentab. Parcial]]</f>
        <v>-0.17138323194921989</v>
      </c>
      <c r="G141" s="321">
        <f ca="1">+Tabla2[[#This Row],[Rentab. Parcial2]]</f>
        <v>-0.17138323194921989</v>
      </c>
      <c r="H141" s="253">
        <f ca="1">+Tabla2[[#This Row],[Difer. Investing]]</f>
        <v>0.31535269709543567</v>
      </c>
      <c r="I141" s="79">
        <f>+Tabla2[[#This Row],[Objetivo div2]]</f>
        <v>48.48</v>
      </c>
      <c r="J141" s="75" cm="1">
        <f t="array" aca="1" ref="J141" ca="1">_FV(A141,"High")</f>
        <v>31.48</v>
      </c>
      <c r="K141" s="75" cm="1">
        <f t="array" aca="1" ref="K141" ca="1">_FV(A141,"Low")</f>
        <v>31.17</v>
      </c>
      <c r="L141" s="75" cm="1">
        <f t="array" aca="1" ref="L141" ca="1">_FV(Tabla2[[#This Row],[valor]],"52 week high",TRUE)</f>
        <v>102</v>
      </c>
      <c r="M141" s="75">
        <f ca="1">+L141*0.9</f>
        <v>91.8</v>
      </c>
      <c r="N141" s="75">
        <f ca="1">+L141*0.95</f>
        <v>96.899999999999991</v>
      </c>
      <c r="O141" s="75" cm="1">
        <f t="array" aca="1" ref="O141" ca="1">_FV(A141,"52 week low",TRUE)</f>
        <v>28.48</v>
      </c>
      <c r="P141" s="220">
        <f ca="1">+TODAY()-Tabla2[[#This Row],[F. compra]]</f>
        <v>274</v>
      </c>
      <c r="Q141" s="220">
        <f ca="1">GESTEP(D141,M141)</f>
        <v>0</v>
      </c>
      <c r="R141" s="220">
        <f ca="1">GESTEP(D141,N141)</f>
        <v>0</v>
      </c>
      <c r="S141" s="75" t="s">
        <v>75</v>
      </c>
      <c r="T141" s="110" t="s">
        <v>78</v>
      </c>
      <c r="U141" s="110" t="s">
        <v>26</v>
      </c>
      <c r="V141" s="16">
        <v>45866</v>
      </c>
      <c r="W141" s="16">
        <v>45866</v>
      </c>
      <c r="X141" s="80"/>
      <c r="Y141" s="79">
        <v>37.81</v>
      </c>
      <c r="Z141" s="79">
        <v>37.81</v>
      </c>
      <c r="AA141" s="79">
        <f>+Tabla2[[#This Row],[Precio compra]]+Tabla2[[#This Row],[Div.]]</f>
        <v>37.81</v>
      </c>
      <c r="AB141" s="96"/>
      <c r="AC141" s="79">
        <v>48.48</v>
      </c>
      <c r="AD141" s="79">
        <f>+Tabla2[[#This Row],[Objetivo div2]]+Tabla2[[#This Row],[Div.]]</f>
        <v>48.48</v>
      </c>
      <c r="AE141" s="159">
        <f ca="1">IF(Z141="-",+AC141/Y141-1,AC141/D141-1)</f>
        <v>0.54739865943185451</v>
      </c>
      <c r="AF141" s="81">
        <v>41.21</v>
      </c>
      <c r="AG141" s="253">
        <f ca="1">IF(Z141="-",+AF141/D141-1,AF141/D141-1)</f>
        <v>0.31535269709543567</v>
      </c>
      <c r="AH141" s="81">
        <v>32.479999999999997</v>
      </c>
      <c r="AI141" s="147">
        <f ca="1">IF(Z141="-",AH141/Y141-1,+AH141/D141-1)</f>
        <v>3.6706032556654833E-2</v>
      </c>
      <c r="AJ141" s="121">
        <f ca="1">IF(Z141="-","-",+(D141/Z141)-1)</f>
        <v>-0.17138323194921989</v>
      </c>
      <c r="AK141" s="120">
        <f ca="1">IF(AA141="-","-",+(D141/AA141)-1)</f>
        <v>-0.17138323194921989</v>
      </c>
      <c r="AM141" s="49" t="str">
        <f>IF(AL141=0,"-",+AL141/Z141-1)</f>
        <v>-</v>
      </c>
      <c r="AN141" s="28">
        <f ca="1">+D141/Y141-1</f>
        <v>-0.17138323194921989</v>
      </c>
      <c r="AO141" s="75">
        <f ca="1">VLOOKUP(Tabla2[[#This Row],[TCKR]],'2026'!$D$5:$AH$257,8,FALSE)</f>
        <v>403</v>
      </c>
      <c r="AP141" s="193">
        <f ca="1">VLOOKUP(Tabla2[[#This Row],[TCKR]],'2026'!$D$5:$AH$257,26,FALSE)</f>
        <v>-2087.1931122500891</v>
      </c>
      <c r="AQ141" s="5" cm="1">
        <f t="array" aca="1" ref="AQ141" ca="1">_FV(Tabla2[[#This Row],[valor]],"P/E",TRUE)</f>
        <v>3.72</v>
      </c>
      <c r="AR141" s="4"/>
      <c r="AT141" s="193">
        <f ca="1">+Tabla2[[#This Row],[Titulos2]]*Tabla2[[#This Row],[Neto]]</f>
        <v>0</v>
      </c>
      <c r="AU141" s="28">
        <f>+Tabla2[[#This Row],[Neto]]/Tabla2[[#This Row],[Precio compra2]]</f>
        <v>0</v>
      </c>
    </row>
    <row r="142" spans="1:47" ht="16" customHeight="1" x14ac:dyDescent="0.2">
      <c r="A142" s="179" t="e" vm="70">
        <v>#VALUE!</v>
      </c>
      <c r="B142" s="75" t="str" cm="1">
        <f t="array" aca="1" ref="B142" ca="1">_FV(A142,"Ticker symbol",TRUE)</f>
        <v>FDR</v>
      </c>
      <c r="C142" s="217" cm="1">
        <f t="array" aca="1" ref="C142" ca="1">_FV(A142,"Change (%)",TRUE)</f>
        <v>3.8500000000000001E-3</v>
      </c>
      <c r="D142" s="144" cm="1">
        <f t="array" aca="1" ref="D142" ca="1">_FV(A142,"Price")</f>
        <v>20.86</v>
      </c>
      <c r="E142" s="289">
        <f ca="1">AE142</f>
        <v>0.56759348034515833</v>
      </c>
      <c r="F142" s="321">
        <f ca="1">+Tabla2[[#This Row],[Rentab. Parcial]]</f>
        <v>-0.18515625000000002</v>
      </c>
      <c r="G142" s="321">
        <f ca="1">+Tabla2[[#This Row],[Rentab. Parcial2]]</f>
        <v>-0.18515625000000002</v>
      </c>
      <c r="H142" s="253">
        <f ca="1">+Tabla2[[#This Row],[Difer. Investing]]</f>
        <v>0.30728667305848512</v>
      </c>
      <c r="I142" s="79">
        <f>+Tabla2[[#This Row],[Objetivo div2]]</f>
        <v>32.700000000000003</v>
      </c>
      <c r="J142" s="75" cm="1">
        <f t="array" aca="1" ref="J142" ca="1">_FV(A142,"High")</f>
        <v>21.08</v>
      </c>
      <c r="K142" s="75" cm="1">
        <f t="array" aca="1" ref="K142" ca="1">_FV(A142,"Low")</f>
        <v>20.78</v>
      </c>
      <c r="L142" s="75" cm="1">
        <f t="array" aca="1" ref="L142" ca="1">_FV(Tabla2[[#This Row],[valor]],"52 week high",TRUE)</f>
        <v>26.22</v>
      </c>
      <c r="M142" s="75">
        <f ca="1">+L142*0.9</f>
        <v>23.597999999999999</v>
      </c>
      <c r="N142" s="75">
        <f ca="1">+L142*0.95</f>
        <v>24.908999999999999</v>
      </c>
      <c r="O142" s="75" cm="1">
        <f t="array" aca="1" ref="O142" ca="1">_FV(A142,"52 week low",TRUE)</f>
        <v>18.39</v>
      </c>
      <c r="P142" s="220">
        <f ca="1">+TODAY()-Tabla2[[#This Row],[F. compra]]</f>
        <v>95</v>
      </c>
      <c r="Q142" s="220">
        <f ca="1">GESTEP(D142,M142)</f>
        <v>0</v>
      </c>
      <c r="R142" s="220">
        <f ca="1">GESTEP(D142,N142)</f>
        <v>0</v>
      </c>
      <c r="S142" s="75" t="s">
        <v>75</v>
      </c>
      <c r="T142" s="110" t="s">
        <v>78</v>
      </c>
      <c r="U142" s="110" t="s">
        <v>26</v>
      </c>
      <c r="V142" s="16">
        <v>46027</v>
      </c>
      <c r="W142" s="16">
        <v>46045</v>
      </c>
      <c r="X142" s="80"/>
      <c r="Y142" s="79">
        <v>25.6</v>
      </c>
      <c r="Z142" s="79">
        <v>25.6</v>
      </c>
      <c r="AA142" s="79">
        <v>25.6</v>
      </c>
      <c r="AB142" s="79"/>
      <c r="AC142" s="79">
        <v>32.700000000000003</v>
      </c>
      <c r="AD142" s="79">
        <f>+Tabla2[[#This Row],[Objetivo div2]]+Tabla2[[#This Row],[Div.]]</f>
        <v>32.700000000000003</v>
      </c>
      <c r="AE142" s="289">
        <f ca="1">IF(Z142="-",+AC142/Y142-1,AC142/D142-1)</f>
        <v>0.56759348034515833</v>
      </c>
      <c r="AF142" s="76">
        <v>27.27</v>
      </c>
      <c r="AG142" s="253">
        <f ca="1">IF(Z142="-",+AF142/D142-1,AF142/D142-1)</f>
        <v>0.30728667305848512</v>
      </c>
      <c r="AH142" s="76">
        <v>20.7</v>
      </c>
      <c r="AI142" s="147">
        <f ca="1">IF(Z142="-",AH142/Y142-1,+AH142/D142-1)</f>
        <v>-7.6701821668264669E-3</v>
      </c>
      <c r="AJ142" s="121">
        <f ca="1">IF(Z142="-","-",+(D142/Z142)-1)</f>
        <v>-0.18515625000000002</v>
      </c>
      <c r="AK142" s="120">
        <f ca="1">IF(AA142="-","-",+(D142/AA142)-1)</f>
        <v>-0.18515625000000002</v>
      </c>
      <c r="AM142" s="49" t="str">
        <f>IF(AL142=0,"-",+AL142/Z142-1)</f>
        <v>-</v>
      </c>
      <c r="AN142" s="28">
        <f ca="1">+D142/Y142-1</f>
        <v>-0.18515625000000002</v>
      </c>
      <c r="AO142" s="75"/>
      <c r="AP142" s="193">
        <f ca="1">VLOOKUP(Tabla2[[#This Row],[TCKR]],'2026'!$D$5:$AH$257,26,FALSE)</f>
        <v>-1780.3059367186788</v>
      </c>
      <c r="AR142" s="4"/>
      <c r="AU142" s="28"/>
    </row>
    <row r="143" spans="1:47" ht="16" customHeight="1" x14ac:dyDescent="0.2">
      <c r="A143" s="306" t="e" vm="21">
        <v>#VALUE!</v>
      </c>
      <c r="B143" s="75" t="str" cm="1">
        <f t="array" aca="1" ref="B143" ca="1">_FV(A143,"Ticker symbol",TRUE)</f>
        <v>ARIS</v>
      </c>
      <c r="C143" s="217" cm="1">
        <f t="array" aca="1" ref="C143" ca="1">_FV(A143,"Change (%)",TRUE)</f>
        <v>-6.5990000000000007E-3</v>
      </c>
      <c r="D143" s="144" cm="1">
        <f t="array" aca="1" ref="D143" ca="1">_FV(A143,"Price")</f>
        <v>3.9140000000000001</v>
      </c>
      <c r="E143" s="307">
        <f ca="1">AE143</f>
        <v>0.57128257537046512</v>
      </c>
      <c r="F143" s="321">
        <f ca="1">+Tabla2[[#This Row],[Rentab. Parcial]]</f>
        <v>-0.12143658810325475</v>
      </c>
      <c r="G143" s="321">
        <f ca="1">+Tabla2[[#This Row],[Rentab. Parcial2]]</f>
        <v>-0.12143658810325475</v>
      </c>
      <c r="H143" s="253">
        <f ca="1">+Tabla2[[#This Row],[Difer. Investing]]</f>
        <v>0.47930505876341334</v>
      </c>
      <c r="I143" s="79">
        <f>+Tabla2[[#This Row],[Objetivo div2]]</f>
        <v>6.15</v>
      </c>
      <c r="J143" s="75" cm="1">
        <f t="array" aca="1" ref="J143" ca="1">_FV(A143,"High")</f>
        <v>4.07</v>
      </c>
      <c r="K143" s="75" cm="1">
        <f t="array" aca="1" ref="K143" ca="1">_FV(A143,"Low")</f>
        <v>3.8980000000000001</v>
      </c>
      <c r="L143" s="75" cm="1">
        <f t="array" aca="1" ref="L143" ca="1">_FV(Tabla2[[#This Row],[valor]],"52 week high",TRUE)</f>
        <v>5.72</v>
      </c>
      <c r="M143" s="75">
        <f ca="1">+L143*0.9</f>
        <v>5.1479999999999997</v>
      </c>
      <c r="N143" s="75">
        <f ca="1">+L143*0.95</f>
        <v>5.4339999999999993</v>
      </c>
      <c r="O143" s="75" cm="1">
        <f t="array" aca="1" ref="O143" ca="1">_FV(A143,"52 week low",TRUE)</f>
        <v>3.45</v>
      </c>
      <c r="P143" s="220">
        <f ca="1">+TODAY()-Tabla2[[#This Row],[F. compra]]</f>
        <v>132</v>
      </c>
      <c r="Q143" s="220">
        <f ca="1">GESTEP(D143,M143)</f>
        <v>0</v>
      </c>
      <c r="R143" s="220">
        <f ca="1">GESTEP(D143,N143)</f>
        <v>0</v>
      </c>
      <c r="S143" s="75" t="s">
        <v>75</v>
      </c>
      <c r="T143" s="110" t="s">
        <v>78</v>
      </c>
      <c r="U143" s="110" t="s">
        <v>26</v>
      </c>
      <c r="V143" s="16">
        <v>45999</v>
      </c>
      <c r="W143" s="16">
        <v>46008</v>
      </c>
      <c r="X143" s="80" t="s">
        <v>301</v>
      </c>
      <c r="Y143" s="79">
        <v>4.5220000000000002</v>
      </c>
      <c r="Z143" s="79">
        <v>4.4550000000000001</v>
      </c>
      <c r="AA143" s="79">
        <v>4.4550000000000001</v>
      </c>
      <c r="AB143" s="79"/>
      <c r="AC143" s="79">
        <v>6.15</v>
      </c>
      <c r="AD143" s="79">
        <f>+Tabla2[[#This Row],[Objetivo div2]]+Tabla2[[#This Row],[Div.]]</f>
        <v>6.15</v>
      </c>
      <c r="AE143" s="307">
        <f ca="1">IF(Z143="-",+AC143/Y143-1,AC143/D143-1)</f>
        <v>0.57128257537046512</v>
      </c>
      <c r="AF143" s="76">
        <v>5.79</v>
      </c>
      <c r="AG143" s="253">
        <f ca="1">IF(Z143="-",+AF143/D143-1,AF143/D143-1)</f>
        <v>0.47930505876341334</v>
      </c>
      <c r="AH143" s="76">
        <v>3.8180000000000001</v>
      </c>
      <c r="AI143" s="147">
        <f ca="1">IF(Z143="-",AH143/Y143-1,+AH143/D143-1)</f>
        <v>-2.452733776188043E-2</v>
      </c>
      <c r="AJ143" s="121">
        <f ca="1">IF(Z143="-","-",+(D143/Z143)-1)</f>
        <v>-0.12143658810325475</v>
      </c>
      <c r="AK143" s="120">
        <f ca="1">IF(AA143="-","-",+(D143/AA143)-1)</f>
        <v>-0.12143658810325475</v>
      </c>
      <c r="AM143" s="49" t="str">
        <f>IF(AL143=0,"-",+AL143/Z143-1)</f>
        <v>-</v>
      </c>
      <c r="AN143" s="28">
        <f ca="1">+D143/Y143-1</f>
        <v>-0.13445378151260501</v>
      </c>
      <c r="AO143" s="75">
        <f ca="1">VLOOKUP(Tabla2[[#This Row],[TCKR]],'2026'!$D$5:$AH$257,8,FALSE)</f>
        <v>2693</v>
      </c>
      <c r="AP143" s="193">
        <f ca="1">VLOOKUP(Tabla2[[#This Row],[TCKR]],'2026'!$D$5:$AH$257,26,FALSE)</f>
        <v>-1174.9176858513224</v>
      </c>
      <c r="AQ143" s="5" cm="1">
        <f t="array" aca="1" ref="AQ143" ca="1">_FV(Tabla2[[#This Row],[valor]],"P/E",TRUE)</f>
        <v>10.9536</v>
      </c>
      <c r="AR143" s="4"/>
      <c r="AT143" s="193">
        <f ca="1">+Tabla2[[#This Row],[Titulos2]]*Tabla2[[#This Row],[Neto]]</f>
        <v>0</v>
      </c>
      <c r="AU143" s="28">
        <f>+Tabla2[[#This Row],[Neto]]/Tabla2[[#This Row],[Precio compra2]]</f>
        <v>0</v>
      </c>
    </row>
    <row r="144" spans="1:47" ht="16" customHeight="1" x14ac:dyDescent="0.2">
      <c r="A144" s="324" t="e" vm="189">
        <v>#VALUE!</v>
      </c>
      <c r="B144" s="75" t="str" cm="1">
        <f t="array" aca="1" ref="B144" ca="1">_FV(A144,"Ticker symbol",TRUE)</f>
        <v>VOYG</v>
      </c>
      <c r="C144" s="217" cm="1">
        <f t="array" aca="1" ref="C144" ca="1">_FV(A144,"Change (%)",TRUE)</f>
        <v>-5.1254999999999995E-2</v>
      </c>
      <c r="D144" s="144" cm="1">
        <f t="array" aca="1" ref="D144" ca="1">_FV(A144,"Price")</f>
        <v>27.21</v>
      </c>
      <c r="E144" s="307">
        <f ca="1">AE144</f>
        <v>0.57625872840867332</v>
      </c>
      <c r="F144" s="321">
        <f ca="1">+Tabla2[[#This Row],[Rentab. Parcial]]</f>
        <v>-0.1726968683490423</v>
      </c>
      <c r="G144" s="321">
        <f ca="1">+Tabla2[[#This Row],[Rentab. Parcial2]]</f>
        <v>-0.1726968683490423</v>
      </c>
      <c r="H144" s="253">
        <f ca="1">+Tabla2[[#This Row],[Difer. Investing]]</f>
        <v>0.54355016538037471</v>
      </c>
      <c r="I144" s="79">
        <f>+Tabla2[[#This Row],[Objetivo div2]]</f>
        <v>42.89</v>
      </c>
      <c r="J144" s="75" cm="1">
        <f t="array" aca="1" ref="J144" ca="1">_FV(A144,"High")</f>
        <v>28.55</v>
      </c>
      <c r="K144" s="75" cm="1">
        <f t="array" aca="1" ref="K144" ca="1">_FV(A144,"Low")</f>
        <v>26.86</v>
      </c>
      <c r="L144" s="75" cm="1">
        <f t="array" aca="1" ref="L144" ca="1">_FV(Tabla2[[#This Row],[valor]],"52 week high",TRUE)</f>
        <v>73.95</v>
      </c>
      <c r="M144" s="75">
        <f ca="1">+L144*0.9</f>
        <v>66.555000000000007</v>
      </c>
      <c r="N144" s="75">
        <f ca="1">+L144*0.95</f>
        <v>70.252499999999998</v>
      </c>
      <c r="O144" s="75" cm="1">
        <f t="array" aca="1" ref="O144" ca="1">_FV(A144,"52 week low",TRUE)</f>
        <v>17.41</v>
      </c>
      <c r="P144" s="220">
        <f ca="1">+TODAY()-Tabla2[[#This Row],[F. compra]]</f>
        <v>217</v>
      </c>
      <c r="Q144" s="220">
        <f ca="1">GESTEP(D144,M144)</f>
        <v>0</v>
      </c>
      <c r="R144" s="220">
        <f ca="1">GESTEP(D144,N144)</f>
        <v>0</v>
      </c>
      <c r="S144" s="75" t="s">
        <v>182</v>
      </c>
      <c r="T144" s="110" t="s">
        <v>78</v>
      </c>
      <c r="U144" s="110" t="s">
        <v>88</v>
      </c>
      <c r="V144" s="16">
        <v>45923</v>
      </c>
      <c r="W144" s="16">
        <v>45923</v>
      </c>
      <c r="X144" s="80"/>
      <c r="Y144" s="79">
        <v>33.01</v>
      </c>
      <c r="Z144" s="79">
        <v>32.89</v>
      </c>
      <c r="AA144" s="79">
        <v>32.89</v>
      </c>
      <c r="AB144" s="79"/>
      <c r="AC144" s="79">
        <v>42.89</v>
      </c>
      <c r="AD144" s="82">
        <f>+Tabla2[[#This Row],[Objetivo div2]]+Tabla2[[#This Row],[Div.]]</f>
        <v>42.89</v>
      </c>
      <c r="AE144" s="307">
        <f ca="1">IF(Z144="-",+AC144/Y144-1,AC144/D144-1)</f>
        <v>0.57625872840867332</v>
      </c>
      <c r="AF144" s="76">
        <v>42</v>
      </c>
      <c r="AG144" s="253">
        <f ca="1">IF(Z144="-",+AF144/D144-1,AF144/D144-1)</f>
        <v>0.54355016538037471</v>
      </c>
      <c r="AH144" s="76">
        <v>27.98</v>
      </c>
      <c r="AI144" s="147">
        <f ca="1">IF(Z144="-",AH144/Y144-1,+AH144/D144-1)</f>
        <v>2.829841969864022E-2</v>
      </c>
      <c r="AJ144" s="121">
        <f ca="1">IF(Z144="-","-",+(D144/Z144)-1)</f>
        <v>-0.1726968683490423</v>
      </c>
      <c r="AK144" s="120">
        <f ca="1">IF(AA144="-","-",+(D144/AA144)-1)</f>
        <v>-0.1726968683490423</v>
      </c>
      <c r="AM144" s="49" t="str">
        <f>IF(AL144=0,"-",+AL144/Z144-1)</f>
        <v>-</v>
      </c>
      <c r="AN144" s="28">
        <f ca="1">+D144/Y144-1</f>
        <v>-0.17570433202059976</v>
      </c>
      <c r="AO144" s="75">
        <f ca="1">VLOOKUP(Tabla2[[#This Row],[TCKR]],'2026'!$D$5:$AH$257,8,FALSE)</f>
        <v>100</v>
      </c>
      <c r="AP144" s="193">
        <f ca="1">VLOOKUP(Tabla2[[#This Row],[TCKR]],'2026'!$D$5:$AH$257,26,FALSE)</f>
        <v>-369.63160897352202</v>
      </c>
      <c r="AQ144" s="5" cm="1">
        <f t="array" aca="1" ref="AQ144" ca="1">_FV(Tabla2[[#This Row],[valor]],"P/E",TRUE)</f>
        <v>0</v>
      </c>
      <c r="AR144" s="4"/>
      <c r="AT144" s="193">
        <f ca="1">+Tabla2[[#This Row],[Titulos2]]*Tabla2[[#This Row],[Neto]]</f>
        <v>0</v>
      </c>
      <c r="AU144" s="28">
        <f>+Tabla2[[#This Row],[Neto]]/Tabla2[[#This Row],[Precio compra2]]</f>
        <v>0</v>
      </c>
    </row>
    <row r="145" spans="1:47" ht="16" customHeight="1" x14ac:dyDescent="0.2">
      <c r="A145" s="323" t="e" vm="101">
        <v>#VALUE!</v>
      </c>
      <c r="B145" s="75" t="str" cm="1">
        <f t="array" aca="1" ref="B145" ca="1">_FV(A145,"Ticker symbol",TRUE)</f>
        <v>KVUE</v>
      </c>
      <c r="C145" s="217" cm="1">
        <f t="array" aca="1" ref="C145" ca="1">_FV(A145,"Change (%)",TRUE)</f>
        <v>2.287E-3</v>
      </c>
      <c r="D145" s="144" cm="1">
        <f t="array" aca="1" ref="D145" ca="1">_FV(A145,"Price")</f>
        <v>17.53</v>
      </c>
      <c r="E145" s="159">
        <f ca="1">AE145</f>
        <v>0.56645750142612639</v>
      </c>
      <c r="F145" s="321">
        <f ca="1">+Tabla2[[#This Row],[Rentab. Parcial]]</f>
        <v>-0.17115839243498809</v>
      </c>
      <c r="G145" s="321">
        <f ca="1">+Tabla2[[#This Row],[Rentab. Parcial2]]</f>
        <v>-0.1846511627906976</v>
      </c>
      <c r="H145" s="253">
        <f ca="1">+Tabla2[[#This Row],[Difer. Investing]]</f>
        <v>0.38448374215630343</v>
      </c>
      <c r="I145" s="79">
        <f>+Tabla2[[#This Row],[Objetivo div2]]</f>
        <v>27.459999999999997</v>
      </c>
      <c r="J145" s="75" cm="1">
        <f t="array" aca="1" ref="J145" ca="1">_FV(A145,"High")</f>
        <v>17.66</v>
      </c>
      <c r="K145" s="75" cm="1">
        <f t="array" aca="1" ref="K145" ca="1">_FV(A145,"Low")</f>
        <v>17.395</v>
      </c>
      <c r="L145" s="75" cm="1">
        <f t="array" aca="1" ref="L145" ca="1">_FV(Tabla2[[#This Row],[valor]],"52 week high",TRUE)</f>
        <v>25.17</v>
      </c>
      <c r="M145" s="75">
        <f ca="1">+Tabla2[[#This Row],[52 high]]*0.9</f>
        <v>22.653000000000002</v>
      </c>
      <c r="N145" s="75">
        <f ca="1">+Tabla2[[#This Row],[52 high]]*0.95</f>
        <v>23.9115</v>
      </c>
      <c r="O145" s="75" cm="1">
        <f t="array" aca="1" ref="O145" ca="1">_FV(Tabla2[[#This Row],[valor]],"52 week low",TRUE)</f>
        <v>14.02</v>
      </c>
      <c r="P145" s="220">
        <f ca="1">+TODAY()-Tabla2[[#This Row],[F. compra]]</f>
        <v>616</v>
      </c>
      <c r="Q145" s="220">
        <f ca="1">GESTEP(Tabla2[[#This Row],[price]],Tabla2[[#This Row],[HIGH 10%]])</f>
        <v>0</v>
      </c>
      <c r="R145" s="220">
        <f ca="1">GESTEP(Tabla2[[#This Row],[price]],Tabla2[[#This Row],[HIGH 5%]])</f>
        <v>0</v>
      </c>
      <c r="S145" s="75" t="s">
        <v>76</v>
      </c>
      <c r="T145" s="110" t="s">
        <v>78</v>
      </c>
      <c r="U145" s="110" t="s">
        <v>88</v>
      </c>
      <c r="V145" s="16">
        <v>45523</v>
      </c>
      <c r="W145" s="16">
        <v>45524</v>
      </c>
      <c r="X145" s="80" t="s">
        <v>11</v>
      </c>
      <c r="Y145" s="79">
        <v>21.73</v>
      </c>
      <c r="Z145" s="79">
        <f>21.5-Tabla2[[#This Row],[Div.]]</f>
        <v>21.15</v>
      </c>
      <c r="AA145" s="79">
        <f>+Tabla2[[#This Row],[Precio compra]]+Tabla2[[#This Row],[Div.]]</f>
        <v>21.5</v>
      </c>
      <c r="AB145" s="96">
        <v>0.35</v>
      </c>
      <c r="AC145" s="79">
        <f>27.81-Tabla2[[#This Row],[Div.]]</f>
        <v>27.459999999999997</v>
      </c>
      <c r="AD145" s="79">
        <f>+Tabla2[[#This Row],[Objetivo div2]]+Tabla2[[#This Row],[Div.]]</f>
        <v>27.81</v>
      </c>
      <c r="AE145" s="159">
        <f ca="1">IF(Z145="-",+AC145/Y145-1,AC145/D145-1)</f>
        <v>0.56645750142612639</v>
      </c>
      <c r="AF145" s="81">
        <v>24.27</v>
      </c>
      <c r="AG145" s="253">
        <f ca="1">IF(Z145="-",+AF145/D145-1,AF145/D145-1)</f>
        <v>0.38448374215630343</v>
      </c>
      <c r="AH145" s="81">
        <f>18.69-Tabla2[[#This Row],[Div.]]</f>
        <v>18.34</v>
      </c>
      <c r="AI145" s="147">
        <f ca="1">IF(Z145="-",AH145/Y145-1,+AH145/D145-1)</f>
        <v>4.6206503137478538E-2</v>
      </c>
      <c r="AJ145" s="121">
        <f ca="1">IF(Z145="-","-",+(D145/Z145)-1)</f>
        <v>-0.17115839243498809</v>
      </c>
      <c r="AK145" s="120">
        <f ca="1">IF(AA145="-","-",+(D145/AA145)-1)</f>
        <v>-0.1846511627906976</v>
      </c>
      <c r="AM145" s="49" t="str">
        <f>IF(AL145=0,"-",+AL145/Z145-1)</f>
        <v>-</v>
      </c>
      <c r="AN145" s="28">
        <f ca="1">+D145/Y145-1</f>
        <v>-0.19328117809479983</v>
      </c>
      <c r="AO145" s="75">
        <f ca="1">VLOOKUP(Tabla2[[#This Row],[TCKR]],'2026'!$D$5:$AH$257,8,FALSE)</f>
        <v>300</v>
      </c>
      <c r="AP145" s="193">
        <f ca="1">VLOOKUP(Tabla2[[#This Row],[TCKR]],'2026'!$D$5:$AH$257,26,FALSE)</f>
        <v>-1067.3041759526297</v>
      </c>
      <c r="AQ145" s="5" cm="1">
        <f t="array" aca="1" ref="AQ145" ca="1">_FV(Tabla2[[#This Row],[valor]],"P/E",TRUE)</f>
        <v>22.948</v>
      </c>
      <c r="AR145" s="4"/>
      <c r="AT145" s="193">
        <f ca="1">+Tabla2[[#This Row],[Titulos2]]*Tabla2[[#This Row],[Neto]]</f>
        <v>0</v>
      </c>
      <c r="AU145" s="28">
        <f>+Tabla2[[#This Row],[Neto]]/Tabla2[[#This Row],[Precio compra2]]</f>
        <v>0</v>
      </c>
    </row>
    <row r="146" spans="1:47" ht="16" customHeight="1" x14ac:dyDescent="0.2">
      <c r="A146" s="355" t="e" vm="53">
        <v>#VALUE!</v>
      </c>
      <c r="B146" s="75" t="str" cm="1">
        <f t="array" aca="1" ref="B146" ca="1">_FV(A146,"Ticker symbol",TRUE)</f>
        <v>CRBP</v>
      </c>
      <c r="C146" s="217" cm="1">
        <f t="array" aca="1" ref="C146" ca="1">_FV(A146,"Change (%)",TRUE)</f>
        <v>1.9880000000000002E-3</v>
      </c>
      <c r="D146" s="144" cm="1">
        <f t="array" aca="1" ref="D146" ca="1">_FV(A146,"Price")</f>
        <v>10.08</v>
      </c>
      <c r="E146" s="356">
        <f>AE146</f>
        <v>0.58110465116279064</v>
      </c>
      <c r="F146" s="321">
        <f ca="1">+Tabla2[[#This Row],[Rentab. Parcial]]</f>
        <v>-2.3255813953488413E-2</v>
      </c>
      <c r="G146" s="321">
        <f ca="1">+Tabla2[[#This Row],[Rentab. Parcial2]]</f>
        <v>-2.3255813953488413E-2</v>
      </c>
      <c r="H146" s="253">
        <f ca="1">+Tabla2[[#This Row],[Difer. Investing]]</f>
        <v>3.1884920634920633</v>
      </c>
      <c r="I146" s="79">
        <v>264.48</v>
      </c>
      <c r="J146" s="75" cm="1">
        <f t="array" aca="1" ref="J146" ca="1">_FV(A146,"High")</f>
        <v>10.79</v>
      </c>
      <c r="K146" s="75" cm="1">
        <f t="array" aca="1" ref="K146" ca="1">_FV(A146,"Low")</f>
        <v>9.92</v>
      </c>
      <c r="L146" s="75" cm="1">
        <f t="array" aca="1" ref="L146" ca="1">_FV(A146,"52 week high",TRUE)</f>
        <v>20.56</v>
      </c>
      <c r="M146" s="75">
        <f ca="1">+L146*0.9</f>
        <v>18.503999999999998</v>
      </c>
      <c r="N146" s="75">
        <f ca="1">+L146*0.95</f>
        <v>19.531999999999996</v>
      </c>
      <c r="O146" s="75" cm="1">
        <f t="array" aca="1" ref="O146" ca="1">_FV(A146,"52 week low",TRUE)</f>
        <v>6.1</v>
      </c>
      <c r="P146" s="220">
        <f ca="1">+TODAY()-Tabla2[[#This Row],[F. compra]]</f>
        <v>22</v>
      </c>
      <c r="Q146" s="220">
        <f ca="1">GESTEP(D146,M146)</f>
        <v>0</v>
      </c>
      <c r="R146" s="220">
        <f ca="1">GESTEP(D146,N146)</f>
        <v>0</v>
      </c>
      <c r="S146" s="75" t="s">
        <v>75</v>
      </c>
      <c r="T146" s="110" t="s">
        <v>78</v>
      </c>
      <c r="U146" s="110" t="s">
        <v>199</v>
      </c>
      <c r="V146" s="16">
        <v>46118</v>
      </c>
      <c r="W146" s="16">
        <v>46118</v>
      </c>
      <c r="X146" s="80" t="s">
        <v>424</v>
      </c>
      <c r="Y146" s="79">
        <v>10.53</v>
      </c>
      <c r="Z146" s="79">
        <v>10.32</v>
      </c>
      <c r="AA146" s="79">
        <v>10.32</v>
      </c>
      <c r="AB146" s="79"/>
      <c r="AC146" s="79">
        <v>16.317</v>
      </c>
      <c r="AD146" s="79">
        <f>+Tabla2[[#This Row],[Objetivo div2]]+Tabla2[[#This Row],[Div.]]</f>
        <v>16.317</v>
      </c>
      <c r="AE146" s="356">
        <f>IF(Z146="",+AC146/Y146-1,AC146/Z146-1)</f>
        <v>0.58110465116279064</v>
      </c>
      <c r="AF146" s="76">
        <v>42.22</v>
      </c>
      <c r="AG146" s="253">
        <f ca="1">IF(Z146="-",+AF146/D146-1,AF146/D146-1)</f>
        <v>3.1884920634920633</v>
      </c>
      <c r="AH146" s="76">
        <v>8.48</v>
      </c>
      <c r="AI146" s="147">
        <f ca="1">IF(Z146="-",AH146/Y146-1,+AH146/D146-1)</f>
        <v>-0.15873015873015872</v>
      </c>
      <c r="AJ146" s="121">
        <f ca="1">IF(Z146="-","-",+(D146/Z146)-1)</f>
        <v>-2.3255813953488413E-2</v>
      </c>
      <c r="AK146" s="120">
        <f ca="1">IF(AA146="-","-",+(D146/AA146)-1)</f>
        <v>-2.3255813953488413E-2</v>
      </c>
      <c r="AM146" s="49" t="str">
        <f>IF(AL146=0,"-",+AL146/Z146-1)</f>
        <v>-</v>
      </c>
      <c r="AN146" s="28">
        <f ca="1">+D146/Y146-1</f>
        <v>-4.2735042735042694E-2</v>
      </c>
      <c r="AO146" s="75"/>
      <c r="AP146" s="193"/>
      <c r="AR146" s="4"/>
      <c r="AU146" s="28"/>
    </row>
    <row r="147" spans="1:47" ht="16" customHeight="1" x14ac:dyDescent="0.2">
      <c r="A147" s="323" t="e" vm="77">
        <v>#VALUE!</v>
      </c>
      <c r="B147" s="75" t="str" cm="1">
        <f t="array" aca="1" ref="B147" ca="1">_FV(A147,"Ticker symbol",TRUE)</f>
        <v>GEHC</v>
      </c>
      <c r="C147" s="217" cm="1">
        <f t="array" aca="1" ref="C147" ca="1">_FV(A147,"Change (%)",TRUE)</f>
        <v>2.3972000000000004E-2</v>
      </c>
      <c r="D147" s="144" cm="1">
        <f t="array" aca="1" ref="D147" ca="1">_FV(A147,"Price")</f>
        <v>70.48</v>
      </c>
      <c r="E147" s="159">
        <f ca="1">AE147</f>
        <v>0.58984888533204094</v>
      </c>
      <c r="F147" s="321">
        <f ca="1">+Tabla2[[#This Row],[Rentab. Parcial]]</f>
        <v>-0.20543433704684688</v>
      </c>
      <c r="G147" s="321">
        <f ca="1">+Tabla2[[#This Row],[Rentab. Parcial2]]</f>
        <v>-0.20755565549808852</v>
      </c>
      <c r="H147" s="253">
        <f ca="1">+Tabla2[[#This Row],[Difer. Investing]]</f>
        <v>0.75273197273272174</v>
      </c>
      <c r="I147" s="79">
        <f ca="1">+Tabla2[[#This Row],[Objetivo div2]]</f>
        <v>112.05254943820225</v>
      </c>
      <c r="J147" s="75" cm="1">
        <f t="array" aca="1" ref="J147" ca="1">_FV(A147,"High")</f>
        <v>70.819999999999993</v>
      </c>
      <c r="K147" s="75" cm="1">
        <f t="array" aca="1" ref="K147" ca="1">_FV(A147,"Low")</f>
        <v>69</v>
      </c>
      <c r="L147" s="75" cm="1">
        <f t="array" aca="1" ref="L147" ca="1">_FV(Tabla2[[#This Row],[valor]],"52 week high",TRUE)</f>
        <v>89.77</v>
      </c>
      <c r="M147" s="75">
        <f ca="1">+Tabla2[[#This Row],[52 high]]*0.9</f>
        <v>80.792999999999992</v>
      </c>
      <c r="N147" s="75">
        <f ca="1">+Tabla2[[#This Row],[52 high]]*0.95</f>
        <v>85.281499999999994</v>
      </c>
      <c r="O147" s="75" cm="1">
        <f t="array" aca="1" ref="O147" ca="1">_FV(Tabla2[[#This Row],[valor]],"52 week low",TRUE)</f>
        <v>66.95</v>
      </c>
      <c r="P147" s="220">
        <f ca="1">+TODAY()-Tabla2[[#This Row],[F. compra]]</f>
        <v>792</v>
      </c>
      <c r="Q147" s="220">
        <f ca="1">GESTEP(Tabla2[[#This Row],[price]],Tabla2[[#This Row],[HIGH 10%]])</f>
        <v>0</v>
      </c>
      <c r="R147" s="220">
        <f ca="1">GESTEP(Tabla2[[#This Row],[price]],Tabla2[[#This Row],[HIGH 5%]])</f>
        <v>0</v>
      </c>
      <c r="S147" s="75" t="s">
        <v>75</v>
      </c>
      <c r="T147" s="110" t="s">
        <v>78</v>
      </c>
      <c r="U147" s="110" t="s">
        <v>26</v>
      </c>
      <c r="V147" s="16">
        <v>45348</v>
      </c>
      <c r="W147" s="16">
        <v>45348</v>
      </c>
      <c r="X147" s="80"/>
      <c r="Y147" s="79">
        <v>89.36</v>
      </c>
      <c r="Z147" s="79">
        <f ca="1">88.94-AB147</f>
        <v>88.70254943820224</v>
      </c>
      <c r="AA147" s="79">
        <f ca="1">+Tabla2[[#This Row],[Precio compra]]+Tabla2[[#This Row],[Div.]]</f>
        <v>88.94</v>
      </c>
      <c r="AB147" s="96">
        <f ca="1">0.2079+'dividendos 26'!E29</f>
        <v>0.23745056179775281</v>
      </c>
      <c r="AC147" s="79">
        <f ca="1">112.29-AB147</f>
        <v>112.05254943820225</v>
      </c>
      <c r="AD147" s="79">
        <f ca="1">+Tabla2[[#This Row],[Objetivo div2]]+Tabla2[[#This Row],[Div.]]</f>
        <v>112.29</v>
      </c>
      <c r="AE147" s="159">
        <f ca="1">IF(Z147="-",+AC147/Y147-1,AC147/D147-1)</f>
        <v>0.58984888533204094</v>
      </c>
      <c r="AF147" s="81">
        <f ca="1">123.77-AB147</f>
        <v>123.53254943820224</v>
      </c>
      <c r="AG147" s="253">
        <f ca="1">IF(Z147="-",+AF147/D147-1,AF147/D147-1)</f>
        <v>0.75273197273272174</v>
      </c>
      <c r="AH147" s="81">
        <f ca="1">77.89-AB147</f>
        <v>77.652549438202243</v>
      </c>
      <c r="AI147" s="147">
        <f ca="1">IF(Z147="-",AH147/Y147-1,+AH147/D147-1)</f>
        <v>0.1017671600198955</v>
      </c>
      <c r="AJ147" s="121">
        <f ca="1">IF(Z147="-","-",+(D147/Z147)-1)</f>
        <v>-0.20543433704684688</v>
      </c>
      <c r="AK147" s="120">
        <f ca="1">IF(AA147="-","-",+(D147/AA147)-1)</f>
        <v>-0.20755565549808852</v>
      </c>
      <c r="AM147" s="49" t="str">
        <f>IF(AL147=0,"-",+AL147/Z147-1)</f>
        <v>-</v>
      </c>
      <c r="AN147" s="28">
        <f ca="1">+D147/Y147-1</f>
        <v>-0.21128021486123538</v>
      </c>
      <c r="AO147" s="75">
        <f ca="1">VLOOKUP(Tabla2[[#This Row],[TCKR]],'2026'!$D$5:$AH$257,8,FALSE)</f>
        <v>89</v>
      </c>
      <c r="AP147" s="193">
        <f ca="1">VLOOKUP(Tabla2[[#This Row],[TCKR]],'2026'!$D$5:$AH$257,26,FALSE)</f>
        <v>-1575.1499533478457</v>
      </c>
      <c r="AQ147" s="5" cm="1">
        <f t="array" aca="1" ref="AQ147" ca="1">_FV(Tabla2[[#This Row],[valor]],"P/E",TRUE)</f>
        <v>15.483599999999999</v>
      </c>
      <c r="AR147" s="4"/>
      <c r="AT147" s="193">
        <f ca="1">+Tabla2[[#This Row],[Titulos2]]*Tabla2[[#This Row],[Neto]]</f>
        <v>0</v>
      </c>
      <c r="AU147" s="28">
        <f ca="1">+Tabla2[[#This Row],[Neto]]/Tabla2[[#This Row],[Precio compra2]]</f>
        <v>0</v>
      </c>
    </row>
    <row r="148" spans="1:47" ht="16" customHeight="1" x14ac:dyDescent="0.2">
      <c r="A148" s="75" t="e" vm="14">
        <v>#VALUE!</v>
      </c>
      <c r="B148" s="75" t="str" cm="1">
        <f t="array" aca="1" ref="B148" ca="1">_FV(A148,"Ticker symbol",TRUE)</f>
        <v>ALO</v>
      </c>
      <c r="C148" s="217" cm="1">
        <f t="array" aca="1" ref="C148" ca="1">_FV(A148,"Change (%)",TRUE)</f>
        <v>-1.2107000000000001E-2</v>
      </c>
      <c r="D148" s="144" cm="1">
        <f t="array" aca="1" ref="D148" ca="1">_FV(A148,"Price")</f>
        <v>16.32</v>
      </c>
      <c r="E148" s="159">
        <f ca="1">AE148</f>
        <v>0.60968137254901955</v>
      </c>
      <c r="F148" s="321">
        <f ca="1">+Tabla2[[#This Row],[Rentab. Parcial]]</f>
        <v>-0.36915345960572088</v>
      </c>
      <c r="G148" s="321">
        <f ca="1">+Tabla2[[#This Row],[Rentab. Parcial2]]</f>
        <v>-0.39555555555555555</v>
      </c>
      <c r="H148" s="253">
        <f ca="1">+Tabla2[[#This Row],[Difer. Investing]]</f>
        <v>1.0539215686274512</v>
      </c>
      <c r="I148" s="79">
        <f>+Tabla2[[#This Row],[Objetivo div2]]</f>
        <v>26.27</v>
      </c>
      <c r="J148" s="75" cm="1">
        <f t="array" aca="1" ref="J148" ca="1">_FV(A148,"High")</f>
        <v>16.93</v>
      </c>
      <c r="K148" s="75" cm="1">
        <f t="array" aca="1" ref="K148" ca="1">_FV(A148,"Low")</f>
        <v>16.22</v>
      </c>
      <c r="L148" s="75" cm="1">
        <f t="array" aca="1" ref="L148" ca="1">_FV(Tabla2[[#This Row],[valor]],"52 week high",TRUE)</f>
        <v>30.23</v>
      </c>
      <c r="M148" s="75">
        <f ca="1">+Tabla2[[#This Row],[52 high]]*0.9</f>
        <v>27.207000000000001</v>
      </c>
      <c r="N148" s="75">
        <f ca="1">+Tabla2[[#This Row],[52 high]]*0.95</f>
        <v>28.718499999999999</v>
      </c>
      <c r="O148" s="75" cm="1">
        <f t="array" aca="1" ref="O148" ca="1">_FV(Tabla2[[#This Row],[valor]],"52 week low",TRUE)</f>
        <v>14.72</v>
      </c>
      <c r="P148" s="220">
        <f ca="1">+TODAY()-Tabla2[[#This Row],[F. compra]]</f>
        <v>480</v>
      </c>
      <c r="Q148" s="220">
        <f ca="1">GESTEP(Tabla2[[#This Row],[price]],Tabla2[[#This Row],[HIGH 10%]])</f>
        <v>0</v>
      </c>
      <c r="R148" s="220">
        <f ca="1">GESTEP(Tabla2[[#This Row],[price]],Tabla2[[#This Row],[HIGH 5%]])</f>
        <v>0</v>
      </c>
      <c r="S148" s="75" t="s">
        <v>75</v>
      </c>
      <c r="T148" s="110" t="s">
        <v>78</v>
      </c>
      <c r="U148" s="110" t="s">
        <v>26</v>
      </c>
      <c r="V148" s="16">
        <v>45660</v>
      </c>
      <c r="W148" s="16">
        <v>45660</v>
      </c>
      <c r="X148" s="80"/>
      <c r="Y148" s="79" t="s">
        <v>11</v>
      </c>
      <c r="Z148" s="79">
        <f>27-Tabla2[[#This Row],[Div.]]</f>
        <v>25.87</v>
      </c>
      <c r="AA148" s="79">
        <f>+Tabla2[[#This Row],[Precio compra]]+Tabla2[[#This Row],[Div.]]</f>
        <v>27</v>
      </c>
      <c r="AB148" s="96">
        <v>1.1299999999999999</v>
      </c>
      <c r="AC148" s="79">
        <f>27.4-Tabla2[[#This Row],[Div.]]</f>
        <v>26.27</v>
      </c>
      <c r="AD148" s="79">
        <f>+Tabla2[[#This Row],[Objetivo div2]]+Tabla2[[#This Row],[Div.]]</f>
        <v>27.4</v>
      </c>
      <c r="AE148" s="159">
        <f ca="1">IF(Z148="-",+AC148/Y148-1,AC148/D148-1)</f>
        <v>0.60968137254901955</v>
      </c>
      <c r="AF148" s="81">
        <v>33.520000000000003</v>
      </c>
      <c r="AG148" s="253">
        <f ca="1">IF(Z148="-",+AF148/D148-1,AF148/D148-1)</f>
        <v>1.0539215686274512</v>
      </c>
      <c r="AH148" s="81" t="s">
        <v>11</v>
      </c>
      <c r="AI148" s="147" t="s">
        <v>11</v>
      </c>
      <c r="AJ148" s="121">
        <f ca="1">IF(Z148="-","-",+(D148/Z148)-1)</f>
        <v>-0.36915345960572088</v>
      </c>
      <c r="AK148" s="120">
        <f ca="1">IF(AA148="-","-",+(D148/AA148)-1)</f>
        <v>-0.39555555555555555</v>
      </c>
      <c r="AM148" s="49" t="str">
        <f>IF(AL148=0,"-",+AL148/Z148-1)</f>
        <v>-</v>
      </c>
      <c r="AN148" s="28" t="e">
        <f ca="1">+D148/Y148-1</f>
        <v>#VALUE!</v>
      </c>
      <c r="AO148" s="75">
        <f ca="1">VLOOKUP(Tabla2[[#This Row],[TCKR]],'2026'!$D$5:$AH$257,8,FALSE)</f>
        <v>366</v>
      </c>
      <c r="AP148" s="193">
        <f ca="1">VLOOKUP(Tabla2[[#This Row],[TCKR]],'2026'!$D$5:$AH$257,26,FALSE)</f>
        <v>-3231.9791521244315</v>
      </c>
      <c r="AQ148" s="5" cm="1">
        <f t="array" aca="1" ref="AQ148" ca="1">_FV(Tabla2[[#This Row],[valor]],"P/E",TRUE)</f>
        <v>24.137899999999998</v>
      </c>
      <c r="AR148" s="4"/>
      <c r="AT148" s="193">
        <f ca="1">+Tabla2[[#This Row],[Titulos2]]*Tabla2[[#This Row],[Neto]]</f>
        <v>0</v>
      </c>
      <c r="AU148" s="28">
        <f>+Tabla2[[#This Row],[Neto]]/Tabla2[[#This Row],[Precio compra2]]</f>
        <v>0</v>
      </c>
    </row>
    <row r="149" spans="1:47" ht="16" customHeight="1" x14ac:dyDescent="0.2">
      <c r="A149" s="323" t="e" vm="43">
        <v>#VALUE!</v>
      </c>
      <c r="B149" s="75" t="str" cm="1">
        <f t="array" aca="1" ref="B149" ca="1">_FV(A149,"Ticker symbol",TRUE)</f>
        <v>CRNC</v>
      </c>
      <c r="C149" s="217" cm="1">
        <f t="array" aca="1" ref="C149" ca="1">_FV(A149,"Change (%)",TRUE)</f>
        <v>2.1739000000000001E-2</v>
      </c>
      <c r="D149" s="144" cm="1">
        <f t="array" aca="1" ref="D149" ca="1">_FV(A149,"Price")</f>
        <v>8.93</v>
      </c>
      <c r="E149" s="159">
        <f ca="1">AE149</f>
        <v>0.60582306830907062</v>
      </c>
      <c r="F149" s="321">
        <f ca="1">+Tabla2[[#This Row],[Rentab. Parcial]]</f>
        <v>-0.1700743494423792</v>
      </c>
      <c r="G149" s="321">
        <f ca="1">+Tabla2[[#This Row],[Rentab. Parcial2]]</f>
        <v>-0.1700743494423792</v>
      </c>
      <c r="H149" s="253">
        <f ca="1">+Tabla2[[#This Row],[Difer. Investing]]</f>
        <v>0.61590145576707722</v>
      </c>
      <c r="I149" s="79">
        <f>+Tabla2[[#This Row],[Objetivo div2]]</f>
        <v>14.34</v>
      </c>
      <c r="J149" s="75" cm="1">
        <f t="array" aca="1" ref="J149" ca="1">_FV(A149,"High")</f>
        <v>9.0399999999999991</v>
      </c>
      <c r="K149" s="75" cm="1">
        <f t="array" aca="1" ref="K149" ca="1">_FV(A149,"Low")</f>
        <v>8.7249999999999996</v>
      </c>
      <c r="L149" s="75" cm="1">
        <f t="array" aca="1" ref="L149" ca="1">_FV(Tabla2[[#This Row],[valor]],"52 week high",TRUE)</f>
        <v>13.738</v>
      </c>
      <c r="M149" s="75">
        <f ca="1">+L149*0.9</f>
        <v>12.3642</v>
      </c>
      <c r="N149" s="75">
        <f ca="1">+L149*0.95</f>
        <v>13.051099999999998</v>
      </c>
      <c r="O149" s="75" cm="1">
        <f t="array" aca="1" ref="O149" ca="1">_FV(A149,"52 week low",TRUE)</f>
        <v>5.85</v>
      </c>
      <c r="P149" s="220">
        <f ca="1">+TODAY()-Tabla2[[#This Row],[F. compra]]</f>
        <v>295</v>
      </c>
      <c r="Q149" s="220">
        <f ca="1">GESTEP(D149,M149)</f>
        <v>0</v>
      </c>
      <c r="R149" s="220">
        <f ca="1">GESTEP(D149,N149)</f>
        <v>0</v>
      </c>
      <c r="S149" s="75" t="s">
        <v>75</v>
      </c>
      <c r="T149" s="110" t="s">
        <v>78</v>
      </c>
      <c r="U149" s="110" t="s">
        <v>26</v>
      </c>
      <c r="V149" s="16">
        <v>45845</v>
      </c>
      <c r="W149" s="16">
        <v>45845</v>
      </c>
      <c r="X149" s="80"/>
      <c r="Y149" s="79">
        <v>11.03</v>
      </c>
      <c r="Z149" s="79">
        <v>10.76</v>
      </c>
      <c r="AA149" s="79">
        <f>+Tabla2[[#This Row],[Precio compra]]+Tabla2[[#This Row],[Div.]]</f>
        <v>10.76</v>
      </c>
      <c r="AB149" s="96"/>
      <c r="AC149" s="79">
        <v>14.34</v>
      </c>
      <c r="AD149" s="79">
        <f>+Tabla2[[#This Row],[Objetivo div2]]+Tabla2[[#This Row],[Div.]]</f>
        <v>14.34</v>
      </c>
      <c r="AE149" s="159">
        <f ca="1">IF(Z149="-",+AC149/Y149-1,AC149/D149-1)</f>
        <v>0.60582306830907062</v>
      </c>
      <c r="AF149" s="81">
        <v>14.43</v>
      </c>
      <c r="AG149" s="253">
        <f ca="1">IF(Z149="-",+AF149/D149-1,AF149/D149-1)</f>
        <v>0.61590145576707722</v>
      </c>
      <c r="AH149" s="81">
        <v>9.3800000000000008</v>
      </c>
      <c r="AI149" s="147">
        <f ca="1">IF(Z149="-",AH149/Y149-1,+AH149/D149-1)</f>
        <v>5.0391937290033662E-2</v>
      </c>
      <c r="AJ149" s="121">
        <f ca="1">IF(Z149="-","-",+(D149/Z149)-1)</f>
        <v>-0.1700743494423792</v>
      </c>
      <c r="AK149" s="120">
        <f ca="1">IF(AA149="-","-",+(D149/AA149)-1)</f>
        <v>-0.1700743494423792</v>
      </c>
      <c r="AM149" s="49" t="str">
        <f>IF(AL149=0,"-",+AL149/Z149-1)</f>
        <v>-</v>
      </c>
      <c r="AN149" s="28">
        <f ca="1">+D149/Y149-1</f>
        <v>-0.19038984587488661</v>
      </c>
      <c r="AO149" s="75">
        <f ca="1">VLOOKUP(Tabla2[[#This Row],[TCKR]],'2026'!$D$5:$AH$257,8,FALSE)</f>
        <v>1087</v>
      </c>
      <c r="AP149" s="193">
        <f ca="1">VLOOKUP(Tabla2[[#This Row],[TCKR]],'2026'!$D$5:$AH$257,26,FALSE)</f>
        <v>-1382.2658155675585</v>
      </c>
      <c r="AQ149" s="5" cm="1">
        <f t="array" aca="1" ref="AQ149" ca="1">_FV(Tabla2[[#This Row],[valor]],"P/E",TRUE)</f>
        <v>0</v>
      </c>
      <c r="AR149" s="4"/>
      <c r="AT149" s="193">
        <f ca="1">+Tabla2[[#This Row],[Titulos2]]*Tabla2[[#This Row],[Neto]]</f>
        <v>0</v>
      </c>
      <c r="AU149" s="28">
        <f>+Tabla2[[#This Row],[Neto]]/Tabla2[[#This Row],[Precio compra2]]</f>
        <v>0</v>
      </c>
    </row>
    <row r="150" spans="1:47" ht="16" customHeight="1" x14ac:dyDescent="0.2">
      <c r="A150" s="75" t="e" vm="181">
        <v>#VALUE!</v>
      </c>
      <c r="B150" s="75" t="str" cm="1">
        <f t="array" aca="1" ref="B150" ca="1">_FV(A150,"Ticker symbol",TRUE)</f>
        <v>UPM</v>
      </c>
      <c r="C150" s="217" cm="1">
        <f t="array" aca="1" ref="C150" ca="1">_FV(A150,"Change (%)",TRUE)</f>
        <v>-7.1879999999999999E-3</v>
      </c>
      <c r="D150" s="144" cm="1">
        <f t="array" aca="1" ref="D150" ca="1">_FV(A150,"Price")</f>
        <v>24.86</v>
      </c>
      <c r="E150" s="159">
        <f ca="1">AE150</f>
        <v>0.6210780370072404</v>
      </c>
      <c r="F150" s="321">
        <f ca="1">+Tabla2[[#This Row],[Rentab. Parcial]]</f>
        <v>-0.29294653014789529</v>
      </c>
      <c r="G150" s="321">
        <f ca="1">+Tabla2[[#This Row],[Rentab. Parcial2]]</f>
        <v>-0.34853249475890979</v>
      </c>
      <c r="H150" s="253">
        <f ca="1">+Tabla2[[#This Row],[Difer. Investing]]</f>
        <v>0.78519710378117469</v>
      </c>
      <c r="I150" s="79">
        <f>+Tabla2[[#This Row],[Objetivo div2]]</f>
        <v>40.299999999999997</v>
      </c>
      <c r="J150" s="75" cm="1">
        <f t="array" aca="1" ref="J150" ca="1">_FV(A150,"High")</f>
        <v>25.04</v>
      </c>
      <c r="K150" s="75" cm="1">
        <f t="array" aca="1" ref="K150" ca="1">_FV(A150,"Low")</f>
        <v>24.66</v>
      </c>
      <c r="L150" s="75" cm="1">
        <f t="array" aca="1" ref="L150" ca="1">_FV(Tabla2[[#This Row],[valor]],"52 week high",TRUE)</f>
        <v>37.14</v>
      </c>
      <c r="M150" s="75">
        <f ca="1">+Tabla2[[#This Row],[52 high]]*0.9</f>
        <v>33.426000000000002</v>
      </c>
      <c r="N150" s="75">
        <f ca="1">+Tabla2[[#This Row],[52 high]]*0.95</f>
        <v>35.283000000000001</v>
      </c>
      <c r="O150" s="75" cm="1">
        <f t="array" aca="1" ref="O150" ca="1">_FV(Tabla2[[#This Row],[valor]],"52 week low",TRUE)</f>
        <v>20.309999999999999</v>
      </c>
      <c r="P150" s="220">
        <f ca="1">+TODAY()-Tabla2[[#This Row],[F. compra]]</f>
        <v>708</v>
      </c>
      <c r="Q150" s="220">
        <f ca="1">GESTEP(Tabla2[[#This Row],[price]],Tabla2[[#This Row],[HIGH 10%]])</f>
        <v>0</v>
      </c>
      <c r="R150" s="220">
        <f ca="1">GESTEP(Tabla2[[#This Row],[price]],Tabla2[[#This Row],[HIGH 5%]])</f>
        <v>0</v>
      </c>
      <c r="S150" s="75" t="s">
        <v>75</v>
      </c>
      <c r="T150" s="110" t="s">
        <v>78</v>
      </c>
      <c r="U150" s="110" t="s">
        <v>26</v>
      </c>
      <c r="V150" s="16">
        <v>45432</v>
      </c>
      <c r="W150" s="16">
        <v>45432</v>
      </c>
      <c r="X150" s="80"/>
      <c r="Y150" s="79">
        <v>35.159999999999997</v>
      </c>
      <c r="Z150" s="79">
        <v>35.159999999999997</v>
      </c>
      <c r="AA150" s="79">
        <f>+Tabla2[[#This Row],[Precio compra]]+Tabla2[[#This Row],[Div.]]</f>
        <v>38.159999999999997</v>
      </c>
      <c r="AB150" s="96">
        <f>2.25+'dividendos 26'!E69</f>
        <v>3</v>
      </c>
      <c r="AC150" s="79">
        <f>43.3-Tabla2[[#This Row],[Div.]]</f>
        <v>40.299999999999997</v>
      </c>
      <c r="AD150" s="79">
        <f>+Tabla2[[#This Row],[Objetivo div2]]+Tabla2[[#This Row],[Div.]]</f>
        <v>43.3</v>
      </c>
      <c r="AE150" s="159">
        <f ca="1">IF(Z150="-",+AC150/Y150-1,AC150/D150-1)</f>
        <v>0.6210780370072404</v>
      </c>
      <c r="AF150" s="81">
        <f>47.38-Tabla2[[#This Row],[Div.]]</f>
        <v>44.38</v>
      </c>
      <c r="AG150" s="253">
        <f ca="1">IF(Z150="-",+AF150/D150-1,AF150/D150-1)</f>
        <v>0.78519710378117469</v>
      </c>
      <c r="AH150" s="81">
        <f>31.09-Tabla2[[#This Row],[Div.]]</f>
        <v>28.09</v>
      </c>
      <c r="AI150" s="147">
        <f ca="1">IF(Z150="-",AH150/Y150-1,+AH150/D150-1)</f>
        <v>0.12992759452936453</v>
      </c>
      <c r="AJ150" s="121">
        <f ca="1">IF(Z150="-","-",+(D150/Z150)-1)</f>
        <v>-0.29294653014789529</v>
      </c>
      <c r="AK150" s="120">
        <f ca="1">IF(AA150="-","-",+(D150/AA150)-1)</f>
        <v>-0.34853249475890979</v>
      </c>
      <c r="AM150" s="49" t="str">
        <f>IF(AL150=0,"-",+AL150/Z150-1)</f>
        <v>-</v>
      </c>
      <c r="AN150" s="28">
        <f ca="1">+D150/Y150-1</f>
        <v>-0.29294653014789529</v>
      </c>
      <c r="AO150" s="75">
        <f ca="1">VLOOKUP(Tabla2[[#This Row],[TCKR]],'2026'!$D$5:$AH$257,8,FALSE)</f>
        <v>311</v>
      </c>
      <c r="AP150" s="193">
        <f ca="1">VLOOKUP(Tabla2[[#This Row],[TCKR]],'2026'!$D$5:$AH$257,26,FALSE)</f>
        <v>-2554.864577593361</v>
      </c>
      <c r="AQ150" s="5" cm="1">
        <f t="array" aca="1" ref="AQ150" ca="1">_FV(Tabla2[[#This Row],[valor]],"P/E",TRUE)</f>
        <v>27.73</v>
      </c>
      <c r="AR150" s="4"/>
      <c r="AT150" s="193">
        <f ca="1">+Tabla2[[#This Row],[Titulos2]]*Tabla2[[#This Row],[Neto]]</f>
        <v>0</v>
      </c>
      <c r="AU150" s="28">
        <f>+Tabla2[[#This Row],[Neto]]/Tabla2[[#This Row],[Precio compra2]]</f>
        <v>0</v>
      </c>
    </row>
    <row r="151" spans="1:47" ht="16" customHeight="1" x14ac:dyDescent="0.2">
      <c r="A151" s="325" t="e" vm="191">
        <v>#VALUE!</v>
      </c>
      <c r="B151" s="75" t="str" cm="1">
        <f t="array" aca="1" ref="B151" ca="1">_FV(A151,"Ticker symbol",TRUE)</f>
        <v>XERS</v>
      </c>
      <c r="C151" s="217" cm="1">
        <f t="array" aca="1" ref="C151" ca="1">_FV(A151,"Change (%)",TRUE)</f>
        <v>1.157E-2</v>
      </c>
      <c r="D151" s="144" cm="1">
        <f t="array" aca="1" ref="D151" ca="1">_FV(A151,"Price")</f>
        <v>6.12</v>
      </c>
      <c r="E151" s="289">
        <f ca="1">AE151</f>
        <v>0.61601307189542487</v>
      </c>
      <c r="F151" s="321">
        <f ca="1">+Tabla2[[#This Row],[Rentab. Parcial]]</f>
        <v>-0.2233502538071066</v>
      </c>
      <c r="G151" s="321">
        <f ca="1">+Tabla2[[#This Row],[Rentab. Parcial2]]</f>
        <v>-0.2233502538071066</v>
      </c>
      <c r="H151" s="253">
        <f ca="1">+Tabla2[[#This Row],[Difer. Investing]]</f>
        <v>0.8202614379084967</v>
      </c>
      <c r="I151" s="79">
        <f>+Tabla2[[#This Row],[Objetivo div2]]</f>
        <v>9.89</v>
      </c>
      <c r="J151" s="75" cm="1">
        <f t="array" aca="1" ref="J151" ca="1">_FV(A151,"High")</f>
        <v>6.1749999999999998</v>
      </c>
      <c r="K151" s="75" cm="1">
        <f t="array" aca="1" ref="K151" ca="1">_FV(A151,"Low")</f>
        <v>6.02</v>
      </c>
      <c r="L151" s="75" cm="1">
        <f t="array" aca="1" ref="L151" ca="1">_FV(Tabla2[[#This Row],[valor]],"52 week high",TRUE)</f>
        <v>10.08</v>
      </c>
      <c r="M151" s="75">
        <f ca="1">+L151*0.9</f>
        <v>9.072000000000001</v>
      </c>
      <c r="N151" s="75">
        <f ca="1">+L151*0.95</f>
        <v>9.5759999999999987</v>
      </c>
      <c r="O151" s="75" cm="1">
        <f t="array" aca="1" ref="O151" ca="1">_FV(A151,"52 week low",TRUE)</f>
        <v>4.2549999999999999</v>
      </c>
      <c r="P151" s="220">
        <f ca="1">+TODAY()-Tabla2[[#This Row],[F. compra]]</f>
        <v>116</v>
      </c>
      <c r="Q151" s="220">
        <f ca="1">GESTEP(D151,M151)</f>
        <v>0</v>
      </c>
      <c r="R151" s="220">
        <f ca="1">GESTEP(D151,N151)</f>
        <v>0</v>
      </c>
      <c r="S151" s="75" t="s">
        <v>166</v>
      </c>
      <c r="T151" s="110" t="s">
        <v>78</v>
      </c>
      <c r="U151" s="110" t="s">
        <v>26</v>
      </c>
      <c r="V151" s="16">
        <v>46024</v>
      </c>
      <c r="W151" s="16">
        <v>46024</v>
      </c>
      <c r="X151" s="80"/>
      <c r="Y151" s="79">
        <v>7.9</v>
      </c>
      <c r="Z151" s="79">
        <v>7.88</v>
      </c>
      <c r="AA151" s="79">
        <v>7.88</v>
      </c>
      <c r="AB151" s="79"/>
      <c r="AC151" s="79">
        <v>9.89</v>
      </c>
      <c r="AD151" s="79">
        <f>+Tabla2[[#This Row],[Objetivo div2]]+Tabla2[[#This Row],[Div.]]</f>
        <v>9.89</v>
      </c>
      <c r="AE151" s="289">
        <f ca="1">IF(Z151="-",+AC151/Y151-1,AC151/D151-1)</f>
        <v>0.61601307189542487</v>
      </c>
      <c r="AF151" s="76">
        <v>11.14</v>
      </c>
      <c r="AG151" s="253">
        <f ca="1">IF(Z151="-",+AF151/D151-1,AF151/D151-1)</f>
        <v>0.8202614379084967</v>
      </c>
      <c r="AH151" s="76">
        <v>6.89</v>
      </c>
      <c r="AI151" s="147">
        <f ca="1">IF(Z151="-",AH151/Y151-1,+AH151/D151-1)</f>
        <v>0.12581699346405228</v>
      </c>
      <c r="AJ151" s="121">
        <f ca="1">IF(Z151="-","-",+(D151/Z151)-1)</f>
        <v>-0.2233502538071066</v>
      </c>
      <c r="AK151" s="120">
        <f ca="1">IF(AA151="-","-",+(D151/AA151)-1)</f>
        <v>-0.2233502538071066</v>
      </c>
      <c r="AM151" s="49" t="str">
        <f>IF(AL151=0,"-",+AL151/Z151-1)</f>
        <v>-</v>
      </c>
      <c r="AN151" s="28">
        <f ca="1">+D151/Y151-1</f>
        <v>-0.22531645569620251</v>
      </c>
      <c r="AO151" s="75">
        <f ca="1">VLOOKUP(Tabla2[[#This Row],[TCKR]],'2026'!$D$5:$AH$257,8,FALSE)</f>
        <v>1910</v>
      </c>
      <c r="AP151" s="193">
        <f ca="1">VLOOKUP(Tabla2[[#This Row],[TCKR]],'2026'!$D$5:$AH$257,26,FALSE)</f>
        <v>-2263.3776892444225</v>
      </c>
      <c r="AQ151" s="5" cm="1">
        <f t="array" aca="1" ref="AQ151" ca="1">_FV(Tabla2[[#This Row],[valor]],"P/E",TRUE)</f>
        <v>0</v>
      </c>
      <c r="AR151" s="4"/>
      <c r="AT151" s="193">
        <f ca="1">+Tabla2[[#This Row],[Titulos2]]*Tabla2[[#This Row],[Neto]]</f>
        <v>0</v>
      </c>
      <c r="AU151" s="28">
        <f>+Tabla2[[#This Row],[Neto]]/Tabla2[[#This Row],[Precio compra2]]</f>
        <v>0</v>
      </c>
    </row>
    <row r="152" spans="1:47" ht="16" customHeight="1" x14ac:dyDescent="0.2">
      <c r="A152" s="306" t="e" vm="233">
        <v>#VALUE!</v>
      </c>
      <c r="B152" s="75" t="str" cm="1">
        <f t="array" aca="1" ref="B152" ca="1">_FV(A152,"Ticker symbol",TRUE)</f>
        <v>BEI</v>
      </c>
      <c r="C152" s="217" cm="1">
        <f t="array" aca="1" ref="C152" ca="1">_FV(A152,"Change (%)",TRUE)</f>
        <v>2.2179999999999999E-3</v>
      </c>
      <c r="D152" s="144" cm="1">
        <f t="array" aca="1" ref="D152" ca="1">_FV(A152,"Price")</f>
        <v>72.3</v>
      </c>
      <c r="E152" s="307">
        <f ca="1">AE152</f>
        <v>0.63637621023513158</v>
      </c>
      <c r="F152" s="321">
        <f ca="1">+Tabla2[[#This Row],[Rentab. Parcial]]</f>
        <v>-0.23830594184576492</v>
      </c>
      <c r="G152" s="321">
        <f ca="1">+Tabla2[[#This Row],[Rentab. Parcial2]]</f>
        <v>-0.23830594184576492</v>
      </c>
      <c r="H152" s="253">
        <f ca="1">+Tabla2[[#This Row],[Difer. Investing]]</f>
        <v>0.68437067773167359</v>
      </c>
      <c r="I152" s="79">
        <f>+Tabla2[[#This Row],[Objetivo div2]]</f>
        <v>118.31</v>
      </c>
      <c r="J152" s="75" cm="1">
        <f t="array" aca="1" ref="J152" ca="1">_FV(A152,"High")</f>
        <v>72.599999999999994</v>
      </c>
      <c r="K152" s="75" cm="1">
        <f t="array" aca="1" ref="K152" ca="1">_FV(A152,"Low")</f>
        <v>71.58</v>
      </c>
      <c r="L152" s="75" cm="1">
        <f t="array" aca="1" ref="L152" ca="1">_FV(Tabla2[[#This Row],[valor]],"52 week high",TRUE)</f>
        <v>127.45</v>
      </c>
      <c r="M152" s="75">
        <f ca="1">+L152*0.9</f>
        <v>114.705</v>
      </c>
      <c r="N152" s="75">
        <f ca="1">+L152*0.95</f>
        <v>121.0775</v>
      </c>
      <c r="O152" s="75" cm="1">
        <f t="array" aca="1" ref="O152" ca="1">_FV(A152,"52 week low",TRUE)</f>
        <v>71.099999999999994</v>
      </c>
      <c r="P152" s="220">
        <f ca="1">+TODAY()-Tabla2[[#This Row],[F. compra]]</f>
        <v>190</v>
      </c>
      <c r="Q152" s="220">
        <f ca="1">GESTEP(D152,M152)</f>
        <v>0</v>
      </c>
      <c r="R152" s="220">
        <f ca="1">GESTEP(D152,N152)</f>
        <v>0</v>
      </c>
      <c r="S152" s="75" t="s">
        <v>76</v>
      </c>
      <c r="T152" s="110" t="s">
        <v>78</v>
      </c>
      <c r="U152" s="110" t="s">
        <v>26</v>
      </c>
      <c r="V152" s="16">
        <v>45950</v>
      </c>
      <c r="W152" s="16">
        <v>45950</v>
      </c>
      <c r="X152" s="80"/>
      <c r="Y152" s="79">
        <v>94.94</v>
      </c>
      <c r="Z152" s="79">
        <v>94.92</v>
      </c>
      <c r="AA152" s="79">
        <f>+Tabla2[[#This Row],[Precio compra]]+Tabla2[[#This Row],[Div.]]</f>
        <v>94.92</v>
      </c>
      <c r="AB152" s="79"/>
      <c r="AC152" s="79">
        <v>118.31</v>
      </c>
      <c r="AD152" s="79">
        <f>+Tabla2[[#This Row],[Objetivo div2]]+Tabla2[[#This Row],[Div.]]</f>
        <v>118.31</v>
      </c>
      <c r="AE152" s="307">
        <f ca="1">IF(Z152="-",+AC152/Y152-1,AC152/D152-1)</f>
        <v>0.63637621023513158</v>
      </c>
      <c r="AF152" s="76">
        <v>121.78</v>
      </c>
      <c r="AG152" s="253">
        <f ca="1">IF(Z152="-",+AF152/D152-1,AF152/D152-1)</f>
        <v>0.68437067773167359</v>
      </c>
      <c r="AH152" s="76">
        <v>92.5</v>
      </c>
      <c r="AI152" s="147">
        <f ca="1">IF(Z152="-",AH152/Y152-1,+AH152/D152-1)</f>
        <v>0.2793914246196405</v>
      </c>
      <c r="AJ152" s="121">
        <f ca="1">IF(Z152="-","-",+(D152/Z152)-1)</f>
        <v>-0.23830594184576492</v>
      </c>
      <c r="AK152" s="120">
        <f ca="1">IF(AA152="-","-",+(D152/AA152)-1)</f>
        <v>-0.23830594184576492</v>
      </c>
      <c r="AM152" s="49" t="str">
        <f>IF(AL152=0,"-",+AL152/Z152-1)</f>
        <v>-</v>
      </c>
      <c r="AN152" s="28">
        <f ca="1">+D152/Y152-1</f>
        <v>-0.23846639983147255</v>
      </c>
      <c r="AO152" s="75">
        <f ca="1">VLOOKUP(Tabla2[[#This Row],[TCKR]],'2026'!$D$5:$AH$257,8,FALSE)</f>
        <v>130</v>
      </c>
      <c r="AP152" s="193">
        <f ca="1">VLOOKUP(Tabla2[[#This Row],[TCKR]],'2026'!$D$5:$AH$257,26,FALSE)</f>
        <v>-2357.5585172138549</v>
      </c>
      <c r="AQ152" s="5" cm="1">
        <f t="array" aca="1" ref="AQ152" ca="1">_FV(Tabla2[[#This Row],[valor]],"P/E",TRUE)</f>
        <v>17.049499999999998</v>
      </c>
      <c r="AR152" s="4"/>
      <c r="AT152" s="193">
        <f ca="1">+Tabla2[[#This Row],[Titulos2]]*Tabla2[[#This Row],[Neto]]</f>
        <v>0</v>
      </c>
      <c r="AU152" s="28">
        <f>+Tabla2[[#This Row],[Neto]]/Tabla2[[#This Row],[Precio compra2]]</f>
        <v>0</v>
      </c>
    </row>
    <row r="153" spans="1:47" ht="16" customHeight="1" x14ac:dyDescent="0.2">
      <c r="A153" s="75" t="e" vm="176">
        <v>#VALUE!</v>
      </c>
      <c r="B153" s="75" t="str" cm="1">
        <f t="array" aca="1" ref="B153" ca="1">_FV(A153,"Ticker symbol",TRUE)</f>
        <v>TUB</v>
      </c>
      <c r="C153" s="217" cm="1">
        <f t="array" aca="1" ref="C153" ca="1">_FV(A153,"Change (%)",TRUE)</f>
        <v>1.709E-3</v>
      </c>
      <c r="D153" s="144" cm="1">
        <f t="array" aca="1" ref="D153" ca="1">_FV(A153,"Price")</f>
        <v>2.93</v>
      </c>
      <c r="E153" s="159">
        <f ca="1">AE153</f>
        <v>0.65051194539249146</v>
      </c>
      <c r="F153" s="321">
        <f ca="1">+Tabla2[[#This Row],[Rentab. Parcial]]</f>
        <v>-6.4196742254870487E-2</v>
      </c>
      <c r="G153" s="321">
        <f ca="1">+Tabla2[[#This Row],[Rentab. Parcial2]]</f>
        <v>-0.12143928035981999</v>
      </c>
      <c r="H153" s="253">
        <f ca="1">+Tabla2[[#This Row],[Difer. Investing]]</f>
        <v>0.72354948805460739</v>
      </c>
      <c r="I153" s="79">
        <f>+Tabla2[[#This Row],[Objetivo div2]]</f>
        <v>4.8360000000000003</v>
      </c>
      <c r="J153" s="75" cm="1">
        <f t="array" aca="1" ref="J153" ca="1">_FV(A153,"High")</f>
        <v>2.9750000000000001</v>
      </c>
      <c r="K153" s="75" cm="1">
        <f t="array" aca="1" ref="K153" ca="1">_FV(A153,"Low")</f>
        <v>2.9</v>
      </c>
      <c r="L153" s="75" cm="1">
        <f t="array" aca="1" ref="L153" ca="1">_FV(Tabla2[[#This Row],[valor]],"52 week high",TRUE)</f>
        <v>4.28</v>
      </c>
      <c r="M153" s="75">
        <f ca="1">+Tabla2[[#This Row],[52 high]]*0.9</f>
        <v>3.8520000000000003</v>
      </c>
      <c r="N153" s="75">
        <f ca="1">+Tabla2[[#This Row],[52 high]]*0.95</f>
        <v>4.0659999999999998</v>
      </c>
      <c r="O153" s="75" cm="1">
        <f t="array" aca="1" ref="O153" ca="1">_FV(Tabla2[[#This Row],[valor]],"52 week low",TRUE)</f>
        <v>2.74</v>
      </c>
      <c r="P153" s="220">
        <f ca="1">+TODAY()-Tabla2[[#This Row],[F. compra]]</f>
        <v>5915</v>
      </c>
      <c r="Q153" s="220">
        <f ca="1">GESTEP(Tabla2[[#This Row],[price]],Tabla2[[#This Row],[HIGH 10%]])</f>
        <v>0</v>
      </c>
      <c r="R153" s="220">
        <f ca="1">GESTEP(Tabla2[[#This Row],[price]],Tabla2[[#This Row],[HIGH 5%]])</f>
        <v>0</v>
      </c>
      <c r="S153" s="75" t="s">
        <v>75</v>
      </c>
      <c r="T153" s="110" t="s">
        <v>136</v>
      </c>
      <c r="U153" s="110" t="s">
        <v>72</v>
      </c>
      <c r="V153" s="16">
        <v>40225</v>
      </c>
      <c r="W153" s="16">
        <v>40225</v>
      </c>
      <c r="X153" s="80"/>
      <c r="Y153" s="79"/>
      <c r="Z153" s="79">
        <f>3.335-Tabla2[[#This Row],[Div.]]</f>
        <v>3.1309999999999998</v>
      </c>
      <c r="AA153" s="79">
        <f>+Tabla2[[#This Row],[Precio compra]]+Tabla2[[#This Row],[Div.]]</f>
        <v>3.335</v>
      </c>
      <c r="AB153" s="96">
        <v>0.20399999999999999</v>
      </c>
      <c r="AC153" s="79">
        <f>5.04-Tabla2[[#This Row],[Div.]]</f>
        <v>4.8360000000000003</v>
      </c>
      <c r="AD153" s="79">
        <f>+Tabla2[[#This Row],[Objetivo div2]]+Tabla2[[#This Row],[Div.]]</f>
        <v>5.04</v>
      </c>
      <c r="AE153" s="159">
        <f ca="1">IF(Z153="-",+AC153/Y153-1,AC153/D153-1)</f>
        <v>0.65051194539249146</v>
      </c>
      <c r="AF153" s="81">
        <v>5.05</v>
      </c>
      <c r="AG153" s="253">
        <f ca="1">IF(Z153="-",+AF153/D153-1,AF153/D153-1)</f>
        <v>0.72354948805460739</v>
      </c>
      <c r="AH153" s="81">
        <f>3.05-Tabla2[[#This Row],[Div.]]</f>
        <v>2.8459999999999996</v>
      </c>
      <c r="AI153" s="147">
        <f ca="1">IF(Z153="-",AH153/Y153-1,+AH153/D153-1)</f>
        <v>-2.8668941979522411E-2</v>
      </c>
      <c r="AJ153" s="121">
        <f ca="1">IF(Z153="-","-",+(D153/Z153)-1)</f>
        <v>-6.4196742254870487E-2</v>
      </c>
      <c r="AK153" s="120">
        <f ca="1">IF(AA153="-","-",+(D153/AA153)-1)</f>
        <v>-0.12143928035981999</v>
      </c>
      <c r="AM153" s="49" t="str">
        <f>IF(AL153=0,"-",+AL153/Z153-1)</f>
        <v>-</v>
      </c>
      <c r="AN153" s="28" t="e">
        <f ca="1">+D153/Y153-1</f>
        <v>#DIV/0!</v>
      </c>
      <c r="AO153" s="75">
        <f ca="1">VLOOKUP(Tabla2[[#This Row],[TCKR]],'2026'!$D$5:$AH$257,8,FALSE)</f>
        <v>1200</v>
      </c>
      <c r="AP153" s="193">
        <f ca="1">VLOOKUP(Tabla2[[#This Row],[TCKR]],'2026'!$D$5:$AH$257,26,FALSE)</f>
        <v>-2687.3764971994638</v>
      </c>
      <c r="AQ153" s="5" t="e" cm="1" vm="221">
        <f t="array" ref="AQ153">_FV(Tabla2[[#This Row],[valor]],"P/E",TRUE)</f>
        <v>#VALUE!</v>
      </c>
      <c r="AR153" s="4"/>
      <c r="AT153" s="193">
        <f ca="1">+Tabla2[[#This Row],[Titulos2]]*Tabla2[[#This Row],[Neto]]</f>
        <v>0</v>
      </c>
      <c r="AU153" s="28">
        <f>+Tabla2[[#This Row],[Neto]]/Tabla2[[#This Row],[Precio compra2]]</f>
        <v>0</v>
      </c>
    </row>
    <row r="154" spans="1:47" ht="16" customHeight="1" x14ac:dyDescent="0.2">
      <c r="A154" s="75" t="e" vm="127">
        <v>#VALUE!</v>
      </c>
      <c r="B154" s="75" t="str" cm="1">
        <f t="array" aca="1" ref="B154" ca="1">_FV(A154,"Ticker symbol",TRUE)</f>
        <v>OCI</v>
      </c>
      <c r="C154" s="217" cm="1">
        <f t="array" aca="1" ref="C154" ca="1">_FV(A154,"Change (%)",TRUE)</f>
        <v>-2.0363000000000003E-2</v>
      </c>
      <c r="D154" s="144" cm="1">
        <f t="array" aca="1" ref="D154" ca="1">_FV(A154,"Price")</f>
        <v>3.56</v>
      </c>
      <c r="E154" s="159">
        <f ca="1">AE154</f>
        <v>0.65882022471910107</v>
      </c>
      <c r="F154" s="321">
        <f ca="1">+Tabla2[[#This Row],[Rentab. Parcial]]</f>
        <v>-0.39716191959901104</v>
      </c>
      <c r="G154" s="321">
        <f ca="1">+Tabla2[[#This Row],[Rentab. Parcial2]]</f>
        <v>-0.45443957458546602</v>
      </c>
      <c r="H154" s="253">
        <f ca="1">+Tabla2[[#This Row],[Difer. Investing]]</f>
        <v>1.8651685393258424</v>
      </c>
      <c r="I154" s="79">
        <f>+Tabla2[[#This Row],[Objetivo div2]]</f>
        <v>5.9054000000000002</v>
      </c>
      <c r="J154" s="75" cm="1">
        <f t="array" aca="1" ref="J154" ca="1">_FV(A154,"High")</f>
        <v>3.65</v>
      </c>
      <c r="K154" s="75" cm="1">
        <f t="array" aca="1" ref="K154" ca="1">_FV(A154,"Low")</f>
        <v>3.5219999999999998</v>
      </c>
      <c r="L154" s="75" cm="1">
        <f t="array" aca="1" ref="L154" ca="1">_FV(Tabla2[[#This Row],[valor]],"52 week high",TRUE)</f>
        <v>5.74</v>
      </c>
      <c r="M154" s="75">
        <f ca="1">+Tabla2[[#This Row],[52 high]]*0.9</f>
        <v>5.1660000000000004</v>
      </c>
      <c r="N154" s="75">
        <f ca="1">+Tabla2[[#This Row],[52 high]]*0.95</f>
        <v>5.4530000000000003</v>
      </c>
      <c r="O154" s="75" cm="1">
        <f t="array" aca="1" ref="O154" ca="1">_FV(Tabla2[[#This Row],[valor]],"52 week low",TRUE)</f>
        <v>2.5499999999999998</v>
      </c>
      <c r="P154" s="220">
        <f ca="1">+TODAY()-Tabla2[[#This Row],[F. compra]]</f>
        <v>813</v>
      </c>
      <c r="Q154" s="220">
        <f ca="1">GESTEP(Tabla2[[#This Row],[price]],Tabla2[[#This Row],[HIGH 10%]])</f>
        <v>0</v>
      </c>
      <c r="R154" s="220">
        <f ca="1">GESTEP(Tabla2[[#This Row],[price]],Tabla2[[#This Row],[HIGH 5%]])</f>
        <v>0</v>
      </c>
      <c r="S154" s="75" t="s">
        <v>75</v>
      </c>
      <c r="T154" s="110" t="s">
        <v>78</v>
      </c>
      <c r="U154" s="110" t="s">
        <v>26</v>
      </c>
      <c r="V154" s="16">
        <v>45327</v>
      </c>
      <c r="W154" s="16">
        <v>45327</v>
      </c>
      <c r="X154" s="80"/>
      <c r="Y154" s="79">
        <v>27.11</v>
      </c>
      <c r="Z154" s="79">
        <f>6.5254-Tabla2[[#This Row],[Div.]]</f>
        <v>5.9054000000000002</v>
      </c>
      <c r="AA154" s="79">
        <f>+Tabla2[[#This Row],[Precio compra]]+Tabla2[[#This Row],[Div.]]</f>
        <v>6.5254000000000003</v>
      </c>
      <c r="AB154" s="96">
        <v>0.62</v>
      </c>
      <c r="AC154" s="79">
        <f>6.5254-Tabla2[[#This Row],[Div.]]</f>
        <v>5.9054000000000002</v>
      </c>
      <c r="AD154" s="79">
        <f>+Tabla2[[#This Row],[Objetivo div2]]+Tabla2[[#This Row],[Div.]]</f>
        <v>6.5254000000000003</v>
      </c>
      <c r="AE154" s="159">
        <f ca="1">IF(Z154="-",+AC154/Y154-1,AC154/D154-1)</f>
        <v>0.65882022471910107</v>
      </c>
      <c r="AF154" s="81">
        <v>10.199999999999999</v>
      </c>
      <c r="AG154" s="253">
        <f ca="1">IF(Z154="-",+AF154/D154-1,AF154/D154-1)</f>
        <v>1.8651685393258424</v>
      </c>
      <c r="AH154" s="81"/>
      <c r="AI154" s="147">
        <f ca="1">IF(Z154="-",AH154/Y154-1,+AH154/D154-1)</f>
        <v>-1</v>
      </c>
      <c r="AJ154" s="121">
        <f ca="1">IF(Z154="-","-",+(D154/Z154)-1)</f>
        <v>-0.39716191959901104</v>
      </c>
      <c r="AK154" s="120">
        <f ca="1">IF(AA154="-","-",+(D154/AA154)-1)</f>
        <v>-0.45443957458546602</v>
      </c>
      <c r="AM154" s="49" t="str">
        <f>IF(AL154=0,"-",+AL154/Z154-1)</f>
        <v>-</v>
      </c>
      <c r="AN154" s="28">
        <f ca="1">+D154/Y154-1</f>
        <v>-0.86868314275175207</v>
      </c>
      <c r="AO154" s="75">
        <f ca="1">VLOOKUP(Tabla2[[#This Row],[TCKR]],'2026'!$D$5:$AH$257,8,FALSE)</f>
        <v>425</v>
      </c>
      <c r="AP154" s="193">
        <f ca="1">VLOOKUP(Tabla2[[#This Row],[TCKR]],'2026'!$D$5:$AH$257,26,FALSE)</f>
        <v>-1019.5437067940384</v>
      </c>
      <c r="AQ154" s="5" cm="1">
        <f t="array" aca="1" ref="AQ154" ca="1">_FV(Tabla2[[#This Row],[valor]],"P/E",TRUE)</f>
        <v>0</v>
      </c>
      <c r="AR154" s="4"/>
      <c r="AT154" s="193">
        <f ca="1">+Tabla2[[#This Row],[Titulos2]]*Tabla2[[#This Row],[Neto]]</f>
        <v>0</v>
      </c>
      <c r="AU154" s="28">
        <f>+Tabla2[[#This Row],[Neto]]/Tabla2[[#This Row],[Precio compra2]]</f>
        <v>0</v>
      </c>
    </row>
    <row r="155" spans="1:47" ht="16" customHeight="1" x14ac:dyDescent="0.2">
      <c r="A155" s="75" t="e" vm="234">
        <v>#VALUE!</v>
      </c>
      <c r="B155" s="75" t="str" cm="1">
        <f t="array" aca="1" ref="B155" ca="1">_FV(A155,"Ticker symbol",TRUE)</f>
        <v>LEG</v>
      </c>
      <c r="C155" s="217" cm="1">
        <f t="array" aca="1" ref="C155" ca="1">_FV(A155,"Change (%)",TRUE)</f>
        <v>3.32E-3</v>
      </c>
      <c r="D155" s="144" cm="1">
        <f t="array" aca="1" ref="D155" ca="1">_FV(A155,"Price")</f>
        <v>60.45</v>
      </c>
      <c r="E155" s="159">
        <f ca="1">AE155</f>
        <v>0.67129859387923907</v>
      </c>
      <c r="F155" s="321">
        <f ca="1">+Tabla2[[#This Row],[Rentab. Parcial]]</f>
        <v>-0.21727308040916726</v>
      </c>
      <c r="G155" s="321">
        <f ca="1">+Tabla2[[#This Row],[Rentab. Parcial2]]</f>
        <v>-0.26620538965768381</v>
      </c>
      <c r="H155" s="253">
        <f ca="1">+Tabla2[[#This Row],[Difer. Investing]]</f>
        <v>0.86319272125723723</v>
      </c>
      <c r="I155" s="79">
        <f>+Tabla2[[#This Row],[Objetivo div2]]</f>
        <v>101.03</v>
      </c>
      <c r="J155" s="75" cm="1">
        <f t="array" aca="1" ref="J155" ca="1">_FV(A155,"High")</f>
        <v>60.85</v>
      </c>
      <c r="K155" s="75" cm="1">
        <f t="array" aca="1" ref="K155" ca="1">_FV(A155,"Low")</f>
        <v>59.7</v>
      </c>
      <c r="L155" s="75" cm="1">
        <f t="array" aca="1" ref="L155" ca="1">_FV(Tabla2[[#This Row],[valor]],"52 week high",TRUE)</f>
        <v>77.95</v>
      </c>
      <c r="M155" s="75">
        <f ca="1">+Tabla2[[#This Row],[52 high]]*0.9</f>
        <v>70.155000000000001</v>
      </c>
      <c r="N155" s="75">
        <f ca="1">+Tabla2[[#This Row],[52 high]]*0.95</f>
        <v>74.052499999999995</v>
      </c>
      <c r="O155" s="75" cm="1">
        <f t="array" aca="1" ref="O155" ca="1">_FV(Tabla2[[#This Row],[valor]],"52 week low",TRUE)</f>
        <v>52.65</v>
      </c>
      <c r="P155" s="220">
        <f ca="1">+TODAY()-Tabla2[[#This Row],[F. compra]]</f>
        <v>722</v>
      </c>
      <c r="Q155" s="220">
        <f ca="1">GESTEP(Tabla2[[#This Row],[price]],Tabla2[[#This Row],[HIGH 10%]])</f>
        <v>0</v>
      </c>
      <c r="R155" s="220">
        <f ca="1">GESTEP(Tabla2[[#This Row],[price]],Tabla2[[#This Row],[HIGH 5%]])</f>
        <v>0</v>
      </c>
      <c r="S155" s="75" t="s">
        <v>75</v>
      </c>
      <c r="T155" s="110" t="s">
        <v>78</v>
      </c>
      <c r="U155" s="110" t="s">
        <v>72</v>
      </c>
      <c r="V155" s="16">
        <v>45418</v>
      </c>
      <c r="W155" s="16">
        <v>45418</v>
      </c>
      <c r="X155" s="80"/>
      <c r="Y155" s="79">
        <v>82.98</v>
      </c>
      <c r="Z155" s="79">
        <f>82.38-AB155</f>
        <v>77.22999999999999</v>
      </c>
      <c r="AA155" s="79">
        <f>+Tabla2[[#This Row],[Precio compra]]+Tabla2[[#This Row],[Div.]]</f>
        <v>82.38</v>
      </c>
      <c r="AB155" s="96">
        <v>5.15</v>
      </c>
      <c r="AC155" s="79">
        <f>106.18-AB155</f>
        <v>101.03</v>
      </c>
      <c r="AD155" s="79">
        <f>+Tabla2[[#This Row],[Objetivo div2]]+Tabla2[[#This Row],[Div.]]</f>
        <v>106.18</v>
      </c>
      <c r="AE155" s="159">
        <f ca="1">IF(Z155="-",+AC155/Y155-1,AC155/D155-1)</f>
        <v>0.67129859387923907</v>
      </c>
      <c r="AF155" s="81">
        <f>117.78-AB155</f>
        <v>112.63</v>
      </c>
      <c r="AG155" s="253">
        <f ca="1">IF(Z155="-",+AF155/D155-1,AF155/D155-1)</f>
        <v>0.86319272125723723</v>
      </c>
      <c r="AH155" s="81">
        <f>71.38-AB155</f>
        <v>66.22999999999999</v>
      </c>
      <c r="AI155" s="147">
        <f ca="1">IF(Z155="-",AH155/Y155-1,+AH155/D155-1)</f>
        <v>9.5616211745243707E-2</v>
      </c>
      <c r="AJ155" s="121">
        <f ca="1">IF(Z155="-","-",+(D155/Z155)-1)</f>
        <v>-0.21727308040916726</v>
      </c>
      <c r="AK155" s="120">
        <f ca="1">IF(AA155="-","-",+(D155/AA155)-1)</f>
        <v>-0.26620538965768381</v>
      </c>
      <c r="AM155" s="49" t="str">
        <f>IF(AL155=0,"-",+AL155/Z155-1)</f>
        <v>-</v>
      </c>
      <c r="AN155" s="28">
        <f ca="1">+D155/Y155-1</f>
        <v>-0.27151120751988433</v>
      </c>
      <c r="AO155" s="75">
        <f ca="1">VLOOKUP(Tabla2[[#This Row],[TCKR]],'2026'!$D$5:$AH$257,8,FALSE)</f>
        <v>133</v>
      </c>
      <c r="AP155" s="193">
        <f ca="1">VLOOKUP(Tabla2[[#This Row],[TCKR]],'2026'!$D$5:$AH$257,26,FALSE)</f>
        <v>-2353.0861411555916</v>
      </c>
      <c r="AQ155" s="5" cm="1">
        <f t="array" aca="1" ref="AQ155" ca="1">_FV(Tabla2[[#This Row],[valor]],"P/E",TRUE)</f>
        <v>3.0989</v>
      </c>
      <c r="AR155" s="4"/>
      <c r="AT155" s="193">
        <f ca="1">+Tabla2[[#This Row],[Titulos2]]*Tabla2[[#This Row],[Neto]]</f>
        <v>0</v>
      </c>
      <c r="AU155" s="28">
        <f>+Tabla2[[#This Row],[Neto]]/Tabla2[[#This Row],[Precio compra2]]</f>
        <v>0</v>
      </c>
    </row>
    <row r="156" spans="1:47" ht="16" customHeight="1" x14ac:dyDescent="0.2">
      <c r="A156" s="75" t="e" vm="124">
        <v>#VALUE!</v>
      </c>
      <c r="B156" s="75" t="str" cm="1">
        <f t="array" aca="1" ref="B156" ca="1">_FV(A156,"Ticker symbol",TRUE)</f>
        <v>NEXI</v>
      </c>
      <c r="C156" s="217" cm="1">
        <f t="array" aca="1" ref="C156" ca="1">_FV(A156,"Change (%)",TRUE)</f>
        <v>1.5207E-2</v>
      </c>
      <c r="D156" s="144" cm="1">
        <f t="array" aca="1" ref="D156" ca="1">_FV(A156,"Price")</f>
        <v>3.8719999999999999</v>
      </c>
      <c r="E156" s="159">
        <f ca="1">AE156</f>
        <v>0.68181818181818166</v>
      </c>
      <c r="F156" s="321">
        <f ca="1">+Tabla2[[#This Row],[Rentab. Parcial]]</f>
        <v>-0.321891418563923</v>
      </c>
      <c r="G156" s="321">
        <f ca="1">+Tabla2[[#This Row],[Rentab. Parcial2]]</f>
        <v>-0.35033557046979868</v>
      </c>
      <c r="H156" s="253">
        <f ca="1">+Tabla2[[#This Row],[Difer. Investing]]</f>
        <v>0.66838842975206614</v>
      </c>
      <c r="I156" s="79">
        <f>+Tabla2[[#This Row],[Objetivo div2]]</f>
        <v>6.5119999999999996</v>
      </c>
      <c r="J156" s="75" cm="1">
        <f t="array" aca="1" ref="J156" ca="1">_FV(A156,"High")</f>
        <v>3.8919999999999999</v>
      </c>
      <c r="K156" s="75" cm="1">
        <f t="array" aca="1" ref="K156" ca="1">_FV(A156,"Low")</f>
        <v>3.7</v>
      </c>
      <c r="L156" s="75" cm="1">
        <f t="array" aca="1" ref="L156" ca="1">_FV(Tabla2[[#This Row],[valor]],"52 week high",TRUE)</f>
        <v>5.71</v>
      </c>
      <c r="M156" s="75">
        <f ca="1">+Tabla2[[#This Row],[52 high]]*0.9</f>
        <v>5.1390000000000002</v>
      </c>
      <c r="N156" s="75">
        <f ca="1">+Tabla2[[#This Row],[52 high]]*0.95</f>
        <v>5.4245000000000001</v>
      </c>
      <c r="O156" s="75" cm="1">
        <f t="array" aca="1" ref="O156" ca="1">_FV(Tabla2[[#This Row],[valor]],"52 week low",TRUE)</f>
        <v>2.64</v>
      </c>
      <c r="P156" s="220">
        <f ca="1">+TODAY()-Tabla2[[#This Row],[F. compra]]</f>
        <v>554</v>
      </c>
      <c r="Q156" s="220">
        <f ca="1">GESTEP(Tabla2[[#This Row],[price]],Tabla2[[#This Row],[HIGH 10%]])</f>
        <v>0</v>
      </c>
      <c r="R156" s="220">
        <f ca="1">GESTEP(Tabla2[[#This Row],[price]],Tabla2[[#This Row],[HIGH 5%]])</f>
        <v>0</v>
      </c>
      <c r="S156" s="75" t="s">
        <v>75</v>
      </c>
      <c r="T156" s="110" t="s">
        <v>78</v>
      </c>
      <c r="U156" s="110" t="s">
        <v>72</v>
      </c>
      <c r="V156" s="16">
        <v>45583</v>
      </c>
      <c r="W156" s="16">
        <v>45586</v>
      </c>
      <c r="X156" s="80" t="s">
        <v>11</v>
      </c>
      <c r="Y156" s="79">
        <v>6.0220000000000002</v>
      </c>
      <c r="Z156" s="79">
        <f>5.96-Tabla2[[#This Row],[Div.]]</f>
        <v>5.71</v>
      </c>
      <c r="AA156" s="79">
        <f>+Tabla2[[#This Row],[Precio compra]]+Tabla2[[#This Row],[Div.]]</f>
        <v>5.96</v>
      </c>
      <c r="AB156" s="96">
        <v>0.25</v>
      </c>
      <c r="AC156" s="79">
        <f>6.762-Tabla2[[#This Row],[Div.]]</f>
        <v>6.5119999999999996</v>
      </c>
      <c r="AD156" s="79">
        <f>+Tabla2[[#This Row],[Objetivo div2]]+Tabla2[[#This Row],[Div.]]</f>
        <v>6.7619999999999996</v>
      </c>
      <c r="AE156" s="159">
        <f ca="1">IF(Z156="-",+AC156/Y156-1,AC156/D156-1)</f>
        <v>0.68181818181818166</v>
      </c>
      <c r="AF156" s="81">
        <v>6.46</v>
      </c>
      <c r="AG156" s="253">
        <f ca="1">IF(Z156="-",+AF156/D156-1,AF156/D156-1)</f>
        <v>0.66838842975206614</v>
      </c>
      <c r="AH156" s="81">
        <f>5.652-Tabla2[[#This Row],[Div.]]</f>
        <v>5.4020000000000001</v>
      </c>
      <c r="AI156" s="147">
        <f ca="1">IF(Z156="-",AH156/Y156-1,+AH156/D156-1)</f>
        <v>0.39514462809917372</v>
      </c>
      <c r="AJ156" s="121">
        <f ca="1">IF(Z156="-","-",+(D156/Z156)-1)</f>
        <v>-0.321891418563923</v>
      </c>
      <c r="AK156" s="120">
        <f ca="1">IF(AA156="-","-",+(D156/AA156)-1)</f>
        <v>-0.35033557046979868</v>
      </c>
      <c r="AM156" s="49" t="str">
        <f>IF(AL156=0,"-",+AL156/Z156-1)</f>
        <v>-</v>
      </c>
      <c r="AN156" s="28">
        <f ca="1">+D156/Y156-1</f>
        <v>-0.35702424443706415</v>
      </c>
      <c r="AO156" s="75">
        <f ca="1">VLOOKUP(Tabla2[[#This Row],[TCKR]],'2026'!$D$5:$AH$257,8,FALSE)</f>
        <v>2000</v>
      </c>
      <c r="AP156" s="193">
        <f ca="1">VLOOKUP(Tabla2[[#This Row],[TCKR]],'2026'!$D$5:$AH$257,26,FALSE)</f>
        <v>-3340.8491120727231</v>
      </c>
      <c r="AQ156" s="5" cm="1">
        <f t="array" aca="1" ref="AQ156" ca="1">_FV(Tabla2[[#This Row],[valor]],"P/E",TRUE)</f>
        <v>0</v>
      </c>
      <c r="AR156" s="4"/>
      <c r="AT156" s="193">
        <f ca="1">+Tabla2[[#This Row],[Titulos2]]*Tabla2[[#This Row],[Neto]]</f>
        <v>0</v>
      </c>
      <c r="AU156" s="28">
        <f>+Tabla2[[#This Row],[Neto]]/Tabla2[[#This Row],[Precio compra2]]</f>
        <v>0</v>
      </c>
    </row>
    <row r="157" spans="1:47" ht="16" customHeight="1" x14ac:dyDescent="0.2">
      <c r="A157" s="75" t="e" vm="183">
        <v>#VALUE!</v>
      </c>
      <c r="B157" s="75" t="str" cm="1">
        <f t="array" aca="1" ref="B157" ca="1">_FV(A157,"Ticker symbol",TRUE)</f>
        <v>VRLA</v>
      </c>
      <c r="C157" s="217" cm="1">
        <f t="array" aca="1" ref="C157" ca="1">_FV(A157,"Change (%)",TRUE)</f>
        <v>1.5523E-2</v>
      </c>
      <c r="D157" s="144" cm="1">
        <f t="array" aca="1" ref="D157" ca="1">_FV(A157,"Price")</f>
        <v>20.28</v>
      </c>
      <c r="E157" s="159">
        <f ca="1">AE157</f>
        <v>0.7026627218934911</v>
      </c>
      <c r="F157" s="321">
        <f ca="1">+Tabla2[[#This Row],[Rentab. Parcial]]</f>
        <v>-0.25468577728776187</v>
      </c>
      <c r="G157" s="321">
        <f ca="1">+Tabla2[[#This Row],[Rentab. Parcial2]]</f>
        <v>-0.3752310536044362</v>
      </c>
      <c r="H157" s="253">
        <f ca="1">+Tabla2[[#This Row],[Difer. Investing]]</f>
        <v>0.66765285996055224</v>
      </c>
      <c r="I157" s="79">
        <f>+Tabla2[[#This Row],[Objetivo div2]]</f>
        <v>34.53</v>
      </c>
      <c r="J157" s="75" cm="1">
        <f t="array" aca="1" ref="J157" ca="1">_FV(A157,"High")</f>
        <v>20.399999999999999</v>
      </c>
      <c r="K157" s="75" cm="1">
        <f t="array" aca="1" ref="K157" ca="1">_FV(A157,"Low")</f>
        <v>20</v>
      </c>
      <c r="L157" s="75" cm="1">
        <f t="array" aca="1" ref="L157" ca="1">_FV(Tabla2[[#This Row],[valor]],"52 week high",TRUE)</f>
        <v>29.92</v>
      </c>
      <c r="M157" s="75">
        <f ca="1">+Tabla2[[#This Row],[52 high]]*0.9</f>
        <v>26.928000000000001</v>
      </c>
      <c r="N157" s="75">
        <f ca="1">+Tabla2[[#This Row],[52 high]]*0.95</f>
        <v>28.423999999999999</v>
      </c>
      <c r="O157" s="75" cm="1">
        <f t="array" aca="1" ref="O157" ca="1">_FV(Tabla2[[#This Row],[valor]],"52 week low",TRUE)</f>
        <v>15.5</v>
      </c>
      <c r="P157" s="220">
        <f ca="1">+TODAY()-Tabla2[[#This Row],[F. compra]]</f>
        <v>1177</v>
      </c>
      <c r="Q157" s="220">
        <f ca="1">GESTEP(Tabla2[[#This Row],[price]],Tabla2[[#This Row],[HIGH 10%]])</f>
        <v>0</v>
      </c>
      <c r="R157" s="220">
        <f ca="1">GESTEP(Tabla2[[#This Row],[price]],Tabla2[[#This Row],[HIGH 5%]])</f>
        <v>0</v>
      </c>
      <c r="S157" s="75" t="s">
        <v>75</v>
      </c>
      <c r="T157" s="110" t="s">
        <v>78</v>
      </c>
      <c r="U157" s="110" t="s">
        <v>72</v>
      </c>
      <c r="V157" s="16">
        <v>44960</v>
      </c>
      <c r="W157" s="16">
        <v>44963</v>
      </c>
      <c r="X157" s="80"/>
      <c r="Y157" s="79">
        <f>34.06</f>
        <v>34.06</v>
      </c>
      <c r="Z157" s="79">
        <f>32.46-AB157</f>
        <v>27.21</v>
      </c>
      <c r="AA157" s="79">
        <f>+Tabla2[[#This Row],[Precio compra]]+Tabla2[[#This Row],[Div.]]</f>
        <v>32.46</v>
      </c>
      <c r="AB157" s="96">
        <v>5.25</v>
      </c>
      <c r="AC157" s="79">
        <f>39.78-AB157</f>
        <v>34.53</v>
      </c>
      <c r="AD157" s="79">
        <f>+Tabla2[[#This Row],[Objetivo div2]]+Tabla2[[#This Row],[Div.]]</f>
        <v>39.78</v>
      </c>
      <c r="AE157" s="159">
        <f ca="1">IF(Z157="-",+AC157/Y157-1,AC157/D157-1)</f>
        <v>0.7026627218934911</v>
      </c>
      <c r="AF157" s="81">
        <v>33.82</v>
      </c>
      <c r="AG157" s="253">
        <f ca="1">IF(Z157="-",+AF157/D157-1,AF157/D157-1)</f>
        <v>0.66765285996055224</v>
      </c>
      <c r="AH157" s="81">
        <f>28.98-AB157</f>
        <v>23.73</v>
      </c>
      <c r="AI157" s="147">
        <f ca="1">IF(Z157="-",AH157/Y157-1,+AH157/D157-1)</f>
        <v>0.1701183431952662</v>
      </c>
      <c r="AJ157" s="121">
        <f ca="1">IF(Z157="-","-",+(D157/Z157)-1)</f>
        <v>-0.25468577728776187</v>
      </c>
      <c r="AK157" s="120">
        <f ca="1">IF(AA157="-","-",+(D157/AA157)-1)</f>
        <v>-0.3752310536044362</v>
      </c>
      <c r="AM157" s="49" t="str">
        <f>IF(AL157=0,"-",+AL157/Z157-1)</f>
        <v>-</v>
      </c>
      <c r="AN157" s="28">
        <f ca="1">+D157/Y157-1</f>
        <v>-0.40458015267175573</v>
      </c>
      <c r="AO157" s="75">
        <f ca="1">VLOOKUP(Tabla2[[#This Row],[TCKR]],'2026'!$D$5:$AH$257,8,FALSE)</f>
        <v>295</v>
      </c>
      <c r="AP157" s="193">
        <f ca="1">VLOOKUP(Tabla2[[#This Row],[TCKR]],'2026'!$D$5:$AH$257,26,FALSE)</f>
        <v>-2918.1858693935137</v>
      </c>
      <c r="AQ157" s="5" cm="1">
        <f t="array" aca="1" ref="AQ157" ca="1">_FV(Tabla2[[#This Row],[valor]],"P/E",TRUE)</f>
        <v>25.962</v>
      </c>
      <c r="AR157" s="4"/>
      <c r="AT157" s="193">
        <f ca="1">+Tabla2[[#This Row],[Titulos2]]*Tabla2[[#This Row],[Neto]]</f>
        <v>0</v>
      </c>
      <c r="AU157" s="28">
        <f>+Tabla2[[#This Row],[Neto]]/Tabla2[[#This Row],[Precio compra2]]</f>
        <v>0</v>
      </c>
    </row>
    <row r="158" spans="1:47" ht="16" customHeight="1" x14ac:dyDescent="0.2">
      <c r="A158" s="323" t="e" vm="72">
        <v>#VALUE!</v>
      </c>
      <c r="B158" s="75" t="str" cm="1">
        <f t="array" aca="1" ref="B158" ca="1">_FV(A158,"Ticker symbol",TRUE)</f>
        <v>FTV</v>
      </c>
      <c r="C158" s="217" cm="1">
        <f t="array" aca="1" ref="C158" ca="1">_FV(A158,"Change (%)",TRUE)</f>
        <v>1.506E-2</v>
      </c>
      <c r="D158" s="144" cm="1">
        <f t="array" aca="1" ref="D158" ca="1">_FV(A158,"Price")</f>
        <v>62.01</v>
      </c>
      <c r="E158" s="159">
        <f ca="1">AE158</f>
        <v>0.69311401386873106</v>
      </c>
      <c r="F158" s="321">
        <f ca="1">+Tabla2[[#This Row],[Rentab. Parcial]]</f>
        <v>-0.24378048780487804</v>
      </c>
      <c r="G158" s="321">
        <f ca="1">+Tabla2[[#This Row],[Rentab. Parcial2]]</f>
        <v>-0.245253164556962</v>
      </c>
      <c r="H158" s="253">
        <f ca="1">+Tabla2[[#This Row],[Difer. Investing]]</f>
        <v>0.87002096436058718</v>
      </c>
      <c r="I158" s="79">
        <f>+Tabla2[[#This Row],[Objetivo div2]]</f>
        <v>104.99000000000001</v>
      </c>
      <c r="J158" s="75" cm="1">
        <f t="array" aca="1" ref="J158" ca="1">_FV(A158,"High")</f>
        <v>62.28</v>
      </c>
      <c r="K158" s="75" cm="1">
        <f t="array" aca="1" ref="K158" ca="1">_FV(A158,"Low")</f>
        <v>61.12</v>
      </c>
      <c r="L158" s="75" cm="1">
        <f t="array" aca="1" ref="L158" ca="1">_FV(Tabla2[[#This Row],[valor]],"52 week high",TRUE)</f>
        <v>62.42</v>
      </c>
      <c r="M158" s="75">
        <f ca="1">+Tabla2[[#This Row],[52 high]]*0.9</f>
        <v>56.178000000000004</v>
      </c>
      <c r="N158" s="75">
        <f ca="1">+Tabla2[[#This Row],[52 high]]*0.95</f>
        <v>59.298999999999999</v>
      </c>
      <c r="O158" s="75" cm="1">
        <f t="array" aca="1" ref="O158" ca="1">_FV(Tabla2[[#This Row],[valor]],"52 week low",TRUE)</f>
        <v>46.34</v>
      </c>
      <c r="P158" s="220">
        <f ca="1">+TODAY()-Tabla2[[#This Row],[F. compra]]</f>
        <v>813</v>
      </c>
      <c r="Q158" s="220">
        <f ca="1">GESTEP(Tabla2[[#This Row],[price]],Tabla2[[#This Row],[HIGH 10%]])</f>
        <v>1</v>
      </c>
      <c r="R158" s="220">
        <f ca="1">GESTEP(Tabla2[[#This Row],[price]],Tabla2[[#This Row],[HIGH 5%]])</f>
        <v>1</v>
      </c>
      <c r="S158" s="75" t="s">
        <v>75</v>
      </c>
      <c r="T158" s="110" t="s">
        <v>78</v>
      </c>
      <c r="U158" s="110" t="s">
        <v>88</v>
      </c>
      <c r="V158" s="16">
        <v>45327</v>
      </c>
      <c r="W158" s="16">
        <v>45327</v>
      </c>
      <c r="X158" s="80"/>
      <c r="Y158" s="79">
        <v>83.21</v>
      </c>
      <c r="Z158" s="79">
        <f>82.16-AB158</f>
        <v>82</v>
      </c>
      <c r="AA158" s="79">
        <f>+Tabla2[[#This Row],[Precio compra]]+Tabla2[[#This Row],[Div.]]</f>
        <v>82.16</v>
      </c>
      <c r="AB158" s="96">
        <v>0.16</v>
      </c>
      <c r="AC158" s="79">
        <f>105.15-AB158</f>
        <v>104.99000000000001</v>
      </c>
      <c r="AD158" s="79">
        <f>+Tabla2[[#This Row],[Objetivo div2]]+Tabla2[[#This Row],[Div.]]</f>
        <v>105.15</v>
      </c>
      <c r="AE158" s="159">
        <f ca="1">IF(Z158="-",+AC158/Y158-1,AC158/D158-1)</f>
        <v>0.69311401386873106</v>
      </c>
      <c r="AF158" s="81">
        <f>116.12-AB158</f>
        <v>115.96000000000001</v>
      </c>
      <c r="AG158" s="253">
        <f ca="1">IF(Z158="-",+AF158/D158-1,AF158/D158-1)</f>
        <v>0.87002096436058718</v>
      </c>
      <c r="AH158" s="81">
        <f>72.24-AB158</f>
        <v>72.08</v>
      </c>
      <c r="AI158" s="147">
        <f ca="1">IF(Z158="-",AH158/Y158-1,+AH158/D158-1)</f>
        <v>0.16239316239316248</v>
      </c>
      <c r="AJ158" s="121">
        <f ca="1">IF(Z158="-","-",+(D158/Z158)-1)</f>
        <v>-0.24378048780487804</v>
      </c>
      <c r="AK158" s="120">
        <f ca="1">IF(AA158="-","-",+(D158/AA158)-1)</f>
        <v>-0.245253164556962</v>
      </c>
      <c r="AM158" s="49" t="str">
        <f>IF(AL158=0,"-",+AL158/Z158-1)</f>
        <v>-</v>
      </c>
      <c r="AN158" s="28">
        <f ca="1">+D158/Y158-1</f>
        <v>-0.25477707006369421</v>
      </c>
      <c r="AO158" s="75">
        <f ca="1">VLOOKUP(Tabla2[[#This Row],[TCKR]],'2026'!$D$5:$AH$257,8,FALSE)</f>
        <v>100</v>
      </c>
      <c r="AP158" s="193">
        <f ca="1">VLOOKUP(Tabla2[[#This Row],[TCKR]],'2026'!$D$5:$AH$257,26,FALSE)</f>
        <v>-688.12035715007335</v>
      </c>
      <c r="AQ158" s="5" cm="1">
        <f t="array" aca="1" ref="AQ158" ca="1">_FV(Tabla2[[#This Row],[valor]],"P/E",TRUE)</f>
        <v>31.447900000000001</v>
      </c>
      <c r="AR158" s="4"/>
      <c r="AT158" s="193">
        <f ca="1">+Tabla2[[#This Row],[Titulos2]]*Tabla2[[#This Row],[Neto]]</f>
        <v>0</v>
      </c>
      <c r="AU158" s="28">
        <f>+Tabla2[[#This Row],[Neto]]/Tabla2[[#This Row],[Precio compra2]]</f>
        <v>0</v>
      </c>
    </row>
    <row r="159" spans="1:47" ht="16" customHeight="1" x14ac:dyDescent="0.2">
      <c r="A159" s="324" t="e" vm="86">
        <v>#VALUE!</v>
      </c>
      <c r="B159" s="75" t="str" cm="1">
        <f t="array" aca="1" ref="B159" ca="1">_FV(A159,"Ticker symbol",TRUE)</f>
        <v>HRMY</v>
      </c>
      <c r="C159" s="217" cm="1">
        <f t="array" aca="1" ref="C159" ca="1">_FV(A159,"Change (%)",TRUE)</f>
        <v>8.1169999999999992E-3</v>
      </c>
      <c r="D159" s="144" cm="1">
        <f t="array" aca="1" ref="D159" ca="1">_FV(A159,"Price")</f>
        <v>31.05</v>
      </c>
      <c r="E159" s="307">
        <f ca="1">AE159</f>
        <v>0.7265700483091786</v>
      </c>
      <c r="F159" s="321">
        <f ca="1">+Tabla2[[#This Row],[Rentab. Parcial]]</f>
        <v>-9.606986899563319E-2</v>
      </c>
      <c r="G159" s="321">
        <f ca="1">+Tabla2[[#This Row],[Rentab. Parcial2]]</f>
        <v>-9.606986899563319E-2</v>
      </c>
      <c r="H159" s="253">
        <f ca="1">+Tabla2[[#This Row],[Difer. Investing]]</f>
        <v>0.55233494363929148</v>
      </c>
      <c r="I159" s="79">
        <f>+Tabla2[[#This Row],[Objetivo div2]]</f>
        <v>53.61</v>
      </c>
      <c r="J159" s="75" cm="1">
        <f t="array" aca="1" ref="J159" ca="1">_FV(A159,"High")</f>
        <v>31.72</v>
      </c>
      <c r="K159" s="75" cm="1">
        <f t="array" aca="1" ref="K159" ca="1">_FV(A159,"Low")</f>
        <v>30.454999999999998</v>
      </c>
      <c r="L159" s="75" cm="1">
        <f t="array" aca="1" ref="L159" ca="1">_FV(Tabla2[[#This Row],[valor]],"52 week high",TRUE)</f>
        <v>40.869999999999997</v>
      </c>
      <c r="M159" s="75">
        <f ca="1">+L159*0.9</f>
        <v>36.783000000000001</v>
      </c>
      <c r="N159" s="75">
        <f ca="1">+L159*0.95</f>
        <v>38.826499999999996</v>
      </c>
      <c r="O159" s="75" cm="1">
        <f t="array" aca="1" ref="O159" ca="1">_FV(A159,"52 week low",TRUE)</f>
        <v>25.52</v>
      </c>
      <c r="P159" s="220"/>
      <c r="Q159" s="220">
        <f ca="1">GESTEP(D159,M159)</f>
        <v>0</v>
      </c>
      <c r="R159" s="220">
        <f ca="1">GESTEP(D159,N159)</f>
        <v>0</v>
      </c>
      <c r="S159" s="75" t="s">
        <v>75</v>
      </c>
      <c r="T159" s="110" t="s">
        <v>78</v>
      </c>
      <c r="U159" s="110" t="s">
        <v>88</v>
      </c>
      <c r="V159" s="16">
        <v>45978</v>
      </c>
      <c r="W159" s="16">
        <v>45978</v>
      </c>
      <c r="X159" s="80" t="s">
        <v>290</v>
      </c>
      <c r="Y159" s="79">
        <v>34.42</v>
      </c>
      <c r="Z159" s="79">
        <v>34.35</v>
      </c>
      <c r="AA159" s="79">
        <v>34.35</v>
      </c>
      <c r="AB159" s="79"/>
      <c r="AC159" s="79">
        <v>53.61</v>
      </c>
      <c r="AD159" s="79">
        <f>+Tabla2[[#This Row],[Objetivo div2]]+Tabla2[[#This Row],[Div.]]</f>
        <v>53.61</v>
      </c>
      <c r="AE159" s="307">
        <f ca="1">IF(Z159="-",+AC159/Y159-1,AC159/D159-1)</f>
        <v>0.7265700483091786</v>
      </c>
      <c r="AF159" s="76">
        <v>48.2</v>
      </c>
      <c r="AG159" s="253">
        <f ca="1">IF(Z159="-",+AF159/D159-1,AF159/D159-1)</f>
        <v>0.55233494363929148</v>
      </c>
      <c r="AH159" s="76">
        <v>27.64</v>
      </c>
      <c r="AI159" s="147">
        <f ca="1">IF(Z159="-",AH159/Y159-1,+AH159/D159-1)</f>
        <v>-0.10982286634460547</v>
      </c>
      <c r="AJ159" s="121">
        <f ca="1">IF(Z159="-","-",+(D159/Z159)-1)</f>
        <v>-9.606986899563319E-2</v>
      </c>
      <c r="AK159" s="120">
        <f ca="1">IF(AA159="-","-",+(D159/AA159)-1)</f>
        <v>-9.606986899563319E-2</v>
      </c>
      <c r="AM159" s="49" t="str">
        <f>IF(AL159=0,"-",+AL159/Z159-1)</f>
        <v>-</v>
      </c>
      <c r="AN159" s="28">
        <f ca="1">+D159/Y159-1</f>
        <v>-9.7908192911098202E-2</v>
      </c>
      <c r="AO159" s="75">
        <f ca="1">VLOOKUP(Tabla2[[#This Row],[TCKR]],'2026'!$D$5:$AH$257,8,FALSE)</f>
        <v>400</v>
      </c>
      <c r="AP159" s="193">
        <f ca="1">VLOOKUP(Tabla2[[#This Row],[TCKR]],'2026'!$D$5:$AH$257,26,FALSE)</f>
        <v>-979.2670367513291</v>
      </c>
      <c r="AQ159" s="5" cm="1">
        <f t="array" aca="1" ref="AQ159" ca="1">_FV(Tabla2[[#This Row],[valor]],"P/E",TRUE)</f>
        <v>11.3508</v>
      </c>
      <c r="AR159" s="4"/>
      <c r="AT159" s="193">
        <f ca="1">+Tabla2[[#This Row],[Titulos2]]*Tabla2[[#This Row],[Neto]]</f>
        <v>0</v>
      </c>
      <c r="AU159" s="28">
        <f>+Tabla2[[#This Row],[Neto]]/Tabla2[[#This Row],[Precio compra2]]</f>
        <v>0</v>
      </c>
    </row>
    <row r="160" spans="1:47" ht="16" customHeight="1" x14ac:dyDescent="0.2">
      <c r="A160" s="75" t="e" vm="165">
        <v>#VALUE!</v>
      </c>
      <c r="B160" s="75" t="str" cm="1">
        <f t="array" aca="1" ref="B160" ca="1">_FV(A160,"Ticker symbol",TRUE)</f>
        <v>SY1</v>
      </c>
      <c r="C160" s="217" cm="1">
        <f t="array" aca="1" ref="C160" ca="1">_FV(A160,"Change (%)",TRUE)</f>
        <v>-6.7190000000000001E-3</v>
      </c>
      <c r="D160" s="144" cm="1">
        <f t="array" aca="1" ref="D160" ca="1">_FV(A160,"Price")</f>
        <v>73.92</v>
      </c>
      <c r="E160" s="159">
        <f ca="1">AE160</f>
        <v>0.71130952380952372</v>
      </c>
      <c r="F160" s="321">
        <f ca="1">+Tabla2[[#This Row],[Rentab. Parcial]]</f>
        <v>-0.26264339152119698</v>
      </c>
      <c r="G160" s="321">
        <f ca="1">+Tabla2[[#This Row],[Rentab. Parcial2]]</f>
        <v>-0.27136520453425328</v>
      </c>
      <c r="H160" s="253">
        <f ca="1">+Tabla2[[#This Row],[Difer. Investing]]</f>
        <v>0.33847402597402598</v>
      </c>
      <c r="I160" s="79">
        <f>+Tabla2[[#This Row],[Objetivo div2]]</f>
        <v>126.5</v>
      </c>
      <c r="J160" s="75" cm="1">
        <f t="array" aca="1" ref="J160" ca="1">_FV(A160,"High")</f>
        <v>73.92</v>
      </c>
      <c r="K160" s="75" cm="1">
        <f t="array" aca="1" ref="K160" ca="1">_FV(A160,"Low")</f>
        <v>73.400000000000006</v>
      </c>
      <c r="L160" s="75" cm="1">
        <f t="array" aca="1" ref="L160" ca="1">_FV(Tabla2[[#This Row],[valor]],"52 week high",TRUE)</f>
        <v>132.44999999999999</v>
      </c>
      <c r="M160" s="75">
        <f ca="1">+L160*0.9</f>
        <v>119.205</v>
      </c>
      <c r="N160" s="75">
        <f ca="1">+L160*0.95</f>
        <v>125.82749999999999</v>
      </c>
      <c r="O160" s="75" cm="1">
        <f t="array" aca="1" ref="O160" ca="1">_FV(A160,"52 week low",TRUE)</f>
        <v>61</v>
      </c>
      <c r="P160" s="220">
        <f ca="1">+TODAY()-Tabla2[[#This Row],[F. compra]]</f>
        <v>361</v>
      </c>
      <c r="Q160" s="220">
        <f ca="1">GESTEP(D160,M160)</f>
        <v>0</v>
      </c>
      <c r="R160" s="220">
        <f ca="1">GESTEP(D160,N160)</f>
        <v>0</v>
      </c>
      <c r="S160" s="75" t="s">
        <v>75</v>
      </c>
      <c r="T160" s="110" t="s">
        <v>78</v>
      </c>
      <c r="U160" s="110" t="s">
        <v>72</v>
      </c>
      <c r="V160" s="16">
        <v>45778</v>
      </c>
      <c r="W160" s="16">
        <v>45779</v>
      </c>
      <c r="X160" s="80"/>
      <c r="Y160" s="79">
        <v>101.55</v>
      </c>
      <c r="Z160" s="79">
        <f>101.45-Tabla2[[#This Row],[Div.]]</f>
        <v>100.25</v>
      </c>
      <c r="AA160" s="79">
        <f>+Tabla2[[#This Row],[Precio compra]]+Tabla2[[#This Row],[Div.]]</f>
        <v>101.45</v>
      </c>
      <c r="AB160" s="96">
        <v>1.2</v>
      </c>
      <c r="AC160" s="79">
        <f>127.7-Tabla2[[#This Row],[Div.]]</f>
        <v>126.5</v>
      </c>
      <c r="AD160" s="79">
        <f>+Tabla2[[#This Row],[Objetivo div2]]+Tabla2[[#This Row],[Div.]]</f>
        <v>127.7</v>
      </c>
      <c r="AE160" s="159">
        <f ca="1">IF(Z160="-",+AC160/Y160-1,AC160/D160-1)</f>
        <v>0.71130952380952372</v>
      </c>
      <c r="AF160" s="81">
        <v>98.94</v>
      </c>
      <c r="AG160" s="253">
        <f ca="1">IF(Z160="-",+AF160/D160-1,AF160/D160-1)</f>
        <v>0.33847402597402598</v>
      </c>
      <c r="AH160" s="81">
        <f>88.48-Tabla2[[#This Row],[Div.]]</f>
        <v>87.28</v>
      </c>
      <c r="AI160" s="147">
        <f ca="1">IF(Z160="-",AH160/Y160-1,+AH160/D160-1)</f>
        <v>0.18073593073593064</v>
      </c>
      <c r="AJ160" s="121">
        <f ca="1">IF(Z160="-","-",+(D160/Z160)-1)</f>
        <v>-0.26264339152119698</v>
      </c>
      <c r="AK160" s="120">
        <f ca="1">IF(AA160="-","-",+(D160/AA160)-1)</f>
        <v>-0.27136520453425328</v>
      </c>
      <c r="AM160" s="49" t="str">
        <f>IF(AL160=0,"-",+AL160/Z160-1)</f>
        <v>-</v>
      </c>
      <c r="AN160" s="28">
        <f ca="1">+D160/Y160-1</f>
        <v>-0.27208271787296889</v>
      </c>
      <c r="AO160" s="75">
        <f ca="1">VLOOKUP(Tabla2[[#This Row],[TCKR]],'2026'!$D$5:$AH$257,8,FALSE)</f>
        <v>100</v>
      </c>
      <c r="AP160" s="193">
        <f ca="1">VLOOKUP(Tabla2[[#This Row],[TCKR]],'2026'!$D$5:$AH$257,26,FALSE)</f>
        <v>-2197.4695791566328</v>
      </c>
      <c r="AQ160" s="5" cm="1">
        <f t="array" aca="1" ref="AQ160" ca="1">_FV(Tabla2[[#This Row],[valor]],"P/E",TRUE)</f>
        <v>41.5</v>
      </c>
      <c r="AR160" s="4"/>
      <c r="AT160" s="193">
        <f ca="1">+Tabla2[[#This Row],[Titulos2]]*Tabla2[[#This Row],[Neto]]</f>
        <v>0</v>
      </c>
      <c r="AU160" s="28">
        <f>+Tabla2[[#This Row],[Neto]]/Tabla2[[#This Row],[Precio compra2]]</f>
        <v>0</v>
      </c>
    </row>
    <row r="161" spans="1:47" ht="16" customHeight="1" x14ac:dyDescent="0.2">
      <c r="A161" s="324" t="e" vm="172">
        <v>#VALUE!</v>
      </c>
      <c r="B161" s="75" t="str" cm="1">
        <f t="array" aca="1" ref="B161" ca="1">_FV(A161,"Ticker symbol",TRUE)</f>
        <v>GT</v>
      </c>
      <c r="C161" s="217" cm="1">
        <f t="array" aca="1" ref="C161" ca="1">_FV(A161,"Change (%)",TRUE)</f>
        <v>1.1331000000000001E-2</v>
      </c>
      <c r="D161" s="144" cm="1">
        <f t="array" aca="1" ref="D161" ca="1">_FV(A161,"Price")</f>
        <v>7.14</v>
      </c>
      <c r="E161" s="307">
        <f ca="1">AE161</f>
        <v>0.75490196078431371</v>
      </c>
      <c r="F161" s="321">
        <f ca="1">+Tabla2[[#This Row],[Rentab. Parcial]]</f>
        <v>-0.1811926605504588</v>
      </c>
      <c r="G161" s="321">
        <f ca="1">+Tabla2[[#This Row],[Rentab. Parcial2]]</f>
        <v>-0.1811926605504588</v>
      </c>
      <c r="H161" s="253">
        <f ca="1">+Tabla2[[#This Row],[Difer. Investing]]</f>
        <v>0.33193277310924363</v>
      </c>
      <c r="I161" s="79">
        <f>+Tabla2[[#This Row],[Objetivo div2]]</f>
        <v>12.53</v>
      </c>
      <c r="J161" s="75" cm="1">
        <f t="array" aca="1" ref="J161" ca="1">_FV(A161,"High")</f>
        <v>7.26</v>
      </c>
      <c r="K161" s="75" cm="1">
        <f t="array" aca="1" ref="K161" ca="1">_FV(A161,"Low")</f>
        <v>7.07</v>
      </c>
      <c r="L161" s="75" cm="1">
        <f t="array" aca="1" ref="L161" ca="1">_FV(Tabla2[[#This Row],[valor]],"52 week high",TRUE)</f>
        <v>12.03</v>
      </c>
      <c r="M161" s="75">
        <f ca="1">+L161*0.9</f>
        <v>10.827</v>
      </c>
      <c r="N161" s="75">
        <f ca="1">+L161*0.95</f>
        <v>11.4285</v>
      </c>
      <c r="O161" s="75" cm="1">
        <f t="array" aca="1" ref="O161" ca="1">_FV(A161,"52 week low",TRUE)</f>
        <v>6.14</v>
      </c>
      <c r="P161" s="220">
        <f ca="1">+TODAY()-Tabla2[[#This Row],[F. compra]]</f>
        <v>147</v>
      </c>
      <c r="Q161" s="220">
        <f ca="1">GESTEP(D161,M161)</f>
        <v>0</v>
      </c>
      <c r="R161" s="220">
        <f ca="1">GESTEP(D161,N161)</f>
        <v>0</v>
      </c>
      <c r="S161" s="75" t="s">
        <v>75</v>
      </c>
      <c r="T161" s="110" t="s">
        <v>78</v>
      </c>
      <c r="U161" s="110" t="s">
        <v>88</v>
      </c>
      <c r="V161" s="16">
        <v>45992</v>
      </c>
      <c r="W161" s="16">
        <v>45993</v>
      </c>
      <c r="X161" s="80" t="s">
        <v>298</v>
      </c>
      <c r="Y161" s="79">
        <v>8.77</v>
      </c>
      <c r="Z161" s="79">
        <v>8.7200000000000006</v>
      </c>
      <c r="AA161" s="79">
        <v>8.7200000000000006</v>
      </c>
      <c r="AB161" s="79"/>
      <c r="AC161" s="79">
        <v>12.53</v>
      </c>
      <c r="AD161" s="79">
        <f>+Tabla2[[#This Row],[Objetivo div2]]+Tabla2[[#This Row],[Div.]]</f>
        <v>12.53</v>
      </c>
      <c r="AE161" s="307">
        <f ca="1">IF(Z161="-",+AC161/Y161-1,AC161/D161-1)</f>
        <v>0.75490196078431371</v>
      </c>
      <c r="AF161" s="76">
        <v>9.51</v>
      </c>
      <c r="AG161" s="253">
        <f ca="1">IF(Z161="-",+AF161/D161-1,AF161/D161-1)</f>
        <v>0.33193277310924363</v>
      </c>
      <c r="AH161" s="76">
        <v>7.38</v>
      </c>
      <c r="AI161" s="147">
        <f ca="1">IF(Z161="-",AH161/Y161-1,+AH161/D161-1)</f>
        <v>3.3613445378151363E-2</v>
      </c>
      <c r="AJ161" s="121">
        <f ca="1">IF(Z161="-","-",+(D161/Z161)-1)</f>
        <v>-0.1811926605504588</v>
      </c>
      <c r="AK161" s="120">
        <f ca="1">IF(AA161="-","-",+(D161/AA161)-1)</f>
        <v>-0.1811926605504588</v>
      </c>
      <c r="AM161" s="49" t="str">
        <f>IF(AL161=0,"-",+AL161/Z161-1)</f>
        <v>-</v>
      </c>
      <c r="AN161" s="28">
        <f ca="1">+D161/Y161-1</f>
        <v>-0.18586088939566703</v>
      </c>
      <c r="AO161" s="75">
        <f ca="1">VLOOKUP(Tabla2[[#This Row],[TCKR]],'2026'!$D$5:$AH$257,8,FALSE)</f>
        <v>1222</v>
      </c>
      <c r="AP161" s="193">
        <f ca="1">VLOOKUP(Tabla2[[#This Row],[TCKR]],'2026'!$D$5:$AH$257,26,FALSE)</f>
        <v>-1363.2007306939756</v>
      </c>
      <c r="AQ161" s="5" cm="1">
        <f t="array" aca="1" ref="AQ161" ca="1">_FV(Tabla2[[#This Row],[valor]],"P/E",TRUE)</f>
        <v>0</v>
      </c>
      <c r="AR161" s="4"/>
      <c r="AT161" s="193">
        <f ca="1">+Tabla2[[#This Row],[Titulos2]]*Tabla2[[#This Row],[Neto]]</f>
        <v>0</v>
      </c>
      <c r="AU161" s="28">
        <f>+Tabla2[[#This Row],[Neto]]/Tabla2[[#This Row],[Precio compra2]]</f>
        <v>0</v>
      </c>
    </row>
    <row r="162" spans="1:47" ht="16" customHeight="1" x14ac:dyDescent="0.2">
      <c r="A162" s="75" t="e" vm="235">
        <v>#VALUE!</v>
      </c>
      <c r="B162" s="75" t="str" cm="1">
        <f t="array" aca="1" ref="B162" ca="1">_FV(A162,"Ticker symbol",TRUE)</f>
        <v>SHL</v>
      </c>
      <c r="C162" s="217" cm="1">
        <f t="array" aca="1" ref="C162" ca="1">_FV(A162,"Change (%)",TRUE)</f>
        <v>3.9509999999999997E-3</v>
      </c>
      <c r="D162" s="144" cm="1">
        <f t="array" aca="1" ref="D162" ca="1">_FV(A162,"Price")</f>
        <v>35.57</v>
      </c>
      <c r="E162" s="159">
        <f ca="1">AE162</f>
        <v>0.7466966544841156</v>
      </c>
      <c r="F162" s="321">
        <f ca="1">+Tabla2[[#This Row],[Rentab. Parcial]]</f>
        <v>-0.282718289977818</v>
      </c>
      <c r="G162" s="321">
        <f ca="1">+Tabla2[[#This Row],[Rentab. Parcial2]]</f>
        <v>-0.282718289977818</v>
      </c>
      <c r="H162" s="253">
        <f ca="1">+Tabla2[[#This Row],[Difer. Investing]]</f>
        <v>0.58588698341298828</v>
      </c>
      <c r="I162" s="79">
        <f>+Tabla2[[#This Row],[Objetivo div2]]</f>
        <v>62.129999999999995</v>
      </c>
      <c r="J162" s="75" cm="1">
        <f t="array" aca="1" ref="J162" ca="1">_FV(A162,"High")</f>
        <v>35.74</v>
      </c>
      <c r="K162" s="75" cm="1">
        <f t="array" aca="1" ref="K162" ca="1">_FV(A162,"Low")</f>
        <v>35.26</v>
      </c>
      <c r="L162" s="75" cm="1">
        <f t="array" aca="1" ref="L162" ca="1">_FV(Tabla2[[#This Row],[valor]],"52 week high",TRUE)</f>
        <v>50</v>
      </c>
      <c r="M162" s="75">
        <f ca="1">+Tabla2[[#This Row],[52 high]]*0.9</f>
        <v>45</v>
      </c>
      <c r="N162" s="75">
        <f ca="1">+Tabla2[[#This Row],[52 high]]*0.95</f>
        <v>47.5</v>
      </c>
      <c r="O162" s="75" cm="1">
        <f t="array" aca="1" ref="O162" ca="1">_FV(Tabla2[[#This Row],[valor]],"52 week low",TRUE)</f>
        <v>35.200000000000003</v>
      </c>
      <c r="P162" s="220">
        <f ca="1">+TODAY()-Tabla2[[#This Row],[F. compra]]</f>
        <v>806</v>
      </c>
      <c r="Q162" s="220">
        <f ca="1">GESTEP(Tabla2[[#This Row],[price]],Tabla2[[#This Row],[HIGH 10%]])</f>
        <v>0</v>
      </c>
      <c r="R162" s="220">
        <f ca="1">GESTEP(Tabla2[[#This Row],[price]],Tabla2[[#This Row],[HIGH 5%]])</f>
        <v>0</v>
      </c>
      <c r="S162" s="75" t="s">
        <v>75</v>
      </c>
      <c r="T162" s="110" t="s">
        <v>78</v>
      </c>
      <c r="U162" s="110" t="s">
        <v>26</v>
      </c>
      <c r="V162" s="16">
        <v>45334</v>
      </c>
      <c r="W162" s="16">
        <v>45334</v>
      </c>
      <c r="X162" s="80"/>
      <c r="Y162" s="79">
        <v>54.28</v>
      </c>
      <c r="Z162" s="79">
        <f>50.54-0.95</f>
        <v>49.589999999999996</v>
      </c>
      <c r="AA162" s="79">
        <f>+Tabla2[[#This Row],[Precio compra]]+Tabla2[[#This Row],[Div.]]</f>
        <v>49.589999999999996</v>
      </c>
      <c r="AB162" s="96"/>
      <c r="AC162" s="79">
        <f>63.08-0.95</f>
        <v>62.129999999999995</v>
      </c>
      <c r="AD162" s="79">
        <f>+Tabla2[[#This Row],[Objetivo div2]]+Tabla2[[#This Row],[Div.]]</f>
        <v>62.129999999999995</v>
      </c>
      <c r="AE162" s="159">
        <f ca="1">IF(Z162="-",+AC162/Y162-1,AC162/D162-1)</f>
        <v>0.7466966544841156</v>
      </c>
      <c r="AF162" s="81">
        <v>56.41</v>
      </c>
      <c r="AG162" s="253">
        <f ca="1">IF(Z162="-",+AF162/D162-1,AF162/D162-1)</f>
        <v>0.58588698341298828</v>
      </c>
      <c r="AH162" s="81">
        <f>49.88-0.95</f>
        <v>48.93</v>
      </c>
      <c r="AI162" s="147">
        <f ca="1">IF(Z162="-",AH162/Y162-1,+AH162/D162-1)</f>
        <v>0.37559741355074494</v>
      </c>
      <c r="AJ162" s="121">
        <f ca="1">IF(Z162="-","-",+(D162/Z162)-1)</f>
        <v>-0.282718289977818</v>
      </c>
      <c r="AK162" s="120">
        <f ca="1">IF(AA162="-","-",+(D162/AA162)-1)</f>
        <v>-0.282718289977818</v>
      </c>
      <c r="AM162" s="49" t="str">
        <f>IF(AL162=0,"-",+AL162/Z162-1)</f>
        <v>-</v>
      </c>
      <c r="AN162" s="28">
        <f ca="1">+D162/Y162-1</f>
        <v>-0.34469417833456151</v>
      </c>
      <c r="AO162" s="75">
        <f ca="1">VLOOKUP(Tabla2[[#This Row],[TCKR]],'2026'!$D$5:$AH$257,8,FALSE)</f>
        <v>180</v>
      </c>
      <c r="AP162" s="193">
        <f ca="1">VLOOKUP(Tabla2[[#This Row],[TCKR]],'2026'!$D$5:$AH$257,26,FALSE)</f>
        <v>-2162.8600259142527</v>
      </c>
      <c r="AQ162" s="5" cm="1">
        <f t="array" aca="1" ref="AQ162" ca="1">_FV(Tabla2[[#This Row],[valor]],"P/E",TRUE)</f>
        <v>18.667999999999999</v>
      </c>
      <c r="AR162" s="4"/>
      <c r="AT162" s="193">
        <f ca="1">+Tabla2[[#This Row],[Titulos2]]*Tabla2[[#This Row],[Neto]]</f>
        <v>0</v>
      </c>
      <c r="AU162" s="28">
        <f>+Tabla2[[#This Row],[Neto]]/Tabla2[[#This Row],[Precio compra2]]</f>
        <v>0</v>
      </c>
    </row>
    <row r="163" spans="1:47" ht="16" customHeight="1" x14ac:dyDescent="0.2">
      <c r="A163" s="323" t="e" vm="135">
        <v>#VALUE!</v>
      </c>
      <c r="B163" s="75" t="str" cm="1">
        <f t="array" aca="1" ref="B163" ca="1">_FV(A163,"Ticker symbol",TRUE)</f>
        <v>POOL</v>
      </c>
      <c r="C163" s="217" cm="1">
        <f t="array" aca="1" ref="C163" ca="1">_FV(A163,"Change (%)",TRUE)</f>
        <v>-3.1261999999999998E-2</v>
      </c>
      <c r="D163" s="144" cm="1">
        <f t="array" aca="1" ref="D163" ca="1">_FV(A163,"Price")</f>
        <v>225.28</v>
      </c>
      <c r="E163" s="159">
        <f ca="1">AE163</f>
        <v>0.77235085227272715</v>
      </c>
      <c r="F163" s="321">
        <f ca="1">+Tabla2[[#This Row],[Rentab. Parcial]]</f>
        <v>-0.43006796277631376</v>
      </c>
      <c r="G163" s="321">
        <f ca="1">+Tabla2[[#This Row],[Rentab. Parcial2]]</f>
        <v>-0.44237623762376233</v>
      </c>
      <c r="H163" s="253">
        <f ca="1">+Tabla2[[#This Row],[Difer. Investing]]</f>
        <v>0.59801136363636354</v>
      </c>
      <c r="I163" s="79">
        <f ca="1">+Tabla2[[#This Row],[Objetivo div2]]</f>
        <v>399.27519999999998</v>
      </c>
      <c r="J163" s="75" cm="1">
        <f t="array" aca="1" ref="J163" ca="1">_FV(A163,"High")</f>
        <v>232.005</v>
      </c>
      <c r="K163" s="75" cm="1">
        <f t="array" aca="1" ref="K163" ca="1">_FV(A163,"Low")</f>
        <v>224.93</v>
      </c>
      <c r="L163" s="75" cm="1">
        <f t="array" aca="1" ref="L163" ca="1">_FV(Tabla2[[#This Row],[valor]],"52 week high",TRUE)</f>
        <v>345</v>
      </c>
      <c r="M163" s="75">
        <f ca="1">+Tabla2[[#This Row],[52 high]]*0.9</f>
        <v>310.5</v>
      </c>
      <c r="N163" s="75">
        <f ca="1">+Tabla2[[#This Row],[52 high]]*0.95</f>
        <v>327.75</v>
      </c>
      <c r="O163" s="75" cm="1">
        <f t="array" aca="1" ref="O163" ca="1">_FV(Tabla2[[#This Row],[valor]],"52 week low",TRUE)</f>
        <v>195.49</v>
      </c>
      <c r="P163" s="220">
        <f ca="1">+TODAY()-Tabla2[[#This Row],[F. compra]]</f>
        <v>1455</v>
      </c>
      <c r="Q163" s="220">
        <f ca="1">GESTEP(Tabla2[[#This Row],[price]],Tabla2[[#This Row],[HIGH 10%]])</f>
        <v>0</v>
      </c>
      <c r="R163" s="220">
        <f ca="1">GESTEP(Tabla2[[#This Row],[price]],Tabla2[[#This Row],[HIGH 5%]])</f>
        <v>0</v>
      </c>
      <c r="S163" s="75" t="s">
        <v>75</v>
      </c>
      <c r="T163" s="110" t="s">
        <v>78</v>
      </c>
      <c r="U163" s="110" t="s">
        <v>26</v>
      </c>
      <c r="V163" s="16" t="s">
        <v>11</v>
      </c>
      <c r="W163" s="16">
        <v>44685</v>
      </c>
      <c r="X163" s="80"/>
      <c r="Y163" s="79" t="s">
        <v>11</v>
      </c>
      <c r="Z163" s="79">
        <f ca="1">404-Tabla2[[#This Row],[Div.]]</f>
        <v>395.27519999999998</v>
      </c>
      <c r="AA163" s="79">
        <f ca="1">+Tabla2[[#This Row],[Precio compra]]+Tabla2[[#This Row],[Div.]]</f>
        <v>404</v>
      </c>
      <c r="AB163" s="96">
        <f ca="1">7.64+'dividendos 26'!E52</f>
        <v>8.7248000000000001</v>
      </c>
      <c r="AC163" s="79">
        <f ca="1">408-Tabla2[[#This Row],[Div.]]</f>
        <v>399.27519999999998</v>
      </c>
      <c r="AD163" s="79">
        <f ca="1">+Tabla2[[#This Row],[Objetivo div2]]+Tabla2[[#This Row],[Div.]]</f>
        <v>408</v>
      </c>
      <c r="AE163" s="159">
        <f ca="1">IF(Z163="-",+AC163/Y163-1,AC163/D163-1)</f>
        <v>0.77235085227272715</v>
      </c>
      <c r="AF163" s="81">
        <v>360</v>
      </c>
      <c r="AG163" s="253">
        <f ca="1">IF(Z163="-",+AF163/D163-1,AF163/D163-1)</f>
        <v>0.59801136363636354</v>
      </c>
      <c r="AH163" s="81" t="s">
        <v>11</v>
      </c>
      <c r="AI163" s="147" t="e">
        <f ca="1">IF(Z163="-",AH163/Y163-1,+AH163/D163-1)</f>
        <v>#VALUE!</v>
      </c>
      <c r="AJ163" s="121">
        <f ca="1">IF(Z163="-","-",+(D163/Z163)-1)</f>
        <v>-0.43006796277631376</v>
      </c>
      <c r="AK163" s="120">
        <f ca="1">IF(AA163="-","-",+(D163/AA163)-1)</f>
        <v>-0.44237623762376233</v>
      </c>
      <c r="AM163" s="49" t="str">
        <f>IF(AL163=0,"-",+AL163/Z163-1)</f>
        <v>-</v>
      </c>
      <c r="AN163" s="28" t="e">
        <f ca="1">+D163/Y163-1</f>
        <v>#VALUE!</v>
      </c>
      <c r="AO163" s="75">
        <f ca="1">VLOOKUP(Tabla2[[#This Row],[TCKR]],'2026'!$D$5:$AH$257,8,FALSE)</f>
        <v>25</v>
      </c>
      <c r="AP163" s="193">
        <f ca="1">VLOOKUP(Tabla2[[#This Row],[TCKR]],'2026'!$D$5:$AH$257,26,FALSE)</f>
        <v>-3809.1021127311633</v>
      </c>
      <c r="AQ163" s="5" cm="1">
        <f t="array" aca="1" ref="AQ163" ca="1">_FV(Tabla2[[#This Row],[valor]],"P/E",TRUE)</f>
        <v>20.713100000000001</v>
      </c>
      <c r="AR163" s="4"/>
      <c r="AT163" s="193">
        <f ca="1">+Tabla2[[#This Row],[Titulos2]]*Tabla2[[#This Row],[Neto]]</f>
        <v>0</v>
      </c>
      <c r="AU163" s="28">
        <f ca="1">+Tabla2[[#This Row],[Neto]]/Tabla2[[#This Row],[Precio compra2]]</f>
        <v>0</v>
      </c>
    </row>
    <row r="164" spans="1:47" ht="16" customHeight="1" x14ac:dyDescent="0.2">
      <c r="A164" s="75" t="e" vm="195">
        <v>#VALUE!</v>
      </c>
      <c r="B164" s="75" t="str" cm="1">
        <f t="array" aca="1" ref="B164" ca="1">_FV(A164,"Ticker symbol",TRUE)</f>
        <v>ZAL</v>
      </c>
      <c r="C164" s="217" cm="1">
        <f t="array" aca="1" ref="C164" ca="1">_FV(A164,"Change (%)",TRUE)</f>
        <v>-1.8477E-2</v>
      </c>
      <c r="D164" s="144" cm="1">
        <f t="array" aca="1" ref="D164" ca="1">_FV(A164,"Price")</f>
        <v>21.78</v>
      </c>
      <c r="E164" s="159">
        <f ca="1">AE164</f>
        <v>0.78512396694214881</v>
      </c>
      <c r="F164" s="321">
        <f ca="1">+Tabla2[[#This Row],[Rentab. Parcial]]</f>
        <v>-0.35827931644077782</v>
      </c>
      <c r="G164" s="321">
        <f ca="1">+Tabla2[[#This Row],[Rentab. Parcial2]]</f>
        <v>-0.35827931644077782</v>
      </c>
      <c r="H164" s="253">
        <f ca="1">+Tabla2[[#This Row],[Difer. Investing]]</f>
        <v>0.85491276400367289</v>
      </c>
      <c r="I164" s="79">
        <f>+Tabla2[[#This Row],[Objetivo div2]]</f>
        <v>38.880000000000003</v>
      </c>
      <c r="J164" s="75" cm="1">
        <f t="array" aca="1" ref="J164" ca="1">_FV(A164,"High")</f>
        <v>22.06</v>
      </c>
      <c r="K164" s="75" cm="1">
        <f t="array" aca="1" ref="K164" ca="1">_FV(A164,"Low")</f>
        <v>21.78</v>
      </c>
      <c r="L164" s="75" cm="1">
        <f t="array" aca="1" ref="L164" ca="1">_FV(Tabla2[[#This Row],[valor]],"52 week high",TRUE)</f>
        <v>105.45</v>
      </c>
      <c r="M164" s="75">
        <f ca="1">+Tabla2[[#This Row],[52 high]]*0.9</f>
        <v>94.905000000000001</v>
      </c>
      <c r="N164" s="75">
        <f ca="1">+Tabla2[[#This Row],[52 high]]*0.95</f>
        <v>100.17749999999999</v>
      </c>
      <c r="O164" s="75" cm="1">
        <f t="array" aca="1" ref="O164" ca="1">_FV(Tabla2[[#This Row],[valor]],"52 week low",TRUE)</f>
        <v>15.99</v>
      </c>
      <c r="P164" s="220">
        <f ca="1">+TODAY()-Tabla2[[#This Row],[F. compra]]</f>
        <v>915</v>
      </c>
      <c r="Q164" s="220">
        <f ca="1">GESTEP(Tabla2[[#This Row],[price]],Tabla2[[#This Row],[HIGH 10%]])</f>
        <v>0</v>
      </c>
      <c r="R164" s="220">
        <f ca="1">GESTEP(Tabla2[[#This Row],[price]],Tabla2[[#This Row],[HIGH 5%]])</f>
        <v>0</v>
      </c>
      <c r="S164" s="75" t="s">
        <v>75</v>
      </c>
      <c r="T164" s="110" t="s">
        <v>78</v>
      </c>
      <c r="U164" s="110" t="s">
        <v>131</v>
      </c>
      <c r="V164" s="16" t="s">
        <v>11</v>
      </c>
      <c r="W164" s="16">
        <v>45225</v>
      </c>
      <c r="X164" s="80"/>
      <c r="Y164" s="79" t="s">
        <v>11</v>
      </c>
      <c r="Z164" s="79">
        <v>33.94</v>
      </c>
      <c r="AA164" s="79">
        <f>+Tabla2[[#This Row],[Precio compra]]+Tabla2[[#This Row],[Div.]]</f>
        <v>33.94</v>
      </c>
      <c r="AB164" s="96"/>
      <c r="AC164" s="79">
        <v>38.880000000000003</v>
      </c>
      <c r="AD164" s="79">
        <f>+Tabla2[[#This Row],[Objetivo div2]]+Tabla2[[#This Row],[Div.]]</f>
        <v>38.880000000000003</v>
      </c>
      <c r="AE164" s="159">
        <f ca="1">IF(Z164="-",+AC164/Y164-1,AC164/D164-1)</f>
        <v>0.78512396694214881</v>
      </c>
      <c r="AF164" s="81">
        <v>40.4</v>
      </c>
      <c r="AG164" s="253">
        <f ca="1">IF(Z164="-",+AF164/D164-1,AF164/D164-1)</f>
        <v>0.85491276400367289</v>
      </c>
      <c r="AH164" s="81" t="s">
        <v>11</v>
      </c>
      <c r="AI164" s="147" t="s">
        <v>11</v>
      </c>
      <c r="AJ164" s="121">
        <f ca="1">IF(Z164="-","-",+(D164/Z164)-1)</f>
        <v>-0.35827931644077782</v>
      </c>
      <c r="AK164" s="120">
        <f ca="1">IF(AA164="-","-",+(D164/AA164)-1)</f>
        <v>-0.35827931644077782</v>
      </c>
      <c r="AM164" s="49" t="str">
        <f>IF(AL164=0,"-",+AL164/Z164-1)</f>
        <v>-</v>
      </c>
      <c r="AN164" s="28" t="e">
        <f ca="1">+D164/Y164-1</f>
        <v>#VALUE!</v>
      </c>
      <c r="AO164" s="75">
        <f ca="1">VLOOKUP(Tabla2[[#This Row],[TCKR]],'2026'!$D$5:$AH$257,8,FALSE)</f>
        <v>507</v>
      </c>
      <c r="AP164" s="193">
        <f ca="1">VLOOKUP(Tabla2[[#This Row],[TCKR]],'2026'!$D$5:$AH$257,26,FALSE)</f>
        <v>-4895.3553699205613</v>
      </c>
      <c r="AQ164" s="5" cm="1">
        <f t="array" aca="1" ref="AQ164" ca="1">_FV(Tabla2[[#This Row],[valor]],"P/E",TRUE)</f>
        <v>26.52</v>
      </c>
      <c r="AR164" s="4"/>
      <c r="AT164" s="193">
        <f ca="1">+Tabla2[[#This Row],[Titulos2]]*Tabla2[[#This Row],[Neto]]</f>
        <v>0</v>
      </c>
      <c r="AU164" s="28">
        <f>+Tabla2[[#This Row],[Neto]]/Tabla2[[#This Row],[Precio compra2]]</f>
        <v>0</v>
      </c>
    </row>
    <row r="165" spans="1:47" ht="16" customHeight="1" x14ac:dyDescent="0.2">
      <c r="A165" s="75" t="e" vm="164">
        <v>#VALUE!</v>
      </c>
      <c r="B165" s="75" t="str" cm="1">
        <f t="array" aca="1" ref="B165" ca="1">_FV(A165,"Ticker symbol",TRUE)</f>
        <v>SYENS</v>
      </c>
      <c r="C165" s="217" cm="1">
        <f t="array" aca="1" ref="C165" ca="1">_FV(A165,"Change (%)",TRUE)</f>
        <v>6.2949999999999994E-3</v>
      </c>
      <c r="D165" s="144" cm="1">
        <f t="array" aca="1" ref="D165" ca="1">_FV(A165,"Price")</f>
        <v>55.95</v>
      </c>
      <c r="E165" s="159">
        <f ca="1">AE165</f>
        <v>0.80411081322609479</v>
      </c>
      <c r="F165" s="321">
        <f ca="1">+Tabla2[[#This Row],[Rentab. Parcial]]</f>
        <v>-0.3554147465437788</v>
      </c>
      <c r="G165" s="321">
        <f ca="1">+Tabla2[[#This Row],[Rentab. Parcial2]]</f>
        <v>-0.3786095068858284</v>
      </c>
      <c r="H165" s="253">
        <f ca="1">+Tabla2[[#This Row],[Difer. Investing]]</f>
        <v>0.67417336907953529</v>
      </c>
      <c r="I165" s="79">
        <f>+Tabla2[[#This Row],[Objetivo div2]]</f>
        <v>100.94000000000001</v>
      </c>
      <c r="J165" s="75" cm="1">
        <f t="array" aca="1" ref="J165" ca="1">_FV(A165,"High")</f>
        <v>57.1</v>
      </c>
      <c r="K165" s="75" cm="1">
        <f t="array" aca="1" ref="K165" ca="1">_FV(A165,"Low")</f>
        <v>55.6</v>
      </c>
      <c r="L165" s="75" cm="1">
        <f t="array" aca="1" ref="L165" ca="1">_FV(Tabla2[[#This Row],[valor]],"52 week high",TRUE)</f>
        <v>82.12</v>
      </c>
      <c r="M165" s="75">
        <f ca="1">+Tabla2[[#This Row],[52 high]]*0.9</f>
        <v>73.908000000000001</v>
      </c>
      <c r="N165" s="75">
        <f ca="1">+Tabla2[[#This Row],[52 high]]*0.95</f>
        <v>78.013999999999996</v>
      </c>
      <c r="O165" s="75" cm="1">
        <f t="array" aca="1" ref="O165" ca="1">_FV(Tabla2[[#This Row],[valor]],"52 week low",TRUE)</f>
        <v>41.76</v>
      </c>
      <c r="P165" s="220">
        <f ca="1">+TODAY()-Tabla2[[#This Row],[F. compra]]</f>
        <v>764</v>
      </c>
      <c r="Q165" s="220">
        <f ca="1">GESTEP(Tabla2[[#This Row],[price]],Tabla2[[#This Row],[HIGH 10%]])</f>
        <v>0</v>
      </c>
      <c r="R165" s="220">
        <f ca="1">GESTEP(Tabla2[[#This Row],[price]],Tabla2[[#This Row],[HIGH 5%]])</f>
        <v>0</v>
      </c>
      <c r="S165" s="75" t="s">
        <v>75</v>
      </c>
      <c r="T165" s="110" t="s">
        <v>78</v>
      </c>
      <c r="U165" s="110" t="s">
        <v>72</v>
      </c>
      <c r="V165" s="16">
        <v>45376</v>
      </c>
      <c r="W165" s="16">
        <v>45376</v>
      </c>
      <c r="X165" s="80"/>
      <c r="Y165" s="79">
        <v>86.8</v>
      </c>
      <c r="Z165" s="79">
        <v>86.8</v>
      </c>
      <c r="AA165" s="79">
        <f>+Tabla2[[#This Row],[Precio compra]]+Tabla2[[#This Row],[Div.]]</f>
        <v>90.039999999999992</v>
      </c>
      <c r="AB165" s="96">
        <v>3.24</v>
      </c>
      <c r="AC165" s="79">
        <f>104.18-AB165</f>
        <v>100.94000000000001</v>
      </c>
      <c r="AD165" s="79">
        <f>+Tabla2[[#This Row],[Objetivo div2]]+Tabla2[[#This Row],[Div.]]</f>
        <v>104.18</v>
      </c>
      <c r="AE165" s="159">
        <f ca="1">IF(Z165="-",+AC165/Y165-1,AC165/D165-1)</f>
        <v>0.80411081322609479</v>
      </c>
      <c r="AF165" s="81">
        <v>93.67</v>
      </c>
      <c r="AG165" s="253">
        <f ca="1">IF(Z165="-",+AF165/D165-1,AF165/D165-1)</f>
        <v>0.67417336907953529</v>
      </c>
      <c r="AH165" s="81">
        <f>78.14-AB165</f>
        <v>74.900000000000006</v>
      </c>
      <c r="AI165" s="147">
        <f ca="1">IF(Z165="-",AH165/Y165-1,+AH165/D165-1)</f>
        <v>0.33869526362823943</v>
      </c>
      <c r="AJ165" s="121">
        <f ca="1">IF(Z165="-","-",+(D165/Z165)-1)</f>
        <v>-0.3554147465437788</v>
      </c>
      <c r="AK165" s="120">
        <f ca="1">IF(AA165="-","-",+(D165/AA165)-1)</f>
        <v>-0.3786095068858284</v>
      </c>
      <c r="AM165" s="49" t="str">
        <f>IF(AL165=0,"-",+AL165/Z165-1)</f>
        <v>-</v>
      </c>
      <c r="AN165" s="28">
        <f ca="1">+D165/Y165-1</f>
        <v>-0.3554147465437788</v>
      </c>
      <c r="AO165" s="75">
        <f ca="1">VLOOKUP(Tabla2[[#This Row],[TCKR]],'2026'!$D$5:$AH$257,8,FALSE)</f>
        <v>127</v>
      </c>
      <c r="AP165" s="193">
        <f ca="1">VLOOKUP(Tabla2[[#This Row],[TCKR]],'2026'!$D$5:$AH$257,26,FALSE)</f>
        <v>-3097.9105927948699</v>
      </c>
      <c r="AQ165" s="5" cm="1">
        <f t="array" aca="1" ref="AQ165" ca="1">_FV(Tabla2[[#This Row],[valor]],"P/E",TRUE)</f>
        <v>0</v>
      </c>
      <c r="AR165" s="4"/>
      <c r="AT165" s="193">
        <f ca="1">+Tabla2[[#This Row],[Titulos2]]*Tabla2[[#This Row],[Neto]]</f>
        <v>0</v>
      </c>
      <c r="AU165" s="28">
        <f>+Tabla2[[#This Row],[Neto]]/Tabla2[[#This Row],[Precio compra2]]</f>
        <v>0</v>
      </c>
    </row>
    <row r="166" spans="1:47" ht="16" customHeight="1" x14ac:dyDescent="0.2">
      <c r="A166" s="323" t="e" vm="113">
        <v>#VALUE!</v>
      </c>
      <c r="B166" s="75" t="str" cm="1">
        <f t="array" aca="1" ref="B166" ca="1">_FV(A166,"Ticker symbol",TRUE)</f>
        <v>MKC</v>
      </c>
      <c r="C166" s="217" cm="1">
        <f t="array" aca="1" ref="C166" ca="1">_FV(A166,"Change (%)",TRUE)</f>
        <v>-2.1928999999999997E-2</v>
      </c>
      <c r="D166" s="144" cm="1">
        <f t="array" aca="1" ref="D166" ca="1">_FV(A166,"Price")</f>
        <v>50.4</v>
      </c>
      <c r="E166" s="159">
        <f ca="1">AE166</f>
        <v>0.82079999999999975</v>
      </c>
      <c r="F166" s="321">
        <f ca="1">+Tabla2[[#This Row],[Rentab. Parcial]]</f>
        <v>-0.39151246819928254</v>
      </c>
      <c r="G166" s="321">
        <f ca="1">+Tabla2[[#This Row],[Rentab. Parcial2]]</f>
        <v>-0.40566037735849059</v>
      </c>
      <c r="H166" s="253">
        <f ca="1">+Tabla2[[#This Row],[Difer. Investing]]</f>
        <v>0.65218253968253959</v>
      </c>
      <c r="I166" s="79">
        <f ca="1">+Tabla2[[#This Row],[Objetivo div2]]</f>
        <v>91.768319999999989</v>
      </c>
      <c r="J166" s="75" cm="1">
        <f t="array" aca="1" ref="J166" ca="1">_FV(A166,"High")</f>
        <v>51.85</v>
      </c>
      <c r="K166" s="75" cm="1">
        <f t="array" aca="1" ref="K166" ca="1">_FV(A166,"Low")</f>
        <v>50.207799999999999</v>
      </c>
      <c r="L166" s="75" cm="1">
        <f t="array" aca="1" ref="L166" ca="1">_FV(Tabla2[[#This Row],[valor]],"52 week high",TRUE)</f>
        <v>78.16</v>
      </c>
      <c r="M166" s="75">
        <f ca="1">+Tabla2[[#This Row],[52 high]]*0.9</f>
        <v>70.343999999999994</v>
      </c>
      <c r="N166" s="75">
        <f ca="1">+Tabla2[[#This Row],[52 high]]*0.95</f>
        <v>74.251999999999995</v>
      </c>
      <c r="O166" s="75" cm="1">
        <f t="array" aca="1" ref="O166" ca="1">_FV(Tabla2[[#This Row],[valor]],"52 week low",TRUE)</f>
        <v>47.52</v>
      </c>
      <c r="P166" s="220">
        <f ca="1">+TODAY()-Tabla2[[#This Row],[F. compra]]</f>
        <v>1020</v>
      </c>
      <c r="Q166" s="220">
        <f ca="1">GESTEP(Tabla2[[#This Row],[price]],Tabla2[[#This Row],[HIGH 10%]])</f>
        <v>0</v>
      </c>
      <c r="R166" s="220">
        <f ca="1">GESTEP(Tabla2[[#This Row],[price]],Tabla2[[#This Row],[HIGH 5%]])</f>
        <v>0</v>
      </c>
      <c r="S166" s="75" t="s">
        <v>75</v>
      </c>
      <c r="T166" s="110" t="s">
        <v>78</v>
      </c>
      <c r="U166" s="110" t="s">
        <v>26</v>
      </c>
      <c r="V166" s="16">
        <v>45120</v>
      </c>
      <c r="W166" s="16">
        <v>45120</v>
      </c>
      <c r="X166" s="80"/>
      <c r="Y166" s="79">
        <v>84.8</v>
      </c>
      <c r="Z166" s="79">
        <f ca="1">84.8-AB166</f>
        <v>82.828319999999991</v>
      </c>
      <c r="AA166" s="79">
        <f ca="1">+Tabla2[[#This Row],[Precio compra]]+Tabla2[[#This Row],[Div.]]</f>
        <v>84.8</v>
      </c>
      <c r="AB166" s="96">
        <f ca="1">1.56+'dividendos 26'!E11</f>
        <v>1.9716800000000001</v>
      </c>
      <c r="AC166" s="79">
        <f ca="1">93.74-AB166</f>
        <v>91.768319999999989</v>
      </c>
      <c r="AD166" s="79">
        <f ca="1">+Tabla2[[#This Row],[Objetivo div2]]+Tabla2[[#This Row],[Div.]]</f>
        <v>93.74</v>
      </c>
      <c r="AE166" s="159">
        <f ca="1">IF(Z166="-",+AC166/Y166-1,AC166/D166-1)</f>
        <v>0.82079999999999975</v>
      </c>
      <c r="AF166" s="81">
        <v>83.27</v>
      </c>
      <c r="AG166" s="253">
        <f ca="1">IF(Z166="-",+AF166/D166-1,AF166/D166-1)</f>
        <v>0.65218253968253959</v>
      </c>
      <c r="AH166" s="81">
        <f ca="1">80.69-AB166</f>
        <v>78.718319999999991</v>
      </c>
      <c r="AI166" s="147">
        <f ca="1">IF(Z166="-",AH166/Y166-1,+AH166/D166-1)</f>
        <v>0.56187142857142836</v>
      </c>
      <c r="AJ166" s="121">
        <f ca="1">IF(Z166="-","-",+(D166/Z166)-1)</f>
        <v>-0.39151246819928254</v>
      </c>
      <c r="AK166" s="120">
        <f ca="1">IF(AA166="-","-",+(D166/AA166)-1)</f>
        <v>-0.40566037735849059</v>
      </c>
      <c r="AM166" s="49" t="str">
        <f>IF(AL166=0,"-",+AL166/Z166-1)</f>
        <v>-</v>
      </c>
      <c r="AN166" s="28">
        <f ca="1">+D166/Y166-1</f>
        <v>-0.40566037735849059</v>
      </c>
      <c r="AO166" s="75">
        <f ca="1">VLOOKUP(Tabla2[[#This Row],[TCKR]],'2026'!$D$5:$AH$257,8,FALSE)</f>
        <v>125</v>
      </c>
      <c r="AP166" s="193">
        <f ca="1">VLOOKUP(Tabla2[[#This Row],[TCKR]],'2026'!$D$5:$AH$257,26,FALSE)</f>
        <v>-3264.4993392803281</v>
      </c>
      <c r="AQ166" s="5" cm="1">
        <f t="array" aca="1" ref="AQ166" ca="1">_FV(Tabla2[[#This Row],[valor]],"P/E",TRUE)</f>
        <v>8.2620000000000005</v>
      </c>
      <c r="AR166" s="4"/>
      <c r="AT166" s="193">
        <f ca="1">+Tabla2[[#This Row],[Titulos2]]*Tabla2[[#This Row],[Neto]]</f>
        <v>0</v>
      </c>
      <c r="AU166" s="28">
        <f ca="1">+Tabla2[[#This Row],[Neto]]/Tabla2[[#This Row],[Precio compra2]]</f>
        <v>0</v>
      </c>
    </row>
    <row r="167" spans="1:47" ht="16" customHeight="1" x14ac:dyDescent="0.2">
      <c r="A167" s="323" t="e" vm="128">
        <v>#VALUE!</v>
      </c>
      <c r="B167" s="75" t="str" cm="1">
        <f t="array" aca="1" ref="B167" ca="1">_FV(A167,"Ticker symbol",TRUE)</f>
        <v>OGN</v>
      </c>
      <c r="C167" s="217" cm="1">
        <f t="array" aca="1" ref="C167" ca="1">_FV(A167,"Change (%)",TRUE)</f>
        <v>0.170071</v>
      </c>
      <c r="D167" s="144" cm="1">
        <f t="array" aca="1" ref="D167" ca="1">_FV(A167,"Price")</f>
        <v>13.175000000000001</v>
      </c>
      <c r="E167" s="159">
        <f ca="1">AE167</f>
        <v>0.83017515691139976</v>
      </c>
      <c r="F167" s="321">
        <f ca="1">+Tabla2[[#This Row],[Rentab. Parcial]]</f>
        <v>-0.29290437643785228</v>
      </c>
      <c r="G167" s="321">
        <f ca="1">+Tabla2[[#This Row],[Rentab. Parcial2]]</f>
        <v>-0.3318965517241379</v>
      </c>
      <c r="H167" s="253">
        <f ca="1">+Tabla2[[#This Row],[Difer. Investing]]</f>
        <v>0.41707779886148022</v>
      </c>
      <c r="I167" s="79">
        <f>+Tabla2[[#This Row],[Objetivo div2]]</f>
        <v>24.112557692307693</v>
      </c>
      <c r="J167" s="75" cm="1">
        <f t="array" aca="1" ref="J167" ca="1">_FV(A167,"High")</f>
        <v>13.24</v>
      </c>
      <c r="K167" s="75" cm="1">
        <f t="array" aca="1" ref="K167" ca="1">_FV(A167,"Low")</f>
        <v>13.15</v>
      </c>
      <c r="L167" s="75" cm="1">
        <f t="array" aca="1" ref="L167" ca="1">_FV(Tabla2[[#This Row],[valor]],"52 week high",TRUE)</f>
        <v>13.244999999999999</v>
      </c>
      <c r="M167" s="75">
        <f ca="1">+Tabla2[[#This Row],[52 high]]*0.9</f>
        <v>11.920499999999999</v>
      </c>
      <c r="N167" s="75">
        <f ca="1">+Tabla2[[#This Row],[52 high]]*0.95</f>
        <v>12.582749999999999</v>
      </c>
      <c r="O167" s="75" cm="1">
        <f t="array" aca="1" ref="O167" ca="1">_FV(Tabla2[[#This Row],[valor]],"52 week low",TRUE)</f>
        <v>5.69</v>
      </c>
      <c r="P167" s="220">
        <f ca="1">+TODAY()-Tabla2[[#This Row],[F. compra]]</f>
        <v>722</v>
      </c>
      <c r="Q167" s="220">
        <f ca="1">GESTEP(Tabla2[[#This Row],[price]],Tabla2[[#This Row],[HIGH 10%]])</f>
        <v>1</v>
      </c>
      <c r="R167" s="220">
        <f ca="1">GESTEP(Tabla2[[#This Row],[price]],Tabla2[[#This Row],[HIGH 5%]])</f>
        <v>1</v>
      </c>
      <c r="S167" s="75" t="s">
        <v>75</v>
      </c>
      <c r="T167" s="110" t="s">
        <v>78</v>
      </c>
      <c r="U167" s="110" t="s">
        <v>26</v>
      </c>
      <c r="V167" s="16">
        <v>45418</v>
      </c>
      <c r="W167" s="16">
        <v>45418</v>
      </c>
      <c r="X167" s="80"/>
      <c r="Y167" s="79">
        <v>19.72</v>
      </c>
      <c r="Z167" s="79">
        <f>19.72-AB167</f>
        <v>18.632557692307692</v>
      </c>
      <c r="AA167" s="79">
        <f>+Tabla2[[#This Row],[Precio compra]]+Tabla2[[#This Row],[Div.]]</f>
        <v>19.72</v>
      </c>
      <c r="AB167" s="96">
        <f>1.07+'dividendos 26'!E41</f>
        <v>1.0874423076923077</v>
      </c>
      <c r="AC167" s="79">
        <f>25.2-AB167</f>
        <v>24.112557692307693</v>
      </c>
      <c r="AD167" s="79">
        <f>+Tabla2[[#This Row],[Objetivo div2]]+Tabla2[[#This Row],[Div.]]</f>
        <v>25.2</v>
      </c>
      <c r="AE167" s="159">
        <f ca="1">IF(Z167="-",+AC167/Y167-1,AC167/D167-1)</f>
        <v>0.83017515691139976</v>
      </c>
      <c r="AF167" s="81">
        <v>18.670000000000002</v>
      </c>
      <c r="AG167" s="253">
        <f ca="1">IF(Z167="-",+AF167/D167-1,AF167/D167-1)</f>
        <v>0.41707779886148022</v>
      </c>
      <c r="AH167" s="81">
        <f>16.98-AB167</f>
        <v>15.892557692307692</v>
      </c>
      <c r="AI167" s="147">
        <f ca="1">IF(Z167="-",AH167/Y167-1,+AH167/D167-1)</f>
        <v>0.20626623850532755</v>
      </c>
      <c r="AJ167" s="121">
        <f ca="1">IF(Z167="-","-",+(D167/Z167)-1)</f>
        <v>-0.29290437643785228</v>
      </c>
      <c r="AK167" s="120">
        <f ca="1">IF(AA167="-","-",+(D167/AA167)-1)</f>
        <v>-0.3318965517241379</v>
      </c>
      <c r="AM167" s="49" t="str">
        <f>IF(AL167=0,"-",+AL167/Z167-1)</f>
        <v>-</v>
      </c>
      <c r="AN167" s="28">
        <f ca="1">+D167/Y167-1</f>
        <v>-0.3318965517241379</v>
      </c>
      <c r="AO167" s="75">
        <f ca="1">VLOOKUP(Tabla2[[#This Row],[TCKR]],'2026'!$D$5:$AH$257,8,FALSE)</f>
        <v>520</v>
      </c>
      <c r="AP167" s="193">
        <f ca="1">VLOOKUP(Tabla2[[#This Row],[TCKR]],'2026'!$D$5:$AH$257,26,FALSE)</f>
        <v>-2955.2234645355097</v>
      </c>
      <c r="AQ167" s="5" cm="1">
        <f t="array" aca="1" ref="AQ167" ca="1">_FV(Tabla2[[#This Row],[valor]],"P/E",TRUE)</f>
        <v>15.7127</v>
      </c>
      <c r="AR167" s="4"/>
      <c r="AT167" s="193">
        <f ca="1">+Tabla2[[#This Row],[Titulos2]]*Tabla2[[#This Row],[Neto]]</f>
        <v>0</v>
      </c>
      <c r="AU167" s="28">
        <f>+Tabla2[[#This Row],[Neto]]/Tabla2[[#This Row],[Precio compra2]]</f>
        <v>0</v>
      </c>
    </row>
    <row r="168" spans="1:47" ht="16" customHeight="1" x14ac:dyDescent="0.2">
      <c r="A168" s="323" t="e" vm="55">
        <v>#VALUE!</v>
      </c>
      <c r="B168" s="75" t="str" cm="1">
        <f t="array" aca="1" ref="B168" ca="1">_FV(A168,"Ticker symbol",TRUE)</f>
        <v>DHR</v>
      </c>
      <c r="C168" s="217" cm="1">
        <f t="array" aca="1" ref="C168" ca="1">_FV(A168,"Change (%)",TRUE)</f>
        <v>1.8843000000000002E-2</v>
      </c>
      <c r="D168" s="144" cm="1">
        <f t="array" aca="1" ref="D168" ca="1">_FV(A168,"Price")</f>
        <v>180.59</v>
      </c>
      <c r="E168" s="159">
        <f ca="1">AE168</f>
        <v>0.84738449895712198</v>
      </c>
      <c r="F168" s="321">
        <f ca="1">+Tabla2[[#This Row],[Rentab. Parcial]]</f>
        <v>-0.33216021399669027</v>
      </c>
      <c r="G168" s="321">
        <f ca="1">+Tabla2[[#This Row],[Rentab. Parcial2]]</f>
        <v>-0.33589526716434381</v>
      </c>
      <c r="H168" s="253">
        <f ca="1">+Tabla2[[#This Row],[Difer. Investing]]</f>
        <v>1.0149463794599183</v>
      </c>
      <c r="I168" s="79">
        <f>+Tabla2[[#This Row],[Objetivo div2]]</f>
        <v>333.61916666666667</v>
      </c>
      <c r="J168" s="75" cm="1">
        <f t="array" aca="1" ref="J168" ca="1">_FV(A168,"High")</f>
        <v>181.45</v>
      </c>
      <c r="K168" s="75" cm="1">
        <f t="array" aca="1" ref="K168" ca="1">_FV(A168,"Low")</f>
        <v>176.51</v>
      </c>
      <c r="L168" s="75" cm="1">
        <f t="array" aca="1" ref="L168" ca="1">_FV(Tabla2[[#This Row],[valor]],"52 week high",TRUE)</f>
        <v>242.8</v>
      </c>
      <c r="M168" s="75">
        <f ca="1">+Tabla2[[#This Row],[52 high]]*0.9</f>
        <v>218.52</v>
      </c>
      <c r="N168" s="75">
        <f ca="1">+Tabla2[[#This Row],[52 high]]*0.95</f>
        <v>230.66</v>
      </c>
      <c r="O168" s="75" cm="1">
        <f t="array" aca="1" ref="O168" ca="1">_FV(Tabla2[[#This Row],[valor]],"52 week low",TRUE)</f>
        <v>175</v>
      </c>
      <c r="P168" s="220">
        <f ca="1">+TODAY()-Tabla2[[#This Row],[F. compra]]</f>
        <v>638</v>
      </c>
      <c r="Q168" s="220">
        <f ca="1">GESTEP(Tabla2[[#This Row],[price]],Tabla2[[#This Row],[HIGH 10%]])</f>
        <v>0</v>
      </c>
      <c r="R168" s="220">
        <f ca="1">GESTEP(Tabla2[[#This Row],[price]],Tabla2[[#This Row],[HIGH 5%]])</f>
        <v>0</v>
      </c>
      <c r="S168" s="75" t="s">
        <v>76</v>
      </c>
      <c r="T168" s="110" t="s">
        <v>78</v>
      </c>
      <c r="U168" s="110" t="s">
        <v>26</v>
      </c>
      <c r="V168" s="16">
        <v>45502</v>
      </c>
      <c r="W168" s="16">
        <v>45502</v>
      </c>
      <c r="X168" s="80" t="s">
        <v>11</v>
      </c>
      <c r="Y168" s="79">
        <v>275.02</v>
      </c>
      <c r="Z168" s="79">
        <f>271.93-Tabla2[[#This Row],[Div.]]</f>
        <v>270.40916666666669</v>
      </c>
      <c r="AA168" s="79">
        <f>+Tabla2[[#This Row],[Precio compra]]+Tabla2[[#This Row],[Div.]]</f>
        <v>271.93</v>
      </c>
      <c r="AB168" s="96">
        <f>0.86+'dividendos 26'!E21+'dividendos 26'!E68</f>
        <v>1.5208333333333333</v>
      </c>
      <c r="AC168" s="79">
        <f>335.14-Tabla2[[#This Row],[Div.]]</f>
        <v>333.61916666666667</v>
      </c>
      <c r="AD168" s="79">
        <f>+Tabla2[[#This Row],[Objetivo div2]]+Tabla2[[#This Row],[Div.]]</f>
        <v>335.14</v>
      </c>
      <c r="AE168" s="159">
        <f ca="1">IF(Z168="-",+AC168/Y168-1,AC168/D168-1)</f>
        <v>0.84738449895712198</v>
      </c>
      <c r="AF168" s="81">
        <f>365.4-Tabla2[[#This Row],[Div.]]</f>
        <v>363.87916666666666</v>
      </c>
      <c r="AG168" s="253">
        <f ca="1">IF(Z168="-",+AF168/D168-1,AF168/D168-1)</f>
        <v>1.0149463794599183</v>
      </c>
      <c r="AH168" s="81">
        <f>244.98-Tabla2[[#This Row],[Div.]]</f>
        <v>243.45916666666665</v>
      </c>
      <c r="AI168" s="147">
        <f ca="1">IF(Z168="-",AH168/Y168-1,+AH168/D168-1)</f>
        <v>0.3481320486553332</v>
      </c>
      <c r="AJ168" s="121">
        <f ca="1">IF(Z168="-","-",+(D168/Z168)-1)</f>
        <v>-0.33216021399669027</v>
      </c>
      <c r="AK168" s="120">
        <f ca="1">IF(AA168="-","-",+(D168/AA168)-1)</f>
        <v>-0.33589526716434381</v>
      </c>
      <c r="AM168" s="49" t="str">
        <f>IF(AL168=0,"-",+AL168/Z168-1)</f>
        <v>-</v>
      </c>
      <c r="AN168" s="28">
        <f ca="1">+D168/Y168-1</f>
        <v>-0.34335684677477996</v>
      </c>
      <c r="AO168" s="75">
        <f ca="1">VLOOKUP(Tabla2[[#This Row],[TCKR]],'2026'!$D$5:$AH$257,8,FALSE)</f>
        <v>36</v>
      </c>
      <c r="AP168" s="193">
        <f ca="1">VLOOKUP(Tabla2[[#This Row],[TCKR]],'2026'!$D$5:$AH$257,26,FALSE)</f>
        <v>-2808.4510132329351</v>
      </c>
      <c r="AQ168" s="5" cm="1">
        <f t="array" aca="1" ref="AQ168" ca="1">_FV(Tabla2[[#This Row],[valor]],"P/E",TRUE)</f>
        <v>35.061900000000001</v>
      </c>
      <c r="AR168" s="4"/>
      <c r="AT168" s="193">
        <f ca="1">+Tabla2[[#This Row],[Titulos2]]*Tabla2[[#This Row],[Neto]]</f>
        <v>0</v>
      </c>
      <c r="AU168" s="28">
        <f>+Tabla2[[#This Row],[Neto]]/Tabla2[[#This Row],[Precio compra2]]</f>
        <v>0</v>
      </c>
    </row>
    <row r="169" spans="1:47" ht="16" customHeight="1" x14ac:dyDescent="0.2">
      <c r="A169" s="323" t="e" vm="111">
        <v>#VALUE!</v>
      </c>
      <c r="B169" s="75" t="str" cm="1">
        <f t="array" aca="1" ref="B169" ca="1">_FV(A169,"Ticker symbol",TRUE)</f>
        <v>MARA</v>
      </c>
      <c r="C169" s="217" cm="1">
        <f t="array" aca="1" ref="C169" ca="1">_FV(A169,"Change (%)",TRUE)</f>
        <v>-3.9518999999999999E-2</v>
      </c>
      <c r="D169" s="144" cm="1">
        <f t="array" aca="1" ref="D169" ca="1">_FV(A169,"Price")</f>
        <v>11.18</v>
      </c>
      <c r="E169" s="159">
        <f ca="1">AE169</f>
        <v>0.87745974955277273</v>
      </c>
      <c r="F169" s="321">
        <f ca="1">+Tabla2[[#This Row],[Rentab. Parcial]]</f>
        <v>-0.30816831683168322</v>
      </c>
      <c r="G169" s="321">
        <f ca="1">+Tabla2[[#This Row],[Rentab. Parcial2]]</f>
        <v>-0.30816831683168322</v>
      </c>
      <c r="H169" s="253">
        <f ca="1">+Tabla2[[#This Row],[Difer. Investing]]</f>
        <v>0.81305903398926649</v>
      </c>
      <c r="I169" s="79">
        <f>+Tabla2[[#This Row],[Objetivo div2]]</f>
        <v>20.99</v>
      </c>
      <c r="J169" s="75" cm="1">
        <f t="array" aca="1" ref="J169" ca="1">_FV(A169,"High")</f>
        <v>11.66</v>
      </c>
      <c r="K169" s="75" cm="1">
        <f t="array" aca="1" ref="K169" ca="1">_FV(A169,"Low")</f>
        <v>11.085000000000001</v>
      </c>
      <c r="L169" s="75" cm="1">
        <f t="array" aca="1" ref="L169" ca="1">_FV(Tabla2[[#This Row],[valor]],"52 week high",TRUE)</f>
        <v>23.45</v>
      </c>
      <c r="M169" s="75">
        <f ca="1">+L169*0.9</f>
        <v>21.105</v>
      </c>
      <c r="N169" s="75">
        <f ca="1">+L169*0.95</f>
        <v>22.2775</v>
      </c>
      <c r="O169" s="75" cm="1">
        <f t="array" aca="1" ref="O169" ca="1">_FV(A169,"52 week low",TRUE)</f>
        <v>6.66</v>
      </c>
      <c r="P169" s="220">
        <f ca="1">+TODAY()-Tabla2[[#This Row],[F. compra]]</f>
        <v>347</v>
      </c>
      <c r="Q169" s="220">
        <f ca="1">GESTEP(D169,M169)</f>
        <v>0</v>
      </c>
      <c r="R169" s="220">
        <f ca="1">GESTEP(D169,N169)</f>
        <v>0</v>
      </c>
      <c r="S169" s="75" t="s">
        <v>75</v>
      </c>
      <c r="T169" s="110" t="s">
        <v>78</v>
      </c>
      <c r="U169" s="110" t="s">
        <v>26</v>
      </c>
      <c r="V169" s="16">
        <v>45789</v>
      </c>
      <c r="W169" s="16">
        <v>45793</v>
      </c>
      <c r="X169" s="80"/>
      <c r="Y169" s="79">
        <v>16.16</v>
      </c>
      <c r="Z169" s="79">
        <v>16.16</v>
      </c>
      <c r="AA169" s="79">
        <f>+Tabla2[[#This Row],[Precio compra]]+Tabla2[[#This Row],[Div.]]</f>
        <v>16.16</v>
      </c>
      <c r="AB169" s="96"/>
      <c r="AC169" s="79">
        <v>20.99</v>
      </c>
      <c r="AD169" s="79">
        <f>+Tabla2[[#This Row],[Objetivo div2]]+Tabla2[[#This Row],[Div.]]</f>
        <v>20.99</v>
      </c>
      <c r="AE169" s="159">
        <f ca="1">IF(Z169="-",+AC169/Y169-1,AC169/D169-1)</f>
        <v>0.87745974955277273</v>
      </c>
      <c r="AF169" s="81">
        <v>20.27</v>
      </c>
      <c r="AG169" s="253">
        <f ca="1">IF(Z169="-",+AF169/D169-1,AF169/D169-1)</f>
        <v>0.81305903398926649</v>
      </c>
      <c r="AH169" s="81">
        <v>13.74</v>
      </c>
      <c r="AI169" s="147">
        <f ca="1">IF(Z169="-",AH169/Y169-1,+AH169/D169-1)</f>
        <v>0.22898032200357776</v>
      </c>
      <c r="AJ169" s="121">
        <f ca="1">IF(Z169="-","-",+(D169/Z169)-1)</f>
        <v>-0.30816831683168322</v>
      </c>
      <c r="AK169" s="120">
        <f ca="1">IF(AA169="-","-",+(D169/AA169)-1)</f>
        <v>-0.30816831683168322</v>
      </c>
      <c r="AM169" s="49" t="str">
        <f>IF(AL169=0,"-",+AL169/Z169-1)</f>
        <v>-</v>
      </c>
      <c r="AN169" s="28">
        <f ca="1">+D169/Y169-1</f>
        <v>-0.30816831683168322</v>
      </c>
      <c r="AO169" s="75">
        <f ca="1">VLOOKUP(Tabla2[[#This Row],[TCKR]],'2026'!$D$5:$AH$257,8,FALSE)</f>
        <v>366</v>
      </c>
      <c r="AP169" s="193">
        <f ca="1">VLOOKUP(Tabla2[[#This Row],[TCKR]],'2026'!$D$5:$AH$257,26,FALSE)</f>
        <v>-1478.7899078346118</v>
      </c>
      <c r="AQ169" s="5" cm="1">
        <f t="array" aca="1" ref="AQ169" ca="1">_FV(Tabla2[[#This Row],[valor]],"P/E",TRUE)</f>
        <v>0</v>
      </c>
      <c r="AR169" s="4"/>
      <c r="AT169" s="193">
        <f ca="1">+Tabla2[[#This Row],[Titulos2]]*Tabla2[[#This Row],[Neto]]</f>
        <v>0</v>
      </c>
      <c r="AU169" s="28">
        <f>+Tabla2[[#This Row],[Neto]]/Tabla2[[#This Row],[Precio compra2]]</f>
        <v>0</v>
      </c>
    </row>
    <row r="170" spans="1:47" ht="16" customHeight="1" x14ac:dyDescent="0.2">
      <c r="A170" s="323" t="e" vm="170">
        <v>#VALUE!</v>
      </c>
      <c r="B170" s="75" t="str" cm="1">
        <f t="array" aca="1" ref="B170" ca="1">_FV(A170,"Ticker symbol",TRUE)</f>
        <v>COO</v>
      </c>
      <c r="C170" s="217" cm="1">
        <f t="array" aca="1" ref="C170" ca="1">_FV(A170,"Change (%)",TRUE)</f>
        <v>-1.242E-3</v>
      </c>
      <c r="D170" s="144" cm="1">
        <f t="array" aca="1" ref="D170" ca="1">_FV(A170,"Price")</f>
        <v>64.34</v>
      </c>
      <c r="E170" s="159">
        <f ca="1">AE170</f>
        <v>0.88436431457880005</v>
      </c>
      <c r="F170" s="321">
        <f ca="1">+Tabla2[[#This Row],[Rentab. Parcial]]</f>
        <v>-0.36933934522642609</v>
      </c>
      <c r="G170" s="321">
        <f ca="1">+Tabla2[[#This Row],[Rentab. Parcial2]]</f>
        <v>-0.36933934522642609</v>
      </c>
      <c r="H170" s="253">
        <f ca="1">+Tabla2[[#This Row],[Difer. Investing]]</f>
        <v>0.40317065589058121</v>
      </c>
      <c r="I170" s="79">
        <f>+Tabla2[[#This Row],[Objetivo div2]]</f>
        <v>121.24</v>
      </c>
      <c r="J170" s="75" cm="1">
        <f t="array" aca="1" ref="J170" ca="1">_FV(A170,"High")</f>
        <v>65.290000000000006</v>
      </c>
      <c r="K170" s="75" cm="1">
        <f t="array" aca="1" ref="K170" ca="1">_FV(A170,"Low")</f>
        <v>64.2</v>
      </c>
      <c r="L170" s="75" cm="1">
        <f t="array" aca="1" ref="L170" ca="1">_FV(Tabla2[[#This Row],[valor]],"52 week high",TRUE)</f>
        <v>89.83</v>
      </c>
      <c r="M170" s="75">
        <f ca="1">+Tabla2[[#This Row],[52 high]]*0.9</f>
        <v>80.846999999999994</v>
      </c>
      <c r="N170" s="75">
        <f ca="1">+Tabla2[[#This Row],[52 high]]*0.95</f>
        <v>85.338499999999996</v>
      </c>
      <c r="O170" s="75" cm="1">
        <f t="array" aca="1" ref="O170" ca="1">_FV(Tabla2[[#This Row],[valor]],"52 week low",TRUE)</f>
        <v>61.774999999999999</v>
      </c>
      <c r="P170" s="220">
        <f ca="1">+TODAY()-Tabla2[[#This Row],[F. compra]]</f>
        <v>785</v>
      </c>
      <c r="Q170" s="220">
        <f ca="1">GESTEP(Tabla2[[#This Row],[price]],Tabla2[[#This Row],[HIGH 10%]])</f>
        <v>0</v>
      </c>
      <c r="R170" s="220">
        <f ca="1">GESTEP(Tabla2[[#This Row],[price]],Tabla2[[#This Row],[HIGH 5%]])</f>
        <v>0</v>
      </c>
      <c r="S170" s="75" t="s">
        <v>75</v>
      </c>
      <c r="T170" s="110" t="s">
        <v>78</v>
      </c>
      <c r="U170" s="110" t="s">
        <v>26</v>
      </c>
      <c r="V170" s="16">
        <v>45355</v>
      </c>
      <c r="W170" s="16">
        <v>45355</v>
      </c>
      <c r="X170" s="80"/>
      <c r="Y170" s="79">
        <v>102.24</v>
      </c>
      <c r="Z170" s="79">
        <v>102.02</v>
      </c>
      <c r="AA170" s="79">
        <f>+Tabla2[[#This Row],[Precio compra]]+Tabla2[[#This Row],[Div.]]</f>
        <v>102.02</v>
      </c>
      <c r="AB170" s="96"/>
      <c r="AC170" s="79">
        <v>121.24</v>
      </c>
      <c r="AD170" s="79">
        <f>+Tabla2[[#This Row],[Objetivo div2]]+Tabla2[[#This Row],[Div.]]</f>
        <v>121.24</v>
      </c>
      <c r="AE170" s="159">
        <f ca="1">IF(Z170="-",+AC170/Y170-1,AC170/D170-1)</f>
        <v>0.88436431457880005</v>
      </c>
      <c r="AF170" s="81">
        <v>90.28</v>
      </c>
      <c r="AG170" s="253">
        <f ca="1">IF(Z170="-",+AF170/D170-1,AF170/D170-1)</f>
        <v>0.40317065589058121</v>
      </c>
      <c r="AH170" s="81">
        <v>92.74</v>
      </c>
      <c r="AI170" s="147">
        <f ca="1">IF(Z170="-",AH170/Y170-1,+AH170/D170-1)</f>
        <v>0.44140503574759071</v>
      </c>
      <c r="AJ170" s="121">
        <f ca="1">IF(Z170="-","-",+(D170/Z170)-1)</f>
        <v>-0.36933934522642609</v>
      </c>
      <c r="AK170" s="120">
        <f ca="1">IF(AA170="-","-",+(D170/AA170)-1)</f>
        <v>-0.36933934522642609</v>
      </c>
      <c r="AM170" s="49" t="str">
        <f>IF(AL170=0,"-",+AL170/Z170-1)</f>
        <v>-</v>
      </c>
      <c r="AN170" s="28">
        <f ca="1">+D170/Y170-1</f>
        <v>-0.37069640062597797</v>
      </c>
      <c r="AO170" s="75">
        <f ca="1">VLOOKUP(Tabla2[[#This Row],[TCKR]],'2026'!$D$5:$AH$257,8,FALSE)</f>
        <v>96</v>
      </c>
      <c r="AP170" s="193">
        <f ca="1">VLOOKUP(Tabla2[[#This Row],[TCKR]],'2026'!$D$5:$AH$257,26,FALSE)</f>
        <v>-2997.8801381018648</v>
      </c>
      <c r="AQ170" s="5" cm="1">
        <f t="array" aca="1" ref="AQ170" ca="1">_FV(Tabla2[[#This Row],[valor]],"P/E",TRUE)</f>
        <v>31.834099999999999</v>
      </c>
      <c r="AR170" s="4"/>
      <c r="AT170" s="193">
        <f ca="1">+Tabla2[[#This Row],[Titulos2]]*Tabla2[[#This Row],[Neto]]</f>
        <v>0</v>
      </c>
      <c r="AU170" s="28">
        <f>+Tabla2[[#This Row],[Neto]]/Tabla2[[#This Row],[Precio compra2]]</f>
        <v>0</v>
      </c>
    </row>
    <row r="171" spans="1:47" ht="16" customHeight="1" x14ac:dyDescent="0.2">
      <c r="A171" s="360" t="e" vm="236">
        <v>#VALUE!</v>
      </c>
      <c r="B171" s="75" t="str" cm="1">
        <f t="array" aca="1" ref="B171" ca="1">_FV(A171,"Ticker symbol",TRUE)</f>
        <v>ESF0</v>
      </c>
      <c r="C171" s="217" cm="1">
        <f t="array" aca="1" ref="C171" ca="1">_FV(A171,"Change (%)",TRUE)</f>
        <v>-6.1429999999999992E-3</v>
      </c>
      <c r="D171" s="144" cm="1">
        <f t="array" aca="1" ref="D171" ca="1">_FV(A171,"Price")</f>
        <v>61.48</v>
      </c>
      <c r="E171" s="356">
        <f>AE171</f>
        <v>0.88473520249221171</v>
      </c>
      <c r="F171" s="321">
        <f ca="1">+Tabla2[[#This Row],[Rentab. Parcial]]</f>
        <v>-4.2367601246106057E-2</v>
      </c>
      <c r="G171" s="321">
        <f ca="1">+Tabla2[[#This Row],[Rentab. Parcial2]]</f>
        <v>-4.2367601246106057E-2</v>
      </c>
      <c r="H171" s="253">
        <f ca="1">+Tabla2[[#This Row],[Difer. Investing]]</f>
        <v>0.33067664281067022</v>
      </c>
      <c r="I171" s="79">
        <v>77</v>
      </c>
      <c r="J171" s="75" cm="1">
        <f t="array" aca="1" ref="J171" ca="1">_FV(A171,"High")</f>
        <v>63.02</v>
      </c>
      <c r="K171" s="75" cm="1">
        <f t="array" aca="1" ref="K171" ca="1">_FV(A171,"Low")</f>
        <v>61.28</v>
      </c>
      <c r="L171" s="75" t="e" cm="1" vm="224">
        <f t="array" ref="L171">_FV(A171,"52 week high",TRUE)</f>
        <v>#VALUE!</v>
      </c>
      <c r="M171" s="75" t="e" vm="225">
        <f>+L171*0.9</f>
        <v>#VALUE!</v>
      </c>
      <c r="N171" s="75" t="e" vm="225">
        <f>+L171*0.95</f>
        <v>#VALUE!</v>
      </c>
      <c r="O171" s="75" t="e" cm="1" vm="226">
        <f t="array" ref="O171">_FV(A171,"52 week low",TRUE)</f>
        <v>#VALUE!</v>
      </c>
      <c r="P171" s="220">
        <f ca="1">+TODAY()-Tabla2[[#This Row],[F. compra]]</f>
        <v>19</v>
      </c>
      <c r="Q171" s="220" t="e" vm="225">
        <f>GESTEP(D171,M171)</f>
        <v>#VALUE!</v>
      </c>
      <c r="R171" s="220" t="e" vm="225">
        <f>GESTEP(D171,N171)</f>
        <v>#VALUE!</v>
      </c>
      <c r="S171" s="75" t="s">
        <v>75</v>
      </c>
      <c r="T171" s="110" t="s">
        <v>26</v>
      </c>
      <c r="U171" s="110" t="s">
        <v>26</v>
      </c>
      <c r="V171" s="16">
        <v>46121</v>
      </c>
      <c r="W171" s="16">
        <v>46121</v>
      </c>
      <c r="X171" s="80"/>
      <c r="Y171" s="79">
        <v>65.3</v>
      </c>
      <c r="Z171" s="79">
        <v>64.2</v>
      </c>
      <c r="AA171" s="79">
        <v>64.2</v>
      </c>
      <c r="AB171" s="79"/>
      <c r="AC171" s="79">
        <v>121</v>
      </c>
      <c r="AD171" s="79">
        <f>+Tabla2[[#This Row],[Objetivo div2]]+Tabla2[[#This Row],[Div.]]</f>
        <v>121</v>
      </c>
      <c r="AE171" s="356">
        <f>IF(Z171="",+AC171/Y171-1,AC171/Z171-1)</f>
        <v>0.88473520249221171</v>
      </c>
      <c r="AF171" s="76">
        <v>81.81</v>
      </c>
      <c r="AG171" s="253">
        <f ca="1">IF(Z171="-",+AF171/D171-1,AF171/D171-1)</f>
        <v>0.33067664281067022</v>
      </c>
      <c r="AH171" s="76">
        <v>54</v>
      </c>
      <c r="AI171" s="147">
        <f ca="1">IF(Z171="-",AH171/Y171-1,+AH171/D171-1)</f>
        <v>-0.12166558230318802</v>
      </c>
      <c r="AJ171" s="121">
        <f ca="1">IF(Z171="-","-",+(D171/Z171)-1)</f>
        <v>-4.2367601246106057E-2</v>
      </c>
      <c r="AK171" s="120">
        <f ca="1">IF(AA171="-","-",+(D171/AA171)-1)</f>
        <v>-4.2367601246106057E-2</v>
      </c>
      <c r="AM171" s="49" t="str">
        <f>IF(AL171=0,"-",+AL171/Z171-1)</f>
        <v>-</v>
      </c>
      <c r="AN171" s="28">
        <f ca="1">+D171/Y171-1</f>
        <v>-5.8499234303215908E-2</v>
      </c>
      <c r="AO171" s="75" t="e">
        <f ca="1">VLOOKUP(Tabla2[[#This Row],[TCKR]],'2026'!$D$5:$AH$257,8,FALSE)</f>
        <v>#N/A</v>
      </c>
      <c r="AP171" s="193"/>
      <c r="AR171" s="4"/>
      <c r="AU171" s="28"/>
    </row>
    <row r="172" spans="1:47" ht="16" customHeight="1" x14ac:dyDescent="0.2">
      <c r="A172" s="323" t="e" vm="171">
        <v>#VALUE!</v>
      </c>
      <c r="B172" s="75" t="str" cm="1">
        <f t="array" aca="1" ref="B172" ca="1">_FV(A172,"Ticker symbol",TRUE)</f>
        <v>HNST</v>
      </c>
      <c r="C172" s="217" cm="1">
        <f t="array" aca="1" ref="C172" ca="1">_FV(A172,"Change (%)",TRUE)</f>
        <v>-2.521E-2</v>
      </c>
      <c r="D172" s="144" cm="1">
        <f t="array" aca="1" ref="D172" ca="1">_FV(A172,"Price")</f>
        <v>3.48</v>
      </c>
      <c r="E172" s="159">
        <f ca="1">AE172</f>
        <v>0.95114942528735624</v>
      </c>
      <c r="F172" s="321">
        <f ca="1">+Tabla2[[#This Row],[Rentab. Parcial]]</f>
        <v>-0.31764705882352939</v>
      </c>
      <c r="G172" s="321">
        <f ca="1">+Tabla2[[#This Row],[Rentab. Parcial2]]</f>
        <v>-0.31764705882352939</v>
      </c>
      <c r="H172" s="253">
        <f ca="1">+Tabla2[[#This Row],[Difer. Investing]]</f>
        <v>1.0574712643678161</v>
      </c>
      <c r="I172" s="79">
        <f>+Tabla2[[#This Row],[Objetivo div2]]</f>
        <v>6.79</v>
      </c>
      <c r="J172" s="75" cm="1">
        <f t="array" aca="1" ref="J172" ca="1">_FV(A172,"High")</f>
        <v>3.5950000000000002</v>
      </c>
      <c r="K172" s="75" cm="1">
        <f t="array" aca="1" ref="K172" ca="1">_FV(A172,"Low")</f>
        <v>3.4750000000000001</v>
      </c>
      <c r="L172" s="75" cm="1">
        <f t="array" aca="1" ref="L172" ca="1">_FV(Tabla2[[#This Row],[valor]],"52 week high",TRUE)</f>
        <v>5.5452000000000004</v>
      </c>
      <c r="M172" s="75">
        <f ca="1">+L172*0.9</f>
        <v>4.9906800000000002</v>
      </c>
      <c r="N172" s="75">
        <f ca="1">+L172*0.95</f>
        <v>5.2679400000000003</v>
      </c>
      <c r="O172" s="75" cm="1">
        <f t="array" aca="1" ref="O172" ca="1">_FV(A172,"52 week low",TRUE)</f>
        <v>2.0699999999999998</v>
      </c>
      <c r="P172" s="220">
        <f ca="1">+TODAY()-Tabla2[[#This Row],[F. compra]]</f>
        <v>295</v>
      </c>
      <c r="Q172" s="220">
        <f ca="1">GESTEP(D172,M172)</f>
        <v>0</v>
      </c>
      <c r="R172" s="220">
        <f ca="1">GESTEP(D172,N172)</f>
        <v>0</v>
      </c>
      <c r="S172" s="75" t="s">
        <v>75</v>
      </c>
      <c r="T172" s="110" t="s">
        <v>78</v>
      </c>
      <c r="U172" s="110" t="s">
        <v>26</v>
      </c>
      <c r="V172" s="16">
        <v>45845</v>
      </c>
      <c r="W172" s="16">
        <v>45845</v>
      </c>
      <c r="X172" s="80"/>
      <c r="Y172" s="79">
        <v>5.22</v>
      </c>
      <c r="Z172" s="79">
        <v>5.0999999999999996</v>
      </c>
      <c r="AA172" s="79">
        <f>+Tabla2[[#This Row],[Precio compra]]+Tabla2[[#This Row],[Div.]]</f>
        <v>5.0999999999999996</v>
      </c>
      <c r="AB172" s="96"/>
      <c r="AC172" s="79">
        <v>6.79</v>
      </c>
      <c r="AD172" s="79">
        <f>+Tabla2[[#This Row],[Objetivo div2]]+Tabla2[[#This Row],[Div.]]</f>
        <v>6.79</v>
      </c>
      <c r="AE172" s="159">
        <f ca="1">IF(Z172="-",+AC172/Y172-1,AC172/D172-1)</f>
        <v>0.95114942528735624</v>
      </c>
      <c r="AF172" s="81">
        <v>7.16</v>
      </c>
      <c r="AG172" s="253">
        <f ca="1">IF(Z172="-",+AF172/D172-1,AF172/D172-1)</f>
        <v>1.0574712643678161</v>
      </c>
      <c r="AH172" s="81">
        <v>4.4400000000000004</v>
      </c>
      <c r="AI172" s="147">
        <f ca="1">IF(Z172="-",AH172/Y172-1,+AH172/D172-1)</f>
        <v>0.27586206896551735</v>
      </c>
      <c r="AJ172" s="121">
        <f ca="1">IF(Z172="-","-",+(D172/Z172)-1)</f>
        <v>-0.31764705882352939</v>
      </c>
      <c r="AK172" s="120">
        <f ca="1">IF(AA172="-","-",+(D172/AA172)-1)</f>
        <v>-0.31764705882352939</v>
      </c>
      <c r="AM172" s="49" t="str">
        <f>IF(AL172=0,"-",+AL172/Z172-1)</f>
        <v>-</v>
      </c>
      <c r="AN172" s="28">
        <f ca="1">+D172/Y172-1</f>
        <v>-0.33333333333333326</v>
      </c>
      <c r="AO172" s="75">
        <f ca="1">VLOOKUP(Tabla2[[#This Row],[TCKR]],'2026'!$D$5:$AH$257,8,FALSE)</f>
        <v>1657</v>
      </c>
      <c r="AP172" s="193">
        <f ca="1">VLOOKUP(Tabla2[[#This Row],[TCKR]],'2026'!$D$5:$AH$257,26,FALSE)</f>
        <v>-637.51954517067657</v>
      </c>
      <c r="AQ172" s="5" cm="1">
        <f t="array" aca="1" ref="AQ172" ca="1">_FV(Tabla2[[#This Row],[valor]],"P/E",TRUE)</f>
        <v>0</v>
      </c>
      <c r="AR172" s="4"/>
      <c r="AT172" s="193">
        <f ca="1">+Tabla2[[#This Row],[Titulos2]]*Tabla2[[#This Row],[Neto]]</f>
        <v>0</v>
      </c>
      <c r="AU172" s="28">
        <f>+Tabla2[[#This Row],[Neto]]/Tabla2[[#This Row],[Precio compra2]]</f>
        <v>0</v>
      </c>
    </row>
    <row r="173" spans="1:47" ht="16" customHeight="1" x14ac:dyDescent="0.2">
      <c r="A173" s="325" t="e" vm="237">
        <v>#VALUE!</v>
      </c>
      <c r="B173" s="75" t="str" cm="1">
        <f t="array" aca="1" ref="B173" ca="1">_FV(A173,"Ticker symbol",TRUE)</f>
        <v>CLSK</v>
      </c>
      <c r="C173" s="217" cm="1">
        <f t="array" aca="1" ref="C173" ca="1">_FV(A173,"Change (%)",TRUE)</f>
        <v>-3.9969000000000005E-2</v>
      </c>
      <c r="D173" s="144" cm="1">
        <f t="array" aca="1" ref="D173" ca="1">_FV(A173,"Price")</f>
        <v>12.25</v>
      </c>
      <c r="E173" s="289">
        <f ca="1">AE173</f>
        <v>0.92653061224489797</v>
      </c>
      <c r="F173" s="321">
        <f ca="1">+Tabla2[[#This Row],[Rentab. Parcial]]</f>
        <v>0.28811777076761302</v>
      </c>
      <c r="G173" s="321">
        <f ca="1">+Tabla2[[#This Row],[Rentab. Parcial2]]</f>
        <v>0.28811777076761302</v>
      </c>
      <c r="H173" s="253">
        <f ca="1">+Tabla2[[#This Row],[Difer. Investing]]</f>
        <v>0.56653061224489809</v>
      </c>
      <c r="I173" s="79">
        <f>+Tabla2[[#This Row],[Objetivo div2]]</f>
        <v>23.6</v>
      </c>
      <c r="J173" s="75" cm="1">
        <f t="array" aca="1" ref="J173" ca="1">_FV(A173,"High")</f>
        <v>12.7</v>
      </c>
      <c r="K173" s="75" cm="1">
        <f t="array" aca="1" ref="K173" ca="1">_FV(A173,"Low")</f>
        <v>11.97</v>
      </c>
      <c r="L173" s="75" cm="1">
        <f t="array" aca="1" ref="L173" ca="1">_FV(A173,"52 week high",TRUE)</f>
        <v>23.61</v>
      </c>
      <c r="M173" s="75">
        <f ca="1">+L173*0.9</f>
        <v>21.248999999999999</v>
      </c>
      <c r="N173" s="75">
        <f ca="1">+L173*0.95</f>
        <v>22.429499999999997</v>
      </c>
      <c r="O173" s="75" cm="1">
        <f t="array" aca="1" ref="O173" ca="1">_FV(A173,"52 week low",TRUE)</f>
        <v>7.82</v>
      </c>
      <c r="P173" s="220">
        <f ca="1">+TODAY()-Tabla2[[#This Row],[F. compra]]</f>
        <v>47</v>
      </c>
      <c r="Q173" s="220">
        <f ca="1">GESTEP(D173,M173)</f>
        <v>0</v>
      </c>
      <c r="R173" s="220">
        <f ca="1">GESTEP(D173,N173)</f>
        <v>0</v>
      </c>
      <c r="S173" s="75" t="s">
        <v>75</v>
      </c>
      <c r="T173" s="110" t="s">
        <v>26</v>
      </c>
      <c r="U173" s="110" t="s">
        <v>88</v>
      </c>
      <c r="V173" s="16">
        <v>46093</v>
      </c>
      <c r="W173" s="16">
        <v>46093</v>
      </c>
      <c r="X173" s="80"/>
      <c r="Y173" s="79">
        <v>9.6</v>
      </c>
      <c r="Z173" s="79">
        <v>9.51</v>
      </c>
      <c r="AA173" s="79">
        <v>9.51</v>
      </c>
      <c r="AB173" s="79"/>
      <c r="AC173" s="79">
        <v>23.6</v>
      </c>
      <c r="AD173" s="79">
        <f>+Tabla2[[#This Row],[Objetivo div2]]+Tabla2[[#This Row],[Div.]]</f>
        <v>23.6</v>
      </c>
      <c r="AE173" s="289">
        <f ca="1">IF(Z173="-",+AC173/Y173-1,AC173/D173-1)</f>
        <v>0.92653061224489797</v>
      </c>
      <c r="AF173" s="76">
        <v>19.190000000000001</v>
      </c>
      <c r="AG173" s="253">
        <f ca="1">IF(Z173="-",+AF173/D173-1,AF173/D173-1)</f>
        <v>0.56653061224489809</v>
      </c>
      <c r="AH173" s="76">
        <v>8.24</v>
      </c>
      <c r="AI173" s="147">
        <f ca="1">IF(Z173="-",AH173/Y173-1,+AH173/D173-1)</f>
        <v>-0.32734693877551013</v>
      </c>
      <c r="AJ173" s="121">
        <f ca="1">IF(Z173="-","-",+(D173/Z173)-1)</f>
        <v>0.28811777076761302</v>
      </c>
      <c r="AK173" s="120">
        <f ca="1">IF(AA173="-","-",+(D173/AA173)-1)</f>
        <v>0.28811777076761302</v>
      </c>
      <c r="AM173" s="49" t="str">
        <f>IF(AL173=0,"-",+AL173/Z173-1)</f>
        <v>-</v>
      </c>
      <c r="AN173" s="28">
        <f ca="1">+D173/Y173-1</f>
        <v>0.27604166666666674</v>
      </c>
      <c r="AO173" s="75"/>
      <c r="AP173" s="193"/>
      <c r="AR173" s="4"/>
      <c r="AU173" s="28"/>
    </row>
    <row r="174" spans="1:47" ht="16" customHeight="1" x14ac:dyDescent="0.2">
      <c r="A174" s="325" t="e" vm="192">
        <v>#VALUE!</v>
      </c>
      <c r="B174" s="75" t="str" cm="1">
        <f t="array" aca="1" ref="B174" ca="1">_FV(A174,"Ticker symbol",TRUE)</f>
        <v>WEAV</v>
      </c>
      <c r="C174" s="217" cm="1">
        <f t="array" aca="1" ref="C174" ca="1">_FV(A174,"Change (%)",TRUE)</f>
        <v>0</v>
      </c>
      <c r="D174" s="144" cm="1">
        <f t="array" aca="1" ref="D174" ca="1">_FV(A174,"Price")</f>
        <v>4.87</v>
      </c>
      <c r="E174" s="289">
        <f ca="1">AE174</f>
        <v>0.94866529774127306</v>
      </c>
      <c r="F174" s="321">
        <f ca="1">+Tabla2[[#This Row],[Rentab. Parcial]]</f>
        <v>-0.36173001310615982</v>
      </c>
      <c r="G174" s="321">
        <f ca="1">+Tabla2[[#This Row],[Rentab. Parcial2]]</f>
        <v>-0.36173001310615982</v>
      </c>
      <c r="H174" s="253">
        <f ca="1">+Tabla2[[#This Row],[Difer. Investing]]</f>
        <v>1.1396303901437372</v>
      </c>
      <c r="I174" s="79">
        <f>+Tabla2[[#This Row],[Objetivo div2]]</f>
        <v>9.49</v>
      </c>
      <c r="J174" s="75" cm="1">
        <f t="array" aca="1" ref="J174" ca="1">_FV(A174,"High")</f>
        <v>4.9550000000000001</v>
      </c>
      <c r="K174" s="75" cm="1">
        <f t="array" aca="1" ref="K174" ca="1">_FV(A174,"Low")</f>
        <v>4.76</v>
      </c>
      <c r="L174" s="75" cm="1">
        <f t="array" aca="1" ref="L174" ca="1">_FV(Tabla2[[#This Row],[valor]],"52 week high",TRUE)</f>
        <v>11.32</v>
      </c>
      <c r="M174" s="75">
        <f ca="1">+L174*0.9</f>
        <v>10.188000000000001</v>
      </c>
      <c r="N174" s="75">
        <f ca="1">+L174*0.95</f>
        <v>10.754</v>
      </c>
      <c r="O174" s="75" cm="1">
        <f t="array" aca="1" ref="O174" ca="1">_FV(A174,"52 week low",TRUE)</f>
        <v>4.24</v>
      </c>
      <c r="P174" s="220">
        <f ca="1">+TODAY()-Tabla2[[#This Row],[F. compra]]</f>
        <v>116</v>
      </c>
      <c r="Q174" s="220">
        <f ca="1">GESTEP(D174,M174)</f>
        <v>0</v>
      </c>
      <c r="R174" s="220">
        <f ca="1">GESTEP(D174,N174)</f>
        <v>0</v>
      </c>
      <c r="S174" s="75" t="s">
        <v>166</v>
      </c>
      <c r="T174" s="110" t="s">
        <v>78</v>
      </c>
      <c r="U174" s="110" t="s">
        <v>88</v>
      </c>
      <c r="V174" s="16">
        <v>46024</v>
      </c>
      <c r="W174" s="16">
        <v>46024</v>
      </c>
      <c r="X174" s="80"/>
      <c r="Y174" s="79">
        <v>7.63</v>
      </c>
      <c r="Z174" s="79">
        <v>7.63</v>
      </c>
      <c r="AA174" s="79">
        <v>7.63</v>
      </c>
      <c r="AB174" s="79"/>
      <c r="AC174" s="79">
        <v>9.49</v>
      </c>
      <c r="AD174" s="79">
        <f>+Tabla2[[#This Row],[Objetivo div2]]+Tabla2[[#This Row],[Div.]]</f>
        <v>9.49</v>
      </c>
      <c r="AE174" s="289">
        <f ca="1">IF(Z174="-",+AC174/Y174-1,AC174/D174-1)</f>
        <v>0.94866529774127306</v>
      </c>
      <c r="AF174" s="76">
        <v>10.42</v>
      </c>
      <c r="AG174" s="253">
        <f ca="1">IF(Z174="-",+AF174/D174-1,AF174/D174-1)</f>
        <v>1.1396303901437372</v>
      </c>
      <c r="AH174" s="76">
        <v>6.63</v>
      </c>
      <c r="AI174" s="147">
        <f ca="1">IF(Z174="-",AH174/Y174-1,+AH174/D174-1)</f>
        <v>0.3613963039014374</v>
      </c>
      <c r="AJ174" s="121">
        <f ca="1">IF(Z174="-","-",+(D174/Z174)-1)</f>
        <v>-0.36173001310615982</v>
      </c>
      <c r="AK174" s="120">
        <f ca="1">IF(AA174="-","-",+(D174/AA174)-1)</f>
        <v>-0.36173001310615982</v>
      </c>
      <c r="AM174" s="49" t="str">
        <f>IF(AL174=0,"-",+AL174/Z174-1)</f>
        <v>-</v>
      </c>
      <c r="AN174" s="28">
        <f ca="1">+D174/Y174-1</f>
        <v>-0.36173001310615982</v>
      </c>
      <c r="AO174" s="75">
        <f ca="1">VLOOKUP(Tabla2[[#This Row],[TCKR]],'2026'!$D$5:$AH$257,8,FALSE)</f>
        <v>2000</v>
      </c>
      <c r="AP174" s="193">
        <f ca="1">VLOOKUP(Tabla2[[#This Row],[TCKR]],'2026'!$D$5:$AH$257,26,FALSE)</f>
        <v>-3776.4715779928383</v>
      </c>
      <c r="AQ174" s="5" t="e" cm="1" vm="221">
        <f t="array" ref="AQ174">_FV(Tabla2[[#This Row],[valor]],"P/E",TRUE)</f>
        <v>#VALUE!</v>
      </c>
      <c r="AR174" s="4"/>
      <c r="AT174" s="193">
        <f ca="1">+Tabla2[[#This Row],[Titulos2]]*Tabla2[[#This Row],[Neto]]</f>
        <v>0</v>
      </c>
      <c r="AU174" s="28">
        <f>+Tabla2[[#This Row],[Neto]]/Tabla2[[#This Row],[Precio compra2]]</f>
        <v>0</v>
      </c>
    </row>
    <row r="175" spans="1:47" ht="16" customHeight="1" x14ac:dyDescent="0.2">
      <c r="A175" s="75" t="e" vm="84">
        <v>#VALUE!</v>
      </c>
      <c r="B175" s="75" t="str" cm="1">
        <f t="array" aca="1" ref="B175" ca="1">_FV(A175,"Ticker symbol",TRUE)</f>
        <v>HBX</v>
      </c>
      <c r="C175" s="217" cm="1">
        <f t="array" aca="1" ref="C175" ca="1">_FV(A175,"Change (%)",TRUE)</f>
        <v>-1.5190000000000002E-3</v>
      </c>
      <c r="D175" s="144" cm="1">
        <f t="array" aca="1" ref="D175" ca="1">_FV(A175,"Price")</f>
        <v>6.5750000000000002</v>
      </c>
      <c r="E175" s="159">
        <f ca="1">AE175</f>
        <v>0.97718631178707227</v>
      </c>
      <c r="F175" s="321">
        <f ca="1">+Tabla2[[#This Row],[Rentab. Parcial]]</f>
        <v>-0.39678899082568808</v>
      </c>
      <c r="G175" s="321">
        <f ca="1">+Tabla2[[#This Row],[Rentab. Parcial2]]</f>
        <v>-0.39678899082568808</v>
      </c>
      <c r="H175" s="253">
        <f ca="1">+Tabla2[[#This Row],[Difer. Investing]]</f>
        <v>1.0532319391634979</v>
      </c>
      <c r="I175" s="79">
        <f>+Tabla2[[#This Row],[Objetivo div2]]</f>
        <v>13</v>
      </c>
      <c r="J175" s="75" cm="1">
        <f t="array" aca="1" ref="J175" ca="1">_FV(A175,"High")</f>
        <v>6.6849999999999996</v>
      </c>
      <c r="K175" s="75" cm="1">
        <f t="array" aca="1" ref="K175" ca="1">_FV(A175,"Low")</f>
        <v>6.53</v>
      </c>
      <c r="L175" s="75" cm="1">
        <f t="array" aca="1" ref="L175" ca="1">_FV(Tabla2[[#This Row],[valor]],"52 week high",TRUE)</f>
        <v>11.68</v>
      </c>
      <c r="M175" s="75">
        <f ca="1">+L175*0.9</f>
        <v>10.512</v>
      </c>
      <c r="N175" s="75">
        <f ca="1">+L175*0.95</f>
        <v>11.096</v>
      </c>
      <c r="O175" s="75" cm="1">
        <f t="array" aca="1" ref="O175" ca="1">_FV(A175,"52 week low",TRUE)</f>
        <v>5.62</v>
      </c>
      <c r="P175" s="220">
        <f ca="1">+TODAY()-Tabla2[[#This Row],[F. compra]]</f>
        <v>316</v>
      </c>
      <c r="Q175" s="220">
        <f ca="1">GESTEP(D175,M175)</f>
        <v>0</v>
      </c>
      <c r="R175" s="220">
        <f ca="1">GESTEP(D175,N175)</f>
        <v>0</v>
      </c>
      <c r="S175" s="75" t="s">
        <v>166</v>
      </c>
      <c r="T175" s="110" t="s">
        <v>136</v>
      </c>
      <c r="U175" s="110" t="s">
        <v>72</v>
      </c>
      <c r="V175" s="16">
        <v>45824</v>
      </c>
      <c r="W175" s="16">
        <f>+Tabla2[[#This Row],[F. publicación]]</f>
        <v>45824</v>
      </c>
      <c r="X175" s="80"/>
      <c r="Y175" s="79">
        <v>10.9</v>
      </c>
      <c r="Z175" s="79">
        <v>10.9</v>
      </c>
      <c r="AA175" s="79">
        <f>+Tabla2[[#This Row],[Precio compra]]+Tabla2[[#This Row],[Div.]]</f>
        <v>10.9</v>
      </c>
      <c r="AB175" s="96"/>
      <c r="AC175" s="79">
        <v>13</v>
      </c>
      <c r="AD175" s="79">
        <f>+Tabla2[[#This Row],[Objetivo div2]]+Tabla2[[#This Row],[Div.]]</f>
        <v>13</v>
      </c>
      <c r="AE175" s="159">
        <f ca="1">IF(Z175="-",+AC175/Y175-1,AC175/D175-1)</f>
        <v>0.97718631178707227</v>
      </c>
      <c r="AF175" s="81">
        <v>13.5</v>
      </c>
      <c r="AG175" s="253">
        <f ca="1">IF(Z175="-",+AF175/D175-1,AF175/D175-1)</f>
        <v>1.0532319391634979</v>
      </c>
      <c r="AH175" s="81">
        <v>10</v>
      </c>
      <c r="AI175" s="147">
        <f ca="1">IF(Z175="-",AH175/Y175-1,+AH175/D175-1)</f>
        <v>0.52091254752851701</v>
      </c>
      <c r="AJ175" s="121">
        <f ca="1">IF(Z175="-","-",+(D175/Z175)-1)</f>
        <v>-0.39678899082568808</v>
      </c>
      <c r="AK175" s="120">
        <f ca="1">IF(AA175="-","-",+(D175/AA175)-1)</f>
        <v>-0.39678899082568808</v>
      </c>
      <c r="AM175" s="49" t="str">
        <f>IF(AL175=0,"-",+AL175/Z175-1)</f>
        <v>-</v>
      </c>
      <c r="AN175" s="28">
        <f ca="1">+D175/Y175-1</f>
        <v>-0.39678899082568808</v>
      </c>
      <c r="AO175" s="75">
        <f ca="1">VLOOKUP(Tabla2[[#This Row],[TCKR]],'2026'!$D$5:$AH$257,8,FALSE)</f>
        <v>1098</v>
      </c>
      <c r="AP175" s="193">
        <f ca="1">VLOOKUP(Tabla2[[#This Row],[TCKR]],'2026'!$D$5:$AH$257,26,FALSE)</f>
        <v>-3787.3123488994338</v>
      </c>
      <c r="AQ175" s="5" t="e" cm="1" vm="221">
        <f t="array" ref="AQ175">_FV(Tabla2[[#This Row],[valor]],"P/E",TRUE)</f>
        <v>#VALUE!</v>
      </c>
      <c r="AR175" s="4"/>
      <c r="AT175" s="193">
        <f ca="1">+Tabla2[[#This Row],[Titulos2]]*Tabla2[[#This Row],[Neto]]</f>
        <v>0</v>
      </c>
      <c r="AU175" s="28">
        <f>+Tabla2[[#This Row],[Neto]]/Tabla2[[#This Row],[Precio compra2]]</f>
        <v>0</v>
      </c>
    </row>
    <row r="176" spans="1:47" ht="16" customHeight="1" x14ac:dyDescent="0.2">
      <c r="A176" s="323" t="e" vm="31">
        <v>#VALUE!</v>
      </c>
      <c r="B176" s="75" t="str" cm="1">
        <f t="array" aca="1" ref="B176" ca="1">_FV(A176,"Ticker symbol",TRUE)</f>
        <v>BSY</v>
      </c>
      <c r="C176" s="217" cm="1">
        <f t="array" aca="1" ref="C176" ca="1">_FV(A176,"Change (%)",TRUE)</f>
        <v>-1.8242000000000001E-2</v>
      </c>
      <c r="D176" s="144" cm="1">
        <f t="array" aca="1" ref="D176" ca="1">_FV(A176,"Price")</f>
        <v>32.83</v>
      </c>
      <c r="E176" s="159">
        <f ca="1">AE176</f>
        <v>1.0423393237892173</v>
      </c>
      <c r="F176" s="321">
        <f ca="1">+Tabla2[[#This Row],[Rentab. Parcial]]</f>
        <v>-0.41697744627952416</v>
      </c>
      <c r="G176" s="321">
        <f ca="1">+Tabla2[[#This Row],[Rentab. Parcial2]]</f>
        <v>-0.41893805309734511</v>
      </c>
      <c r="H176" s="253">
        <f ca="1">+Tabla2[[#This Row],[Difer. Investing]]</f>
        <v>1.1989034419738043</v>
      </c>
      <c r="I176" s="79">
        <f>+Tabla2[[#This Row],[Objetivo div2]]</f>
        <v>67.05</v>
      </c>
      <c r="J176" s="75" cm="1">
        <f t="array" aca="1" ref="J176" ca="1">_FV(A176,"High")</f>
        <v>33.72</v>
      </c>
      <c r="K176" s="75" cm="1">
        <f t="array" aca="1" ref="K176" ca="1">_FV(A176,"Low")</f>
        <v>32.79</v>
      </c>
      <c r="L176" s="75" cm="1">
        <f t="array" aca="1" ref="L176" ca="1">_FV(Tabla2[[#This Row],[valor]],"52 week high",TRUE)</f>
        <v>59.25</v>
      </c>
      <c r="M176" s="75">
        <f ca="1">+Tabla2[[#This Row],[52 high]]*0.9</f>
        <v>53.325000000000003</v>
      </c>
      <c r="N176" s="75">
        <f ca="1">+Tabla2[[#This Row],[52 high]]*0.95</f>
        <v>56.287499999999994</v>
      </c>
      <c r="O176" s="75" cm="1">
        <f t="array" aca="1" ref="O176" ca="1">_FV(Tabla2[[#This Row],[valor]],"52 week low",TRUE)</f>
        <v>30.83</v>
      </c>
      <c r="P176" s="220">
        <f ca="1">+TODAY()-Tabla2[[#This Row],[F. compra]]</f>
        <v>708</v>
      </c>
      <c r="Q176" s="220">
        <f ca="1">GESTEP(Tabla2[[#This Row],[price]],Tabla2[[#This Row],[HIGH 10%]])</f>
        <v>0</v>
      </c>
      <c r="R176" s="220">
        <f ca="1">GESTEP(Tabla2[[#This Row],[price]],Tabla2[[#This Row],[HIGH 5%]])</f>
        <v>0</v>
      </c>
      <c r="S176" s="75" t="s">
        <v>75</v>
      </c>
      <c r="T176" s="110" t="s">
        <v>78</v>
      </c>
      <c r="U176" s="110" t="s">
        <v>88</v>
      </c>
      <c r="V176" s="16">
        <v>45432</v>
      </c>
      <c r="W176" s="16">
        <v>45432</v>
      </c>
      <c r="X176" s="80"/>
      <c r="Y176" s="79">
        <v>56.56</v>
      </c>
      <c r="Z176" s="79">
        <f>56.5-Tabla2[[#This Row],[Div.]]</f>
        <v>56.31</v>
      </c>
      <c r="AA176" s="79">
        <f>+Tabla2[[#This Row],[Precio compra]]+Tabla2[[#This Row],[Div.]]</f>
        <v>56.5</v>
      </c>
      <c r="AB176" s="96">
        <v>0.19</v>
      </c>
      <c r="AC176" s="79">
        <f>67.24-Tabla2[[#This Row],[Div.]]</f>
        <v>67.05</v>
      </c>
      <c r="AD176" s="79">
        <f>+Tabla2[[#This Row],[Objetivo div2]]+Tabla2[[#This Row],[Div.]]</f>
        <v>67.239999999999995</v>
      </c>
      <c r="AE176" s="159">
        <f ca="1">IF(Z176="-",+AC176/Y176-1,AC176/D176-1)</f>
        <v>1.0423393237892173</v>
      </c>
      <c r="AF176" s="81">
        <f>72.38-Tabla2[[#This Row],[Div.]]</f>
        <v>72.19</v>
      </c>
      <c r="AG176" s="253">
        <f ca="1">IF(Z176="-",+AF176/D176-1,AF176/D176-1)</f>
        <v>1.1989034419738043</v>
      </c>
      <c r="AH176" s="81">
        <f>51.29-Tabla2[[#This Row],[Div.]]</f>
        <v>51.1</v>
      </c>
      <c r="AI176" s="147">
        <f ca="1">IF(Z176="-",AH176/Y176-1,+AH176/D176-1)</f>
        <v>0.55650319829424322</v>
      </c>
      <c r="AJ176" s="121">
        <f ca="1">IF(Z176="-","-",+(D176/Z176)-1)</f>
        <v>-0.41697744627952416</v>
      </c>
      <c r="AK176" s="120">
        <f ca="1">IF(AA176="-","-",+(D176/AA176)-1)</f>
        <v>-0.41893805309734511</v>
      </c>
      <c r="AM176" s="49" t="str">
        <f>IF(AL176=0,"-",+AL176/Z176-1)</f>
        <v>-</v>
      </c>
      <c r="AN176" s="28">
        <f ca="1">+D176/Y176-1</f>
        <v>-0.41955445544554459</v>
      </c>
      <c r="AO176" s="75">
        <f ca="1">VLOOKUP(Tabla2[[#This Row],[TCKR]],'2026'!$D$5:$AH$257,8,FALSE)</f>
        <v>133</v>
      </c>
      <c r="AP176" s="193">
        <f ca="1">VLOOKUP(Tabla2[[#This Row],[TCKR]],'2026'!$D$5:$AH$257,26,FALSE)</f>
        <v>-2559.5919976128125</v>
      </c>
      <c r="AQ176" s="5" cm="1">
        <f t="array" aca="1" ref="AQ176" ca="1">_FV(Tabla2[[#This Row],[valor]],"P/E",TRUE)</f>
        <v>39.148699999999998</v>
      </c>
      <c r="AR176" s="4"/>
      <c r="AT176" s="193">
        <f ca="1">+Tabla2[[#This Row],[Titulos2]]*Tabla2[[#This Row],[Neto]]</f>
        <v>0</v>
      </c>
      <c r="AU176" s="28">
        <f>+Tabla2[[#This Row],[Neto]]/Tabla2[[#This Row],[Precio compra2]]</f>
        <v>0</v>
      </c>
    </row>
    <row r="177" spans="1:47" ht="15" customHeight="1" x14ac:dyDescent="0.2">
      <c r="A177" s="75" t="e" vm="163">
        <v>#VALUE!</v>
      </c>
      <c r="B177" s="75" t="str" cm="1">
        <f t="array" aca="1" ref="B177" ca="1">_FV(A177,"Ticker symbol",TRUE)</f>
        <v>STLAM</v>
      </c>
      <c r="C177" s="217" cm="1">
        <f t="array" aca="1" ref="C177" ca="1">_FV(A177,"Change (%)",TRUE)</f>
        <v>-1.4630000000000001E-4</v>
      </c>
      <c r="D177" s="144" cm="1">
        <f t="array" aca="1" ref="D177" ca="1">_FV(A177,"Price")</f>
        <v>6.8360000000000003</v>
      </c>
      <c r="E177" s="159">
        <f ca="1">AE177</f>
        <v>1.0435927442949091</v>
      </c>
      <c r="F177" s="321">
        <f ca="1">+Tabla2[[#This Row],[Rentab. Parcial]]</f>
        <v>-0.43690280065897857</v>
      </c>
      <c r="G177" s="321">
        <f ca="1">+Tabla2[[#This Row],[Rentab. Parcial2]]</f>
        <v>-0.46257861635220121</v>
      </c>
      <c r="H177" s="253">
        <f ca="1">+Tabla2[[#This Row],[Difer. Investing]]</f>
        <v>1.137214745465184</v>
      </c>
      <c r="I177" s="79">
        <f>+Tabla2[[#This Row],[Objetivo div2]]</f>
        <v>13.97</v>
      </c>
      <c r="J177" s="75" cm="1">
        <f t="array" aca="1" ref="J177" ca="1">_FV(A177,"High")</f>
        <v>6.9569999999999999</v>
      </c>
      <c r="K177" s="75" cm="1">
        <f t="array" aca="1" ref="K177" ca="1">_FV(A177,"Low")</f>
        <v>6.7930000000000001</v>
      </c>
      <c r="L177" s="75" cm="1">
        <f t="array" aca="1" ref="L177" ca="1">_FV(Tabla2[[#This Row],[valor]],"52 week high",TRUE)</f>
        <v>10.49</v>
      </c>
      <c r="M177" s="75">
        <f ca="1">+L177*0.9</f>
        <v>9.4410000000000007</v>
      </c>
      <c r="N177" s="75">
        <f ca="1">+L177*0.95</f>
        <v>9.9655000000000005</v>
      </c>
      <c r="O177" s="75" cm="1">
        <f t="array" aca="1" ref="O177" ca="1">_FV(A177,"52 week low",TRUE)</f>
        <v>5.31</v>
      </c>
      <c r="P177" s="220">
        <f ca="1">+TODAY()-Tabla2[[#This Row],[F. compra]]</f>
        <v>466</v>
      </c>
      <c r="Q177" s="220">
        <f ca="1">GESTEP(D177,M177)</f>
        <v>0</v>
      </c>
      <c r="R177" s="220">
        <f ca="1">GESTEP(D177,N177)</f>
        <v>0</v>
      </c>
      <c r="S177" s="75" t="s">
        <v>75</v>
      </c>
      <c r="T177" s="110" t="s">
        <v>26</v>
      </c>
      <c r="U177" s="110" t="s">
        <v>26</v>
      </c>
      <c r="V177" s="16">
        <v>45674</v>
      </c>
      <c r="W177" s="16">
        <v>45674</v>
      </c>
      <c r="X177" s="80" t="s">
        <v>11</v>
      </c>
      <c r="Y177" s="79">
        <v>12.72</v>
      </c>
      <c r="Z177" s="79">
        <f>12.72-Tabla2[[#This Row],[Div.]]</f>
        <v>12.14</v>
      </c>
      <c r="AA177" s="79">
        <f>+Tabla2[[#This Row],[Precio compra]]+Tabla2[[#This Row],[Div.]]</f>
        <v>12.72</v>
      </c>
      <c r="AB177" s="96">
        <v>0.57999999999999996</v>
      </c>
      <c r="AC177" s="79">
        <f>14.55-Tabla2[[#This Row],[Div.]]</f>
        <v>13.97</v>
      </c>
      <c r="AD177" s="79">
        <f>+Tabla2[[#This Row],[Objetivo div2]]+Tabla2[[#This Row],[Div.]]</f>
        <v>14.55</v>
      </c>
      <c r="AE177" s="159">
        <f ca="1">IF(Z177="-",+AC177/Y177-1,AC177/D177-1)</f>
        <v>1.0435927442949091</v>
      </c>
      <c r="AF177" s="81">
        <v>14.61</v>
      </c>
      <c r="AG177" s="253">
        <f ca="1">IF(Z177="-",+AF177/D177-1,AF177/D177-1)</f>
        <v>1.137214745465184</v>
      </c>
      <c r="AH177" s="81">
        <f>11.08-Tabla2[[#This Row],[Div.]]</f>
        <v>10.5</v>
      </c>
      <c r="AI177" s="147">
        <f ca="1">IF(Z177="-",AH177/Y177-1,+AH177/D177-1)</f>
        <v>0.53598595669982441</v>
      </c>
      <c r="AJ177" s="121">
        <f ca="1">IF(Z177="-","-",+(D177/Z177)-1)</f>
        <v>-0.43690280065897857</v>
      </c>
      <c r="AK177" s="120">
        <f ca="1">IF(AA177="-","-",+(D177/AA177)-1)</f>
        <v>-0.46257861635220121</v>
      </c>
      <c r="AM177" s="49" t="str">
        <f>IF(AL177=0,"-",+AL177/Z177-1)</f>
        <v>-</v>
      </c>
      <c r="AN177" s="28">
        <f ca="1">+D177/Y177-1</f>
        <v>-0.46257861635220121</v>
      </c>
      <c r="AO177" s="75">
        <f ca="1">VLOOKUP(Tabla2[[#This Row],[TCKR]],'2026'!$D$5:$AH$257,8,FALSE)</f>
        <v>786</v>
      </c>
      <c r="AP177" s="193">
        <f ca="1">VLOOKUP(Tabla2[[#This Row],[TCKR]],'2026'!$D$5:$AH$257,26,FALSE)</f>
        <v>-3678.1136772125828</v>
      </c>
      <c r="AQ177" s="5" cm="1">
        <f t="array" aca="1" ref="AQ177" ca="1">_FV(Tabla2[[#This Row],[valor]],"P/E",TRUE)</f>
        <v>0</v>
      </c>
      <c r="AR177" s="4"/>
      <c r="AT177" s="193">
        <f ca="1">+Tabla2[[#This Row],[Titulos2]]*Tabla2[[#This Row],[Neto]]</f>
        <v>0</v>
      </c>
      <c r="AU177" s="28">
        <f>+Tabla2[[#This Row],[Neto]]/Tabla2[[#This Row],[Precio compra2]]</f>
        <v>0</v>
      </c>
    </row>
    <row r="178" spans="1:47" ht="15" customHeight="1" x14ac:dyDescent="0.2">
      <c r="A178" s="323" t="e" vm="42">
        <v>#VALUE!</v>
      </c>
      <c r="B178" s="75" t="str" cm="1">
        <f t="array" aca="1" ref="B178" ca="1">_FV(A178,"Ticker symbol",TRUE)</f>
        <v>CERT</v>
      </c>
      <c r="C178" s="217" cm="1">
        <f t="array" aca="1" ref="C178" ca="1">_FV(A178,"Change (%)",TRUE)</f>
        <v>-1.2658000000000001E-2</v>
      </c>
      <c r="D178" s="144" cm="1">
        <f t="array" aca="1" ref="D178" ca="1">_FV(A178,"Price")</f>
        <v>6.24</v>
      </c>
      <c r="E178" s="159">
        <f ca="1">AE178</f>
        <v>1.1121794871794872</v>
      </c>
      <c r="F178" s="321">
        <f ca="1">+Tabla2[[#This Row],[Rentab. Parcial]]</f>
        <v>-0.47341772151898731</v>
      </c>
      <c r="G178" s="321">
        <f ca="1">+Tabla2[[#This Row],[Rentab. Parcial2]]</f>
        <v>-0.47341772151898731</v>
      </c>
      <c r="H178" s="253">
        <f ca="1">+Tabla2[[#This Row],[Difer. Investing]]</f>
        <v>1.2916666666666665</v>
      </c>
      <c r="I178" s="79">
        <f>+Tabla2[[#This Row],[Objetivo div2]]</f>
        <v>13.18</v>
      </c>
      <c r="J178" s="75" cm="1">
        <f t="array" aca="1" ref="J178" ca="1">_FV(A178,"High")</f>
        <v>6.46</v>
      </c>
      <c r="K178" s="75" cm="1">
        <f t="array" aca="1" ref="K178" ca="1">_FV(A178,"Low")</f>
        <v>6.24</v>
      </c>
      <c r="L178" s="75" cm="1">
        <f t="array" aca="1" ref="L178" ca="1">_FV(Tabla2[[#This Row],[valor]],"52 week high",TRUE)</f>
        <v>14.39</v>
      </c>
      <c r="M178" s="75">
        <f ca="1">+L178*0.9</f>
        <v>12.951000000000001</v>
      </c>
      <c r="N178" s="75">
        <f ca="1">+L178*0.95</f>
        <v>13.670500000000001</v>
      </c>
      <c r="O178" s="75" cm="1">
        <f t="array" aca="1" ref="O178" ca="1">_FV(A178,"52 week low",TRUE)</f>
        <v>5.19</v>
      </c>
      <c r="P178" s="220">
        <f ca="1">+TODAY()-Tabla2[[#This Row],[F. compra]]</f>
        <v>327</v>
      </c>
      <c r="Q178" s="220">
        <f ca="1">GESTEP(D178,M178)</f>
        <v>0</v>
      </c>
      <c r="R178" s="220">
        <f ca="1">GESTEP(D178,N178)</f>
        <v>0</v>
      </c>
      <c r="S178" s="75" t="s">
        <v>181</v>
      </c>
      <c r="T178" s="110" t="s">
        <v>78</v>
      </c>
      <c r="U178" s="110" t="s">
        <v>88</v>
      </c>
      <c r="V178" s="16">
        <v>45813</v>
      </c>
      <c r="W178" s="16">
        <v>45813</v>
      </c>
      <c r="X178" s="80"/>
      <c r="Y178" s="79">
        <v>11.85</v>
      </c>
      <c r="Z178" s="79">
        <v>11.85</v>
      </c>
      <c r="AA178" s="79">
        <f>+Tabla2[[#This Row],[Precio compra]]+Tabla2[[#This Row],[Div.]]</f>
        <v>11.85</v>
      </c>
      <c r="AB178" s="96"/>
      <c r="AC178" s="79">
        <v>13.18</v>
      </c>
      <c r="AD178" s="79">
        <f>+Tabla2[[#This Row],[Objetivo div2]]+Tabla2[[#This Row],[Div.]]</f>
        <v>13.18</v>
      </c>
      <c r="AE178" s="159">
        <f ca="1">IF(Z178="-",+AC178/Y178-1,AC178/D178-1)</f>
        <v>1.1121794871794872</v>
      </c>
      <c r="AF178" s="81">
        <v>14.3</v>
      </c>
      <c r="AG178" s="253">
        <f ca="1">IF(Z178="-",+AF178/D178-1,AF178/D178-1)</f>
        <v>1.2916666666666665</v>
      </c>
      <c r="AH178" s="81" t="s">
        <v>11</v>
      </c>
      <c r="AI178" s="147" t="e">
        <f ca="1">IF(Z178="-",AH178/Y178-1,+AH178/D178-1)</f>
        <v>#VALUE!</v>
      </c>
      <c r="AJ178" s="121">
        <f ca="1">IF(Z178="-","-",+(D178/Z178)-1)</f>
        <v>-0.47341772151898731</v>
      </c>
      <c r="AK178" s="120">
        <f ca="1">IF(AA178="-","-",+(D178/AA178)-1)</f>
        <v>-0.47341772151898731</v>
      </c>
      <c r="AM178" s="49" t="str">
        <f>IF(AL178=0,"-",+AL178/Z178-1)</f>
        <v>-</v>
      </c>
      <c r="AN178" s="28">
        <f ca="1">+D178/Y178-1</f>
        <v>-0.47341772151898731</v>
      </c>
      <c r="AO178" s="75">
        <f ca="1">VLOOKUP(Tabla2[[#This Row],[TCKR]],'2026'!$D$5:$AH$257,8,FALSE)</f>
        <v>900</v>
      </c>
      <c r="AP178" s="193">
        <f ca="1">VLOOKUP(Tabla2[[#This Row],[TCKR]],'2026'!$D$5:$AH$257,26,FALSE)</f>
        <v>-3565.5049333563147</v>
      </c>
      <c r="AQ178" s="5" cm="1">
        <f t="array" aca="1" ref="AQ178" ca="1">_FV(Tabla2[[#This Row],[valor]],"P/E",TRUE)</f>
        <v>0</v>
      </c>
      <c r="AR178" s="4"/>
      <c r="AT178" s="193">
        <f ca="1">+Tabla2[[#This Row],[Titulos2]]*Tabla2[[#This Row],[Neto]]</f>
        <v>0</v>
      </c>
      <c r="AU178" s="28">
        <f>+Tabla2[[#This Row],[Neto]]/Tabla2[[#This Row],[Precio compra2]]</f>
        <v>0</v>
      </c>
    </row>
    <row r="179" spans="1:47" ht="16" customHeight="1" x14ac:dyDescent="0.2">
      <c r="A179" s="75" t="e" vm="147">
        <v>#VALUE!</v>
      </c>
      <c r="B179" s="75" t="str" cm="1">
        <f t="array" aca="1" ref="B179" ca="1">_FV(A179,"Ticker symbol",TRUE)</f>
        <v>SAP</v>
      </c>
      <c r="C179" s="217" cm="1">
        <f t="array" aca="1" ref="C179" ca="1">_FV(A179,"Change (%)",TRUE)</f>
        <v>1.1407E-2</v>
      </c>
      <c r="D179" s="144" cm="1">
        <f t="array" aca="1" ref="D179" ca="1">_FV(A179,"Price")</f>
        <v>148.96</v>
      </c>
      <c r="E179" s="159">
        <f ca="1">AE179</f>
        <v>1.0972073039742209</v>
      </c>
      <c r="F179" s="321">
        <f ca="1">+Tabla2[[#This Row],[Rentab. Parcial]]</f>
        <v>-0.44819411002037413</v>
      </c>
      <c r="G179" s="321">
        <f ca="1">+Tabla2[[#This Row],[Rentab. Parcial2]]</f>
        <v>-0.44819411002037413</v>
      </c>
      <c r="H179" s="253">
        <f ca="1">+Tabla2[[#This Row],[Difer. Investing]]</f>
        <v>0.92487916219119226</v>
      </c>
      <c r="I179" s="79">
        <f>+Tabla2[[#This Row],[Objetivo div2]]</f>
        <v>312.39999999999998</v>
      </c>
      <c r="J179" s="75" cm="1">
        <f t="array" aca="1" ref="J179" ca="1">_FV(A179,"High")</f>
        <v>150.72</v>
      </c>
      <c r="K179" s="75" cm="1">
        <f t="array" aca="1" ref="K179" ca="1">_FV(A179,"Low")</f>
        <v>146.80000000000001</v>
      </c>
      <c r="L179" s="75" cm="1">
        <f t="array" aca="1" ref="L179" ca="1">_FV(Tabla2[[#This Row],[valor]],"52 week high",TRUE)</f>
        <v>273.55</v>
      </c>
      <c r="M179" s="75">
        <f ca="1">+L179*0.9</f>
        <v>246.19500000000002</v>
      </c>
      <c r="N179" s="75">
        <f ca="1">+L179*0.95</f>
        <v>259.8725</v>
      </c>
      <c r="O179" s="75" cm="1">
        <f t="array" aca="1" ref="O179" ca="1">_FV(A179,"52 week low",TRUE)</f>
        <v>137.54</v>
      </c>
      <c r="P179" s="220">
        <f ca="1">+TODAY()-Tabla2[[#This Row],[F. compra]]</f>
        <v>328</v>
      </c>
      <c r="Q179" s="220">
        <f ca="1">GESTEP(D179,M179)</f>
        <v>0</v>
      </c>
      <c r="R179" s="220">
        <f ca="1">GESTEP(D179,N179)</f>
        <v>0</v>
      </c>
      <c r="S179" s="75" t="s">
        <v>75</v>
      </c>
      <c r="T179" s="110" t="s">
        <v>78</v>
      </c>
      <c r="U179" s="110" t="s">
        <v>72</v>
      </c>
      <c r="V179" s="16">
        <v>45812</v>
      </c>
      <c r="W179" s="16">
        <v>45812</v>
      </c>
      <c r="X179" s="80"/>
      <c r="Y179" s="79">
        <v>270</v>
      </c>
      <c r="Z179" s="79">
        <v>269.95</v>
      </c>
      <c r="AA179" s="79">
        <f>+Tabla2[[#This Row],[Precio compra]]+Tabla2[[#This Row],[Div.]]</f>
        <v>269.95</v>
      </c>
      <c r="AB179" s="96"/>
      <c r="AC179" s="79">
        <v>312.39999999999998</v>
      </c>
      <c r="AD179" s="79">
        <f>+Tabla2[[#This Row],[Objetivo div2]]+Tabla2[[#This Row],[Div.]]</f>
        <v>312.39999999999998</v>
      </c>
      <c r="AE179" s="159">
        <f ca="1">IF(Z179="-",+AC179/Y179-1,AC179/D179-1)</f>
        <v>1.0972073039742209</v>
      </c>
      <c r="AF179" s="81">
        <v>286.73</v>
      </c>
      <c r="AG179" s="253">
        <f ca="1">IF(Z179="-",+AF179/D179-1,AF179/D179-1)</f>
        <v>0.92487916219119226</v>
      </c>
      <c r="AH179" s="81">
        <v>248.8</v>
      </c>
      <c r="AI179" s="147">
        <f ca="1">IF(Z179="-",AH179/Y179-1,+AH179/D179-1)</f>
        <v>0.6702470461868959</v>
      </c>
      <c r="AJ179" s="121">
        <f ca="1">IF(Z179="-","-",+(D179/Z179)-1)</f>
        <v>-0.44819411002037413</v>
      </c>
      <c r="AK179" s="120">
        <f ca="1">IF(AA179="-","-",+(D179/AA179)-1)</f>
        <v>-0.44819411002037413</v>
      </c>
      <c r="AM179" s="49" t="str">
        <f>IF(AL179=0,"-",+AL179/Z179-1)</f>
        <v>-</v>
      </c>
      <c r="AN179" s="28">
        <f ca="1">+D179/Y179-1</f>
        <v>-0.4482962962962963</v>
      </c>
      <c r="AO179" s="75">
        <f ca="1">VLOOKUP(Tabla2[[#This Row],[TCKR]],'2026'!$D$5:$AH$257,8,FALSE)</f>
        <v>45</v>
      </c>
      <c r="AP179" s="193">
        <f ca="1">VLOOKUP(Tabla2[[#This Row],[TCKR]],'2026'!$D$5:$AH$257,26,FALSE)</f>
        <v>-4325.8385776957721</v>
      </c>
      <c r="AQ179" s="5" cm="1">
        <f t="array" aca="1" ref="AQ179" ca="1">_FV(Tabla2[[#This Row],[valor]],"P/E",TRUE)</f>
        <v>23.738600000000002</v>
      </c>
      <c r="AR179" s="4"/>
      <c r="AT179" s="193">
        <f ca="1">+Tabla2[[#This Row],[Titulos2]]*Tabla2[[#This Row],[Neto]]</f>
        <v>0</v>
      </c>
      <c r="AU179" s="28">
        <f>+Tabla2[[#This Row],[Neto]]/Tabla2[[#This Row],[Precio compra2]]</f>
        <v>0</v>
      </c>
    </row>
    <row r="180" spans="1:47" ht="16" customHeight="1" x14ac:dyDescent="0.2">
      <c r="A180" s="323" t="e" vm="94">
        <v>#VALUE!</v>
      </c>
      <c r="B180" s="75" t="str" cm="1">
        <f t="array" aca="1" ref="B180" ca="1">_FV(A180,"Ticker symbol",TRUE)</f>
        <v>INTU</v>
      </c>
      <c r="C180" s="217" cm="1">
        <f t="array" aca="1" ref="C180" ca="1">_FV(A180,"Change (%)",TRUE)</f>
        <v>-1.5228999999999999E-2</v>
      </c>
      <c r="D180" s="144" cm="1">
        <f t="array" aca="1" ref="D180" ca="1">_FV(A180,"Price")</f>
        <v>389.92</v>
      </c>
      <c r="E180" s="159">
        <f ca="1">AE180</f>
        <v>1.183888641193986</v>
      </c>
      <c r="F180" s="321">
        <f ca="1">+Tabla2[[#This Row],[Rentab. Parcial]]</f>
        <v>-0.42646328776942255</v>
      </c>
      <c r="G180" s="321">
        <f ca="1">+Tabla2[[#This Row],[Rentab. Parcial2]]</f>
        <v>-0.42976644876350922</v>
      </c>
      <c r="H180" s="253">
        <f ca="1">+Tabla2[[#This Row],[Difer. Investing]]</f>
        <v>1.0178754616331553</v>
      </c>
      <c r="I180" s="79">
        <f ca="1">+Tabla2[[#This Row],[Objetivo div2]]</f>
        <v>851.541858974359</v>
      </c>
      <c r="J180" s="75" cm="1">
        <f t="array" aca="1" ref="J180" ca="1">_FV(A180,"High")</f>
        <v>398.99</v>
      </c>
      <c r="K180" s="75" cm="1">
        <f t="array" aca="1" ref="K180" ca="1">_FV(A180,"Low")</f>
        <v>384.67500000000001</v>
      </c>
      <c r="L180" s="75" cm="1">
        <f t="array" aca="1" ref="L180" ca="1">_FV(Tabla2[[#This Row],[valor]],"52 week high",TRUE)</f>
        <v>813.7</v>
      </c>
      <c r="M180" s="75">
        <f ca="1">+Tabla2[[#This Row],[52 high]]*0.9</f>
        <v>732.33</v>
      </c>
      <c r="N180" s="75">
        <f ca="1">+Tabla2[[#This Row],[52 high]]*0.95</f>
        <v>773.01499999999999</v>
      </c>
      <c r="O180" s="75" cm="1">
        <f t="array" aca="1" ref="O180" ca="1">_FV(Tabla2[[#This Row],[valor]],"52 week low",TRUE)</f>
        <v>342.10500000000002</v>
      </c>
      <c r="P180" s="220">
        <f ca="1">+TODAY()-Tabla2[[#This Row],[F. compra]]</f>
        <v>533</v>
      </c>
      <c r="Q180" s="220">
        <f ca="1">GESTEP(Tabla2[[#This Row],[price]],Tabla2[[#This Row],[HIGH 10%]])</f>
        <v>0</v>
      </c>
      <c r="R180" s="220">
        <f ca="1">GESTEP(Tabla2[[#This Row],[price]],Tabla2[[#This Row],[HIGH 5%]])</f>
        <v>0</v>
      </c>
      <c r="S180" s="75" t="s">
        <v>75</v>
      </c>
      <c r="T180" s="110" t="s">
        <v>78</v>
      </c>
      <c r="U180" s="110" t="s">
        <v>26</v>
      </c>
      <c r="V180" s="16">
        <v>45607</v>
      </c>
      <c r="W180" s="16">
        <v>45607</v>
      </c>
      <c r="X180" s="80" t="s">
        <v>11</v>
      </c>
      <c r="Y180" s="79">
        <v>685.02</v>
      </c>
      <c r="Z180" s="79">
        <f ca="1">683.79-Tabla2[[#This Row],[Div.]]</f>
        <v>679.85185897435895</v>
      </c>
      <c r="AA180" s="79">
        <f ca="1">+Tabla2[[#This Row],[Precio compra]]+Tabla2[[#This Row],[Div.]]</f>
        <v>683.79</v>
      </c>
      <c r="AB180" s="96">
        <f ca="1">1.8+'dividendos 26'!E16+'dividendos 26'!E63</f>
        <v>3.9381410256410252</v>
      </c>
      <c r="AC180" s="79">
        <f ca="1">855.48-Tabla2[[#This Row],[Div.]]</f>
        <v>851.541858974359</v>
      </c>
      <c r="AD180" s="79">
        <f ca="1">+Tabla2[[#This Row],[Objetivo div2]]+Tabla2[[#This Row],[Div.]]</f>
        <v>855.48</v>
      </c>
      <c r="AE180" s="159">
        <f ca="1">IF(Z180="-",+AC180/Y180-1,AC180/D180-1)</f>
        <v>1.183888641193986</v>
      </c>
      <c r="AF180" s="81">
        <v>786.81</v>
      </c>
      <c r="AG180" s="253">
        <f ca="1">IF(Z180="-",+AF180/D180-1,AF180/D180-1)</f>
        <v>1.0178754616331553</v>
      </c>
      <c r="AH180" s="81">
        <f ca="1">599.79-Tabla2[[#This Row],[Div.]]</f>
        <v>595.85185897435895</v>
      </c>
      <c r="AI180" s="147">
        <f ca="1">IF(Z180="-",AH180/Y180-1,+AH180/D180-1)</f>
        <v>0.52813874377913139</v>
      </c>
      <c r="AJ180" s="121">
        <f ca="1">IF(Z180="-","-",+(D180/Z180)-1)</f>
        <v>-0.42646328776942255</v>
      </c>
      <c r="AK180" s="120">
        <f ca="1">IF(AA180="-","-",+(D180/AA180)-1)</f>
        <v>-0.42976644876350922</v>
      </c>
      <c r="AM180" s="49" t="str">
        <f>IF(AL180=0,"-",+AL180/Z180-1)</f>
        <v>-</v>
      </c>
      <c r="AN180" s="28">
        <f ca="1">+D180/Y180-1</f>
        <v>-0.43079034188782805</v>
      </c>
      <c r="AO180" s="75">
        <f ca="1">VLOOKUP(Tabla2[[#This Row],[TCKR]],'2026'!$D$5:$AH$257,8,FALSE)</f>
        <v>13</v>
      </c>
      <c r="AP180" s="193">
        <f ca="1">VLOOKUP(Tabla2[[#This Row],[TCKR]],'2026'!$D$5:$AH$257,26,FALSE)</f>
        <v>-3192.511737194809</v>
      </c>
      <c r="AQ180" s="5" cm="1">
        <f t="array" aca="1" ref="AQ180" ca="1">_FV(Tabla2[[#This Row],[valor]],"P/E",TRUE)</f>
        <v>25.7559</v>
      </c>
      <c r="AR180" s="4"/>
      <c r="AT180" s="193">
        <f ca="1">+Tabla2[[#This Row],[Titulos2]]*Tabla2[[#This Row],[Neto]]</f>
        <v>0</v>
      </c>
      <c r="AU180" s="28">
        <f ca="1">+Tabla2[[#This Row],[Neto]]/Tabla2[[#This Row],[Precio compra2]]</f>
        <v>0</v>
      </c>
    </row>
    <row r="181" spans="1:47" ht="16" customHeight="1" x14ac:dyDescent="0.2">
      <c r="A181" s="323" t="e" vm="118">
        <v>#VALUE!</v>
      </c>
      <c r="B181" s="75" t="str" cm="1">
        <f t="array" aca="1" ref="B181" ca="1">_FV(A181,"Ticker symbol",TRUE)</f>
        <v>MRNA</v>
      </c>
      <c r="C181" s="217" cm="1">
        <f t="array" aca="1" ref="C181" ca="1">_FV(A181,"Change (%)",TRUE)</f>
        <v>-4.0015999999999996E-2</v>
      </c>
      <c r="D181" s="144" cm="1">
        <f t="array" aca="1" ref="D181" ca="1">_FV(A181,"Price")</f>
        <v>48.7</v>
      </c>
      <c r="E181" s="159">
        <f ca="1">AE181</f>
        <v>1.2176591375770021</v>
      </c>
      <c r="F181" s="321">
        <f ca="1">+Tabla2[[#This Row],[Rentab. Parcial]]</f>
        <v>-0.54181955028695072</v>
      </c>
      <c r="G181" s="321">
        <f ca="1">+Tabla2[[#This Row],[Rentab. Parcial2]]</f>
        <v>-0.54181955028695072</v>
      </c>
      <c r="H181" s="253">
        <f ca="1">+Tabla2[[#This Row],[Difer. Investing]]</f>
        <v>-0.19486652977412733</v>
      </c>
      <c r="I181" s="79">
        <f>+Tabla2[[#This Row],[Objetivo div2]]</f>
        <v>108</v>
      </c>
      <c r="J181" s="75" cm="1">
        <f t="array" aca="1" ref="J181" ca="1">_FV(A181,"High")</f>
        <v>51.36</v>
      </c>
      <c r="K181" s="75" cm="1">
        <f t="array" aca="1" ref="K181" ca="1">_FV(A181,"Low")</f>
        <v>48.25</v>
      </c>
      <c r="L181" s="75" cm="1">
        <f t="array" aca="1" ref="L181" ca="1">_FV(Tabla2[[#This Row],[valor]],"52 week high",TRUE)</f>
        <v>59.55</v>
      </c>
      <c r="M181" s="75">
        <f ca="1">+Tabla2[[#This Row],[52 high]]*0.9</f>
        <v>53.594999999999999</v>
      </c>
      <c r="N181" s="75">
        <f ca="1">+Tabla2[[#This Row],[52 high]]*0.95</f>
        <v>56.572499999999998</v>
      </c>
      <c r="O181" s="75" cm="1">
        <f t="array" aca="1" ref="O181" ca="1">_FV(Tabla2[[#This Row],[valor]],"52 week low",TRUE)</f>
        <v>22.28</v>
      </c>
      <c r="P181" s="220">
        <f ca="1">+TODAY()-Tabla2[[#This Row],[F. compra]]</f>
        <v>757</v>
      </c>
      <c r="Q181" s="220">
        <f ca="1">GESTEP(Tabla2[[#This Row],[price]],Tabla2[[#This Row],[HIGH 10%]])</f>
        <v>0</v>
      </c>
      <c r="R181" s="220">
        <f ca="1">GESTEP(Tabla2[[#This Row],[price]],Tabla2[[#This Row],[HIGH 5%]])</f>
        <v>0</v>
      </c>
      <c r="S181" s="75" t="s">
        <v>75</v>
      </c>
      <c r="T181" s="110" t="s">
        <v>77</v>
      </c>
      <c r="U181" s="110" t="s">
        <v>26</v>
      </c>
      <c r="V181" s="16">
        <v>45378</v>
      </c>
      <c r="W181" s="16">
        <v>45383</v>
      </c>
      <c r="X181" s="80"/>
      <c r="Y181" s="79">
        <v>107.41</v>
      </c>
      <c r="Z181" s="79">
        <v>106.29</v>
      </c>
      <c r="AA181" s="79">
        <f>+Tabla2[[#This Row],[Precio compra]]+Tabla2[[#This Row],[Div.]]</f>
        <v>106.29</v>
      </c>
      <c r="AB181" s="96"/>
      <c r="AC181" s="79">
        <v>108</v>
      </c>
      <c r="AD181" s="79">
        <f>+Tabla2[[#This Row],[Objetivo div2]]+Tabla2[[#This Row],[Div.]]</f>
        <v>108</v>
      </c>
      <c r="AE181" s="159">
        <f ca="1">IF(Z181="-",+AC181/Y181-1,AC181/D181-1)</f>
        <v>1.2176591375770021</v>
      </c>
      <c r="AF181" s="81">
        <v>39.21</v>
      </c>
      <c r="AG181" s="253">
        <f ca="1">IF(Z181="-",+AF181/D181-1,AF181/D181-1)</f>
        <v>-0.19486652977412733</v>
      </c>
      <c r="AH181" s="81">
        <v>100</v>
      </c>
      <c r="AI181" s="147">
        <f ca="1">IF(Z181="-",AH181/Y181-1,+AH181/D181-1)</f>
        <v>1.0533880903490758</v>
      </c>
      <c r="AJ181" s="121">
        <f ca="1">IF(Z181="-","-",+(D181/Z181)-1)</f>
        <v>-0.54181955028695072</v>
      </c>
      <c r="AK181" s="120">
        <f ca="1">IF(AA181="-","-",+(D181/AA181)-1)</f>
        <v>-0.54181955028695072</v>
      </c>
      <c r="AM181" s="49" t="str">
        <f>IF(AL181=0,"-",+AL181/Z181-1)</f>
        <v>-</v>
      </c>
      <c r="AN181" s="28">
        <f ca="1">+D181/Y181-1</f>
        <v>-0.54659715110324925</v>
      </c>
      <c r="AO181" s="75">
        <f ca="1">VLOOKUP(Tabla2[[#This Row],[TCKR]],'2026'!$D$5:$AH$257,8,FALSE)</f>
        <v>69</v>
      </c>
      <c r="AP181" s="193">
        <f ca="1">VLOOKUP(Tabla2[[#This Row],[TCKR]],'2026'!$D$5:$AH$257,26,FALSE)</f>
        <v>-3168.2960324529868</v>
      </c>
      <c r="AQ181" s="5" cm="1">
        <f t="array" aca="1" ref="AQ181" ca="1">_FV(Tabla2[[#This Row],[valor]],"P/E",TRUE)</f>
        <v>0</v>
      </c>
      <c r="AR181" s="4"/>
      <c r="AT181" s="193">
        <f ca="1">+Tabla2[[#This Row],[Titulos2]]*Tabla2[[#This Row],[Neto]]</f>
        <v>0</v>
      </c>
      <c r="AU181" s="28">
        <f>+Tabla2[[#This Row],[Neto]]/Tabla2[[#This Row],[Precio compra2]]</f>
        <v>0</v>
      </c>
    </row>
    <row r="182" spans="1:47" ht="16" customHeight="1" x14ac:dyDescent="0.2">
      <c r="A182" s="324" t="e" vm="49">
        <v>#VALUE!</v>
      </c>
      <c r="B182" s="75" t="str" cm="1">
        <f t="array" aca="1" ref="B182" ca="1">_FV(A182,"Ticker symbol",TRUE)</f>
        <v>CNDT</v>
      </c>
      <c r="C182" s="217" cm="1">
        <f t="array" aca="1" ref="C182" ca="1">_FV(A182,"Change (%)",TRUE)</f>
        <v>0</v>
      </c>
      <c r="D182" s="144" cm="1">
        <f t="array" aca="1" ref="D182" ca="1">_FV(A182,"Price")</f>
        <v>1.7</v>
      </c>
      <c r="E182" s="307">
        <f ca="1">AE182</f>
        <v>1.2882352941176474</v>
      </c>
      <c r="F182" s="321">
        <f ca="1">+Tabla2[[#This Row],[Rentab. Parcial]]</f>
        <v>-0.42567567567567566</v>
      </c>
      <c r="G182" s="321">
        <f ca="1">+Tabla2[[#This Row],[Rentab. Parcial2]]</f>
        <v>-0.42567567567567566</v>
      </c>
      <c r="H182" s="253">
        <f ca="1">+Tabla2[[#This Row],[Difer. Investing]]</f>
        <v>3.1176470588235299</v>
      </c>
      <c r="I182" s="79">
        <f>+Tabla2[[#This Row],[Objetivo div2]]</f>
        <v>3.89</v>
      </c>
      <c r="J182" s="75" cm="1">
        <f t="array" aca="1" ref="J182" ca="1">_FV(A182,"High")</f>
        <v>1.77</v>
      </c>
      <c r="K182" s="75" cm="1">
        <f t="array" aca="1" ref="K182" ca="1">_FV(A182,"Low")</f>
        <v>1.7</v>
      </c>
      <c r="L182" s="75" cm="1">
        <f t="array" aca="1" ref="L182" ca="1">_FV(Tabla2[[#This Row],[valor]],"52 week high",TRUE)</f>
        <v>2.98</v>
      </c>
      <c r="M182" s="75">
        <f ca="1">+L182*0.9</f>
        <v>2.6819999999999999</v>
      </c>
      <c r="N182" s="75">
        <f ca="1">+L182*0.95</f>
        <v>2.831</v>
      </c>
      <c r="O182" s="75" cm="1">
        <f t="array" aca="1" ref="O182" ca="1">_FV(A182,"52 week low",TRUE)</f>
        <v>1.1499999999999999</v>
      </c>
      <c r="P182" s="220">
        <f ca="1">+TODAY()-Tabla2[[#This Row],[F. compra]]</f>
        <v>221</v>
      </c>
      <c r="Q182" s="220">
        <f ca="1">GESTEP(D182,M182)</f>
        <v>0</v>
      </c>
      <c r="R182" s="220">
        <f ca="1">GESTEP(D182,N182)</f>
        <v>0</v>
      </c>
      <c r="S182" s="75" t="s">
        <v>76</v>
      </c>
      <c r="T182" s="110" t="s">
        <v>78</v>
      </c>
      <c r="U182" s="110" t="s">
        <v>26</v>
      </c>
      <c r="V182" s="16">
        <v>45919</v>
      </c>
      <c r="W182" s="16">
        <v>45919</v>
      </c>
      <c r="X182" s="80"/>
      <c r="Y182" s="79">
        <v>2.97</v>
      </c>
      <c r="Z182" s="79">
        <v>2.96</v>
      </c>
      <c r="AA182" s="79">
        <v>2.96</v>
      </c>
      <c r="AB182" s="79"/>
      <c r="AC182" s="79">
        <v>3.89</v>
      </c>
      <c r="AD182" s="79">
        <f>+Tabla2[[#This Row],[Objetivo div2]]+Tabla2[[#This Row],[Div.]]</f>
        <v>3.89</v>
      </c>
      <c r="AE182" s="307">
        <f ca="1">IF(Z182="-",+AC182/Y182-1,AC182/D182-1)</f>
        <v>1.2882352941176474</v>
      </c>
      <c r="AF182" s="76">
        <v>7</v>
      </c>
      <c r="AG182" s="253">
        <f ca="1">IF(Z182="-",+AF182/D182-1,AF182/D182-1)</f>
        <v>3.1176470588235299</v>
      </c>
      <c r="AH182" s="76">
        <v>2.5</v>
      </c>
      <c r="AI182" s="147">
        <f ca="1">IF(Z182="-",AH182/Y182-1,+AH182/D182-1)</f>
        <v>0.47058823529411775</v>
      </c>
      <c r="AJ182" s="121">
        <f ca="1">IF(Z182="-","-",+(D182/Z182)-1)</f>
        <v>-0.42567567567567566</v>
      </c>
      <c r="AK182" s="120">
        <f ca="1">IF(AA182="-","-",+(D182/AA182)-1)</f>
        <v>-0.42567567567567566</v>
      </c>
      <c r="AM182" s="49" t="str">
        <f>IF(AL182=0,"-",+AL182/Z182-1)</f>
        <v>-</v>
      </c>
      <c r="AN182" s="28">
        <f ca="1">+D182/Y182-1</f>
        <v>-0.42760942760942766</v>
      </c>
      <c r="AO182" s="75">
        <f ca="1">VLOOKUP(Tabla2[[#This Row],[TCKR]],'2026'!$D$5:$AH$257,8,FALSE)</f>
        <v>1900</v>
      </c>
      <c r="AP182" s="193">
        <f ca="1">VLOOKUP(Tabla2[[#This Row],[TCKR]],'2026'!$D$5:$AH$257,26,FALSE)</f>
        <v>-3009.5896046859466</v>
      </c>
      <c r="AQ182" s="5" cm="1">
        <f t="array" aca="1" ref="AQ182" ca="1">_FV(Tabla2[[#This Row],[valor]],"P/E",TRUE)</f>
        <v>0</v>
      </c>
      <c r="AR182" s="4"/>
      <c r="AT182" s="193">
        <f ca="1">+Tabla2[[#This Row],[Titulos2]]*Tabla2[[#This Row],[Neto]]</f>
        <v>0</v>
      </c>
      <c r="AU182" s="28">
        <f>+Tabla2[[#This Row],[Neto]]/Tabla2[[#This Row],[Precio compra2]]</f>
        <v>0</v>
      </c>
    </row>
    <row r="183" spans="1:47" ht="16" customHeight="1" x14ac:dyDescent="0.2">
      <c r="A183" s="325" t="e" vm="132">
        <v>#VALUE!</v>
      </c>
      <c r="B183" s="75" t="str" cm="1">
        <f t="array" aca="1" ref="B183" ca="1">_FV(A183,"Ticker symbol",TRUE)</f>
        <v>PGY</v>
      </c>
      <c r="C183" s="217" cm="1">
        <f t="array" aca="1" ref="C183" ca="1">_FV(A183,"Change (%)",TRUE)</f>
        <v>-2.2075000000000001E-2</v>
      </c>
      <c r="D183" s="144" cm="1">
        <f t="array" aca="1" ref="D183" ca="1">_FV(A183,"Price")</f>
        <v>13.29</v>
      </c>
      <c r="E183" s="289">
        <f ca="1">AE183</f>
        <v>1.3370955605718584</v>
      </c>
      <c r="F183" s="321">
        <f ca="1">+Tabla2[[#This Row],[Rentab. Parcial]]</f>
        <v>-0.43876689189189189</v>
      </c>
      <c r="G183" s="321">
        <f ca="1">+Tabla2[[#This Row],[Rentab. Parcial2]]</f>
        <v>-0.43876689189189189</v>
      </c>
      <c r="H183" s="253">
        <f ca="1">+Tabla2[[#This Row],[Difer. Investing]]</f>
        <v>2.1226486079759219</v>
      </c>
      <c r="I183" s="79">
        <f>+Tabla2[[#This Row],[Objetivo div2]]</f>
        <v>31.06</v>
      </c>
      <c r="J183" s="75" cm="1">
        <f t="array" aca="1" ref="J183" ca="1">_FV(A183,"High")</f>
        <v>13.83</v>
      </c>
      <c r="K183" s="75" cm="1">
        <f t="array" aca="1" ref="K183" ca="1">_FV(A183,"Low")</f>
        <v>13.225</v>
      </c>
      <c r="L183" s="75" cm="1">
        <f t="array" aca="1" ref="L183" ca="1">_FV(Tabla2[[#This Row],[valor]],"52 week high",TRUE)</f>
        <v>44.99</v>
      </c>
      <c r="M183" s="75">
        <f ca="1">+L183*0.9</f>
        <v>40.491</v>
      </c>
      <c r="N183" s="75">
        <f ca="1">+L183*0.95</f>
        <v>42.740499999999997</v>
      </c>
      <c r="O183" s="75" cm="1">
        <f t="array" aca="1" ref="O183" ca="1">_FV(A183,"52 week low",TRUE)</f>
        <v>10.4</v>
      </c>
      <c r="P183" s="220">
        <f ca="1">+TODAY()-Tabla2[[#This Row],[F. compra]]</f>
        <v>111</v>
      </c>
      <c r="Q183" s="220">
        <f ca="1">GESTEP(D183,M183)</f>
        <v>0</v>
      </c>
      <c r="R183" s="220">
        <f ca="1">GESTEP(D183,N183)</f>
        <v>0</v>
      </c>
      <c r="S183" s="75" t="s">
        <v>219</v>
      </c>
      <c r="T183" s="110" t="s">
        <v>78</v>
      </c>
      <c r="U183" s="110" t="s">
        <v>88</v>
      </c>
      <c r="V183" s="16">
        <v>46029</v>
      </c>
      <c r="W183" s="16">
        <v>46029</v>
      </c>
      <c r="X183" s="80"/>
      <c r="Y183" s="79">
        <v>23.68</v>
      </c>
      <c r="Z183" s="79">
        <v>23.68</v>
      </c>
      <c r="AA183" s="79">
        <v>23.68</v>
      </c>
      <c r="AB183" s="79"/>
      <c r="AC183" s="79">
        <v>31.06</v>
      </c>
      <c r="AD183" s="79">
        <f>+Tabla2[[#This Row],[Objetivo div2]]+Tabla2[[#This Row],[Div.]]</f>
        <v>31.06</v>
      </c>
      <c r="AE183" s="289">
        <f ca="1">IF(Z183="-",+AC183/Y183-1,AC183/D183-1)</f>
        <v>1.3370955605718584</v>
      </c>
      <c r="AF183" s="76">
        <v>41.5</v>
      </c>
      <c r="AG183" s="253">
        <f ca="1">IF(Z183="-",+AF183/D183-1,AF183/D183-1)</f>
        <v>2.1226486079759219</v>
      </c>
      <c r="AH183" s="76">
        <v>21.65</v>
      </c>
      <c r="AI183" s="147">
        <f ca="1">IF(Z183="-",AH183/Y183-1,+AH183/D183-1)</f>
        <v>0.62904439428141457</v>
      </c>
      <c r="AJ183" s="121">
        <f ca="1">IF(Z183="-","-",+(D183/Z183)-1)</f>
        <v>-0.43876689189189189</v>
      </c>
      <c r="AK183" s="120">
        <f ca="1">IF(AA183="-","-",+(D183/AA183)-1)</f>
        <v>-0.43876689189189189</v>
      </c>
      <c r="AM183" s="49" t="str">
        <f>IF(AL183=0,"-",+AL183/Z183-1)</f>
        <v>-</v>
      </c>
      <c r="AN183" s="28">
        <f ca="1">+D183/Y183-1</f>
        <v>-0.43876689189189189</v>
      </c>
      <c r="AO183" s="75">
        <f ca="1">VLOOKUP(Tabla2[[#This Row],[TCKR]],'2026'!$D$5:$AH$257,8,FALSE)</f>
        <v>300</v>
      </c>
      <c r="AP183" s="193">
        <f ca="1">VLOOKUP(Tabla2[[#This Row],[TCKR]],'2026'!$D$5:$AH$257,26,FALSE)</f>
        <v>-2116.4083162213492</v>
      </c>
      <c r="AR183" s="4"/>
      <c r="AU183" s="28"/>
    </row>
    <row r="184" spans="1:47" ht="16" customHeight="1" x14ac:dyDescent="0.2">
      <c r="A184" s="306" t="e" vm="238">
        <v>#VALUE!</v>
      </c>
      <c r="B184" s="75" t="str" cm="1">
        <f t="array" aca="1" ref="B184" ca="1">_FV(A184,"Ticker symbol",TRUE)</f>
        <v>ADYEN</v>
      </c>
      <c r="C184" s="217" cm="1">
        <f t="array" aca="1" ref="C184" ca="1">_FV(A184,"Change (%)",TRUE)</f>
        <v>-9.2300000000000004E-3</v>
      </c>
      <c r="D184" s="144" cm="1">
        <f t="array" aca="1" ref="D184" ca="1">_FV(A184,"Price")</f>
        <v>966.1</v>
      </c>
      <c r="E184" s="307">
        <f ca="1">AE184</f>
        <v>1.3354725183728395</v>
      </c>
      <c r="F184" s="321">
        <f ca="1">+Tabla2[[#This Row],[Rentab. Parcial]]</f>
        <v>-0.36450405530742058</v>
      </c>
      <c r="G184" s="321">
        <f ca="1">+Tabla2[[#This Row],[Rentab. Parcial2]]</f>
        <v>-0.36450405530742058</v>
      </c>
      <c r="H184" s="253">
        <f ca="1">+Tabla2[[#This Row],[Difer. Investing]]</f>
        <v>0.87040679018735112</v>
      </c>
      <c r="I184" s="79">
        <f>+Tabla2[[#This Row],[Objetivo div2]]</f>
        <v>2256.3000000000002</v>
      </c>
      <c r="J184" s="75" cm="1">
        <f t="array" aca="1" ref="J184" ca="1">_FV(A184,"High")</f>
        <v>980.2</v>
      </c>
      <c r="K184" s="75" cm="1">
        <f t="array" aca="1" ref="K184" ca="1">_FV(A184,"Low")</f>
        <v>959.4</v>
      </c>
      <c r="L184" s="75" cm="1">
        <f t="array" aca="1" ref="L184" ca="1">_FV(Tabla2[[#This Row],[valor]],"52 week high",TRUE)</f>
        <v>1750.4</v>
      </c>
      <c r="M184" s="75">
        <f ca="1">+L184*0.9</f>
        <v>1575.3600000000001</v>
      </c>
      <c r="N184" s="75">
        <f ca="1">+L184*0.95</f>
        <v>1662.88</v>
      </c>
      <c r="O184" s="75" cm="1">
        <f t="array" aca="1" ref="O184" ca="1">_FV(A184,"52 week low",TRUE)</f>
        <v>824.4</v>
      </c>
      <c r="P184" s="220">
        <f ca="1">+TODAY()-Tabla2[[#This Row],[F. compra]]</f>
        <v>183</v>
      </c>
      <c r="Q184" s="220">
        <f ca="1">GESTEP(D184,M184)</f>
        <v>0</v>
      </c>
      <c r="R184" s="220">
        <f ca="1">GESTEP(D184,N184)</f>
        <v>0</v>
      </c>
      <c r="S184" s="75" t="s">
        <v>75</v>
      </c>
      <c r="T184" s="110" t="s">
        <v>78</v>
      </c>
      <c r="U184" s="110" t="s">
        <v>26</v>
      </c>
      <c r="V184" s="16">
        <v>45957</v>
      </c>
      <c r="W184" s="16">
        <v>45957</v>
      </c>
      <c r="X184" s="80"/>
      <c r="Y184" s="79">
        <v>1520.4</v>
      </c>
      <c r="Z184" s="79">
        <v>1520.23</v>
      </c>
      <c r="AA184" s="79">
        <v>1520.23</v>
      </c>
      <c r="AB184" s="79"/>
      <c r="AC184" s="79">
        <v>2256.3000000000002</v>
      </c>
      <c r="AD184" s="79">
        <f>+Tabla2[[#This Row],[Objetivo div2]]+Tabla2[[#This Row],[Div.]]</f>
        <v>2256.3000000000002</v>
      </c>
      <c r="AE184" s="307">
        <f ca="1">IF(Z184="-",+AC184/Y184-1,AC184/D184-1)</f>
        <v>1.3354725183728395</v>
      </c>
      <c r="AF184" s="76">
        <v>1807</v>
      </c>
      <c r="AG184" s="253">
        <f ca="1">IF(Z184="-",+AF184/D184-1,AF184/D184-1)</f>
        <v>0.87040679018735112</v>
      </c>
      <c r="AH184" s="76">
        <v>1298.4000000000001</v>
      </c>
      <c r="AI184" s="147">
        <f ca="1">IF(Z184="-",AH184/Y184-1,+AH184/D184-1)</f>
        <v>0.34396025256184659</v>
      </c>
      <c r="AJ184" s="121">
        <f ca="1">IF(Z184="-","-",+(D184/Z184)-1)</f>
        <v>-0.36450405530742058</v>
      </c>
      <c r="AK184" s="120">
        <f ca="1">IF(AA184="-","-",+(D184/AA184)-1)</f>
        <v>-0.36450405530742058</v>
      </c>
      <c r="AM184" s="49" t="str">
        <f>IF(AL184=0,"-",+AL184/Z184-1)</f>
        <v>-</v>
      </c>
      <c r="AN184" s="28">
        <f ca="1">+D184/Y184-1</f>
        <v>-0.36457511181268087</v>
      </c>
      <c r="AO184" s="75" t="e">
        <f ca="1">VLOOKUP(Tabla2[[#This Row],[TCKR]],'2026'!$D$5:$AH$257,8,FALSE)</f>
        <v>#N/A</v>
      </c>
      <c r="AP184" s="193" t="e">
        <f ca="1">VLOOKUP(Tabla2[[#This Row],[TCKR]],'2026'!$D$5:$AH$257,26,FALSE)</f>
        <v>#N/A</v>
      </c>
      <c r="AQ184" s="5" cm="1">
        <f t="array" aca="1" ref="AQ184" ca="1">_FV(Tabla2[[#This Row],[valor]],"P/E",TRUE)</f>
        <v>28.919799999999999</v>
      </c>
      <c r="AR184" s="4"/>
      <c r="AT184" s="193" t="e">
        <f ca="1">+Tabla2[[#This Row],[Titulos2]]*Tabla2[[#This Row],[Neto]]</f>
        <v>#N/A</v>
      </c>
      <c r="AU184" s="28">
        <f>+Tabla2[[#This Row],[Neto]]/Tabla2[[#This Row],[Precio compra2]]</f>
        <v>0</v>
      </c>
    </row>
    <row r="185" spans="1:47" ht="16" customHeight="1" x14ac:dyDescent="0.2">
      <c r="A185" s="323" t="e" vm="193">
        <v>#VALUE!</v>
      </c>
      <c r="B185" s="75" t="str" cm="1">
        <f t="array" aca="1" ref="B185" ca="1">_FV(A185,"Ticker symbol",TRUE)</f>
        <v>WDAY</v>
      </c>
      <c r="C185" s="217" cm="1">
        <f t="array" aca="1" ref="C185" ca="1">_FV(A185,"Change (%)",TRUE)</f>
        <v>-1.6115999999999998E-2</v>
      </c>
      <c r="D185" s="144" cm="1">
        <f t="array" aca="1" ref="D185" ca="1">_FV(A185,"Price")</f>
        <v>117.83</v>
      </c>
      <c r="E185" s="159">
        <f ca="1">AE185</f>
        <v>1.5185436646015447</v>
      </c>
      <c r="F185" s="321">
        <f ca="1">+Tabla2[[#This Row],[Rentab. Parcial]]</f>
        <v>-0.53266172212747387</v>
      </c>
      <c r="G185" s="321">
        <f ca="1">+Tabla2[[#This Row],[Rentab. Parcial2]]</f>
        <v>-0.53266172212747387</v>
      </c>
      <c r="H185" s="253">
        <f ca="1">+Tabla2[[#This Row],[Difer. Investing]]</f>
        <v>1.3847916489858272</v>
      </c>
      <c r="I185" s="79">
        <f>+Tabla2[[#This Row],[Objetivo div2]]</f>
        <v>296.76</v>
      </c>
      <c r="J185" s="75" cm="1">
        <f t="array" aca="1" ref="J185" ca="1">_FV(A185,"High")</f>
        <v>120.69</v>
      </c>
      <c r="K185" s="75" cm="1">
        <f t="array" aca="1" ref="K185" ca="1">_FV(A185,"Low")</f>
        <v>117.02500000000001</v>
      </c>
      <c r="L185" s="75" cm="1">
        <f t="array" aca="1" ref="L185" ca="1">_FV(Tabla2[[#This Row],[valor]],"52 week high",TRUE)</f>
        <v>276</v>
      </c>
      <c r="M185" s="75">
        <f ca="1">+Tabla2[[#This Row],[52 high]]*0.9</f>
        <v>248.4</v>
      </c>
      <c r="N185" s="75">
        <f ca="1">+Tabla2[[#This Row],[52 high]]*0.95</f>
        <v>262.2</v>
      </c>
      <c r="O185" s="75" cm="1">
        <f t="array" aca="1" ref="O185" ca="1">_FV(Tabla2[[#This Row],[valor]],"52 week low",TRUE)</f>
        <v>110.36</v>
      </c>
      <c r="P185" s="220">
        <f ca="1">+TODAY()-Tabla2[[#This Row],[F. compra]]</f>
        <v>537</v>
      </c>
      <c r="Q185" s="220">
        <f ca="1">GESTEP(Tabla2[[#This Row],[price]],Tabla2[[#This Row],[HIGH 10%]])</f>
        <v>0</v>
      </c>
      <c r="R185" s="220">
        <f ca="1">GESTEP(Tabla2[[#This Row],[price]],Tabla2[[#This Row],[HIGH 5%]])</f>
        <v>0</v>
      </c>
      <c r="S185" s="75" t="s">
        <v>75</v>
      </c>
      <c r="T185" s="110" t="s">
        <v>78</v>
      </c>
      <c r="U185" s="110" t="s">
        <v>26</v>
      </c>
      <c r="V185" s="16">
        <v>45603</v>
      </c>
      <c r="W185" s="16">
        <v>45603</v>
      </c>
      <c r="X185" s="80" t="s">
        <v>11</v>
      </c>
      <c r="Y185" s="79">
        <v>252.52</v>
      </c>
      <c r="Z185" s="79">
        <f>252.13-Tabla2[[#This Row],[Div.]]</f>
        <v>252.13</v>
      </c>
      <c r="AA185" s="79">
        <f>+Tabla2[[#This Row],[Precio compra]]+Tabla2[[#This Row],[Div.]]</f>
        <v>252.13</v>
      </c>
      <c r="AB185" s="96"/>
      <c r="AC185" s="79">
        <f>296.76-Tabla2[[#This Row],[Div.]]</f>
        <v>296.76</v>
      </c>
      <c r="AD185" s="79">
        <f>+Tabla2[[#This Row],[Objetivo div2]]+Tabla2[[#This Row],[Div.]]</f>
        <v>296.76</v>
      </c>
      <c r="AE185" s="159">
        <f ca="1">IF(Z185="-",+AC185/Y185-1,AC185/D185-1)</f>
        <v>1.5185436646015447</v>
      </c>
      <c r="AF185" s="81">
        <v>281</v>
      </c>
      <c r="AG185" s="253">
        <f ca="1">IF(Z185="-",+AF185/D185-1,AF185/D185-1)</f>
        <v>1.3847916489858272</v>
      </c>
      <c r="AH185" s="81">
        <v>230.44</v>
      </c>
      <c r="AI185" s="147">
        <f ca="1">IF(Z185="-",AH185/Y185-1,+AH185/D185-1)</f>
        <v>0.95569888822880422</v>
      </c>
      <c r="AJ185" s="121">
        <f ca="1">IF(Z185="-","-",+(D185/Z185)-1)</f>
        <v>-0.53266172212747387</v>
      </c>
      <c r="AK185" s="120">
        <f ca="1">IF(AA185="-","-",+(D185/AA185)-1)</f>
        <v>-0.53266172212747387</v>
      </c>
      <c r="AM185" s="49" t="str">
        <f>IF(AL185=0,"-",+AL185/Z185-1)</f>
        <v>-</v>
      </c>
      <c r="AN185" s="28">
        <f ca="1">+D185/Y185-1</f>
        <v>-0.53338349437668309</v>
      </c>
      <c r="AO185" s="75">
        <f ca="1">VLOOKUP(Tabla2[[#This Row],[TCKR]],'2026'!$D$5:$AH$257,8,FALSE)</f>
        <v>32</v>
      </c>
      <c r="AP185" s="193">
        <f ca="1">VLOOKUP(Tabla2[[#This Row],[TCKR]],'2026'!$D$5:$AH$257,26,FALSE)</f>
        <v>-3119.8259624390071</v>
      </c>
      <c r="AQ185" s="5" cm="1">
        <f t="array" aca="1" ref="AQ185" ca="1">_FV(Tabla2[[#This Row],[valor]],"P/E",TRUE)</f>
        <v>45.6599</v>
      </c>
      <c r="AR185" s="4"/>
      <c r="AT185" s="193">
        <f ca="1">+Tabla2[[#This Row],[Titulos2]]*Tabla2[[#This Row],[Neto]]</f>
        <v>0</v>
      </c>
      <c r="AU185" s="28">
        <f>+Tabla2[[#This Row],[Neto]]/Tabla2[[#This Row],[Precio compra2]]</f>
        <v>0</v>
      </c>
    </row>
    <row r="186" spans="1:47" ht="16" customHeight="1" x14ac:dyDescent="0.2">
      <c r="A186" s="323" t="e" vm="148">
        <v>#VALUE!</v>
      </c>
      <c r="B186" s="75" t="str" cm="1">
        <f t="array" aca="1" ref="B186" ca="1">_FV(A186,"Ticker symbol",TRUE)</f>
        <v>SDGR</v>
      </c>
      <c r="C186" s="217" cm="1">
        <f t="array" aca="1" ref="C186" ca="1">_FV(A186,"Change (%)",TRUE)</f>
        <v>-4.241E-3</v>
      </c>
      <c r="D186" s="144" cm="1">
        <f t="array" aca="1" ref="D186" ca="1">_FV(A186,"Price")</f>
        <v>11.74</v>
      </c>
      <c r="E186" s="159">
        <f ca="1">AE186</f>
        <v>1.5638841567291313</v>
      </c>
      <c r="F186" s="321">
        <f ca="1">+Tabla2[[#This Row],[Rentab. Parcial]]</f>
        <v>-0.49721627408993574</v>
      </c>
      <c r="G186" s="321">
        <f ca="1">+Tabla2[[#This Row],[Rentab. Parcial2]]</f>
        <v>-0.49721627408993574</v>
      </c>
      <c r="H186" s="253">
        <f ca="1">+Tabla2[[#This Row],[Difer. Investing]]</f>
        <v>1.1294718909710393</v>
      </c>
      <c r="I186" s="79">
        <f>+Tabla2[[#This Row],[Objetivo div2]]</f>
        <v>30.1</v>
      </c>
      <c r="J186" s="75" cm="1">
        <f t="array" aca="1" ref="J186" ca="1">_FV(A186,"High")</f>
        <v>12.25</v>
      </c>
      <c r="K186" s="75" cm="1">
        <f t="array" aca="1" ref="K186" ca="1">_FV(A186,"Low")</f>
        <v>11.72</v>
      </c>
      <c r="L186" s="75" cm="1">
        <f t="array" aca="1" ref="L186" ca="1">_FV(Tabla2[[#This Row],[valor]],"52 week high",TRUE)</f>
        <v>27.63</v>
      </c>
      <c r="M186" s="75">
        <f ca="1">+L186*0.9</f>
        <v>24.867000000000001</v>
      </c>
      <c r="N186" s="75">
        <f ca="1">+L186*0.95</f>
        <v>26.248499999999996</v>
      </c>
      <c r="O186" s="75" cm="1">
        <f t="array" aca="1" ref="O186" ca="1">_FV(A186,"52 week low",TRUE)</f>
        <v>10.945</v>
      </c>
      <c r="P186" s="220">
        <f ca="1">+TODAY()-Tabla2[[#This Row],[F. compra]]</f>
        <v>456</v>
      </c>
      <c r="Q186" s="220">
        <f ca="1">GESTEP(D186,M186)</f>
        <v>0</v>
      </c>
      <c r="R186" s="220">
        <f ca="1">GESTEP(D186,N186)</f>
        <v>0</v>
      </c>
      <c r="S186" s="75" t="s">
        <v>75</v>
      </c>
      <c r="T186" s="110" t="s">
        <v>78</v>
      </c>
      <c r="U186" s="110" t="s">
        <v>26</v>
      </c>
      <c r="V186" s="16">
        <v>45684</v>
      </c>
      <c r="W186" s="16">
        <v>45684</v>
      </c>
      <c r="X186" s="80">
        <v>27</v>
      </c>
      <c r="Y186" s="79">
        <v>23.16</v>
      </c>
      <c r="Z186" s="79">
        <v>23.35</v>
      </c>
      <c r="AA186" s="79">
        <f>+Tabla2[[#This Row],[Precio compra]]+Tabla2[[#This Row],[Div.]]</f>
        <v>23.35</v>
      </c>
      <c r="AB186" s="96"/>
      <c r="AC186" s="79">
        <v>30.1</v>
      </c>
      <c r="AD186" s="79">
        <f>+Tabla2[[#This Row],[Objetivo div2]]+Tabla2[[#This Row],[Div.]]</f>
        <v>30.1</v>
      </c>
      <c r="AE186" s="159">
        <f ca="1">IF(Z186="-",+AC186/Y186-1,AC186/D186-1)</f>
        <v>1.5638841567291313</v>
      </c>
      <c r="AF186" s="81">
        <v>25</v>
      </c>
      <c r="AG186" s="253">
        <f ca="1">IF(Z186="-",+AF186/D186-1,AF186/D186-1)</f>
        <v>1.1294718909710393</v>
      </c>
      <c r="AH186" s="81">
        <v>19.690000000000001</v>
      </c>
      <c r="AI186" s="147">
        <f ca="1">IF(Z186="-",AH186/Y186-1,+AH186/D186-1)</f>
        <v>0.6771720613287906</v>
      </c>
      <c r="AJ186" s="121">
        <f ca="1">IF(Z186="-","-",+(D186/Z186)-1)</f>
        <v>-0.49721627408993574</v>
      </c>
      <c r="AK186" s="120">
        <f ca="1">IF(AA186="-","-",+(D186/AA186)-1)</f>
        <v>-0.49721627408993574</v>
      </c>
      <c r="AM186" s="49" t="str">
        <f>IF(AL186=0,"-",+AL186/Z186-1)</f>
        <v>-</v>
      </c>
      <c r="AN186" s="28">
        <f ca="1">+D186/Y186-1</f>
        <v>-0.49309153713298792</v>
      </c>
      <c r="AO186" s="75">
        <f ca="1">VLOOKUP(Tabla2[[#This Row],[TCKR]],'2026'!$D$5:$AH$257,8,FALSE)</f>
        <v>387</v>
      </c>
      <c r="AP186" s="193">
        <f ca="1">VLOOKUP(Tabla2[[#This Row],[TCKR]],'2026'!$D$5:$AH$257,26,FALSE)</f>
        <v>-3786.0189985866627</v>
      </c>
      <c r="AQ186" s="5" cm="1">
        <f t="array" aca="1" ref="AQ186" ca="1">_FV(Tabla2[[#This Row],[valor]],"P/E",TRUE)</f>
        <v>0</v>
      </c>
      <c r="AR186" s="4"/>
      <c r="AT186" s="193">
        <f ca="1">+Tabla2[[#This Row],[Titulos2]]*Tabla2[[#This Row],[Neto]]</f>
        <v>0</v>
      </c>
      <c r="AU186" s="28">
        <f>+Tabla2[[#This Row],[Neto]]/Tabla2[[#This Row],[Precio compra2]]</f>
        <v>0</v>
      </c>
    </row>
    <row r="187" spans="1:47" ht="16" customHeight="1" x14ac:dyDescent="0.2">
      <c r="A187" s="324" t="e" vm="239">
        <v>#VALUE!</v>
      </c>
      <c r="B187" s="75" t="str" cm="1">
        <f t="array" aca="1" ref="B187" ca="1">_FV(A187,"Ticker symbol",TRUE)</f>
        <v>BULL</v>
      </c>
      <c r="C187" s="217" cm="1">
        <f t="array" aca="1" ref="C187" ca="1">_FV(A187,"Change (%)",TRUE)</f>
        <v>3.4783000000000001E-2</v>
      </c>
      <c r="D187" s="144" cm="1">
        <f t="array" aca="1" ref="D187" ca="1">_FV(A187,"Price")</f>
        <v>7.14</v>
      </c>
      <c r="E187" s="307">
        <f ca="1">AE187</f>
        <v>1.5336134453781511</v>
      </c>
      <c r="F187" s="321">
        <f ca="1">+Tabla2[[#This Row],[Rentab. Parcial]]</f>
        <v>-0.49964961457603363</v>
      </c>
      <c r="G187" s="321">
        <f ca="1">+Tabla2[[#This Row],[Rentab. Parcial2]]</f>
        <v>-0.49964961457603363</v>
      </c>
      <c r="H187" s="253">
        <f ca="1">+Tabla2[[#This Row],[Difer. Investing]]</f>
        <v>1.5210084033613445</v>
      </c>
      <c r="I187" s="79">
        <f>+Tabla2[[#This Row],[Objetivo div2]]</f>
        <v>18.09</v>
      </c>
      <c r="J187" s="75" cm="1">
        <f t="array" aca="1" ref="J187" ca="1">_FV(A187,"High")</f>
        <v>7.3949999999999996</v>
      </c>
      <c r="K187" s="75" cm="1">
        <f t="array" aca="1" ref="K187" ca="1">_FV(A187,"Low")</f>
        <v>6.782</v>
      </c>
      <c r="L187" s="75" cm="1">
        <f t="array" aca="1" ref="L187" ca="1">_FV(Tabla2[[#This Row],[valor]],"52 week high",TRUE)</f>
        <v>18.850000000000001</v>
      </c>
      <c r="M187" s="75">
        <f ca="1">+L187*0.9</f>
        <v>16.965000000000003</v>
      </c>
      <c r="N187" s="75">
        <f ca="1">+L187*0.95</f>
        <v>17.907499999999999</v>
      </c>
      <c r="O187" s="75" cm="1">
        <f t="array" aca="1" ref="O187" ca="1">_FV(A187,"52 week low",TRUE)</f>
        <v>4.5</v>
      </c>
      <c r="P187" s="220">
        <f ca="1">+TODAY()-Tabla2[[#This Row],[F. compra]]</f>
        <v>217</v>
      </c>
      <c r="Q187" s="220">
        <f ca="1">GESTEP(D187,M187)</f>
        <v>0</v>
      </c>
      <c r="R187" s="220">
        <f ca="1">GESTEP(D187,N187)</f>
        <v>0</v>
      </c>
      <c r="S187" s="75" t="s">
        <v>182</v>
      </c>
      <c r="T187" s="110" t="s">
        <v>78</v>
      </c>
      <c r="U187" s="110" t="s">
        <v>88</v>
      </c>
      <c r="V187" s="16">
        <v>45923</v>
      </c>
      <c r="W187" s="16">
        <v>45923</v>
      </c>
      <c r="X187" s="80"/>
      <c r="Y187" s="79">
        <v>14.36</v>
      </c>
      <c r="Z187" s="79">
        <v>14.27</v>
      </c>
      <c r="AA187" s="79">
        <v>14.27</v>
      </c>
      <c r="AB187" s="79"/>
      <c r="AC187" s="79">
        <v>18.09</v>
      </c>
      <c r="AD187" s="82">
        <f>+Tabla2[[#This Row],[Objetivo div2]]+Tabla2[[#This Row],[Div.]]</f>
        <v>18.09</v>
      </c>
      <c r="AE187" s="307">
        <f ca="1">IF(Z187="-",+AC187/Y187-1,AC187/D187-1)</f>
        <v>1.5336134453781511</v>
      </c>
      <c r="AF187" s="76">
        <v>18</v>
      </c>
      <c r="AG187" s="253">
        <f ca="1">IF(Z187="-",+AF187/D187-1,AF187/D187-1)</f>
        <v>1.5210084033613445</v>
      </c>
      <c r="AH187" s="76">
        <v>12.48</v>
      </c>
      <c r="AI187" s="147">
        <f ca="1">IF(Z187="-",AH187/Y187-1,+AH187/D187-1)</f>
        <v>0.74789915966386578</v>
      </c>
      <c r="AJ187" s="121">
        <f ca="1">IF(Z187="-","-",+(D187/Z187)-1)</f>
        <v>-0.49964961457603363</v>
      </c>
      <c r="AK187" s="120">
        <f ca="1">IF(AA187="-","-",+(D187/AA187)-1)</f>
        <v>-0.49964961457603363</v>
      </c>
      <c r="AM187" s="49" t="str">
        <f>IF(AL187=0,"-",+AL187/Z187-1)</f>
        <v>-</v>
      </c>
      <c r="AN187" s="28">
        <f ca="1">+D187/Y187-1</f>
        <v>-0.50278551532033422</v>
      </c>
      <c r="AO187" s="75" t="e">
        <f ca="1">VLOOKUP(Tabla2[[#This Row],[TCKR]],'2026'!$D$5:$AH$257,8,FALSE)</f>
        <v>#N/A</v>
      </c>
      <c r="AP187" s="193" t="e">
        <f ca="1">VLOOKUP(Tabla2[[#This Row],[TCKR]],'2026'!$D$5:$AH$257,26,FALSE)</f>
        <v>#N/A</v>
      </c>
      <c r="AQ187" s="5" cm="1">
        <f t="array" aca="1" ref="AQ187" ca="1">_FV(Tabla2[[#This Row],[valor]],"P/E",TRUE)</f>
        <v>0</v>
      </c>
      <c r="AR187" s="4"/>
      <c r="AT187" s="193" t="e">
        <f ca="1">+Tabla2[[#This Row],[Titulos2]]*Tabla2[[#This Row],[Neto]]</f>
        <v>#N/A</v>
      </c>
      <c r="AU187" s="28">
        <f>+Tabla2[[#This Row],[Neto]]/Tabla2[[#This Row],[Precio compra2]]</f>
        <v>0</v>
      </c>
    </row>
    <row r="188" spans="1:47" ht="16" customHeight="1" x14ac:dyDescent="0.2">
      <c r="A188" s="323" t="e" vm="150">
        <v>#VALUE!</v>
      </c>
      <c r="B188" s="75" t="str" cm="1">
        <f t="array" aca="1" ref="B188" ca="1">_FV(A188,"Ticker symbol",TRUE)</f>
        <v>S</v>
      </c>
      <c r="C188" s="217" cm="1">
        <f t="array" aca="1" ref="C188" ca="1">_FV(A188,"Change (%)",TRUE)</f>
        <v>2.7387999999999999E-2</v>
      </c>
      <c r="D188" s="144" cm="1">
        <f t="array" aca="1" ref="D188" ca="1">_FV(A188,"Price")</f>
        <v>14.63</v>
      </c>
      <c r="E188" s="159">
        <f ca="1">AE188</f>
        <v>1.5693779904306222</v>
      </c>
      <c r="F188" s="321">
        <f ca="1">+Tabla2[[#This Row],[Rentab. Parcial]]</f>
        <v>-0.51282051282051277</v>
      </c>
      <c r="G188" s="321">
        <f ca="1">+Tabla2[[#This Row],[Rentab. Parcial2]]</f>
        <v>-0.51282051282051277</v>
      </c>
      <c r="H188" s="253">
        <f ca="1">+Tabla2[[#This Row],[Difer. Investing]]</f>
        <v>1.8195488721804511</v>
      </c>
      <c r="I188" s="79">
        <f>+Tabla2[[#This Row],[Objetivo div2]]</f>
        <v>37.590000000000003</v>
      </c>
      <c r="J188" s="75" cm="1">
        <f t="array" aca="1" ref="J188" ca="1">_FV(A188,"High")</f>
        <v>14.815</v>
      </c>
      <c r="K188" s="75" cm="1">
        <f t="array" aca="1" ref="K188" ca="1">_FV(A188,"Low")</f>
        <v>14.2</v>
      </c>
      <c r="L188" s="75" cm="1">
        <f t="array" aca="1" ref="L188" ca="1">_FV(Tabla2[[#This Row],[valor]],"52 week high",TRUE)</f>
        <v>21.4</v>
      </c>
      <c r="M188" s="75">
        <f ca="1">+Tabla2[[#This Row],[52 high]]*0.9</f>
        <v>19.259999999999998</v>
      </c>
      <c r="N188" s="75">
        <f ca="1">+Tabla2[[#This Row],[52 high]]*0.95</f>
        <v>20.329999999999998</v>
      </c>
      <c r="O188" s="75" cm="1">
        <f t="array" aca="1" ref="O188" ca="1">_FV(Tabla2[[#This Row],[valor]],"52 week low",TRUE)</f>
        <v>11.81</v>
      </c>
      <c r="P188" s="220">
        <f ca="1">+TODAY()-Tabla2[[#This Row],[F. compra]]</f>
        <v>806</v>
      </c>
      <c r="Q188" s="220">
        <f ca="1">GESTEP(Tabla2[[#This Row],[price]],Tabla2[[#This Row],[HIGH 10%]])</f>
        <v>0</v>
      </c>
      <c r="R188" s="220">
        <f ca="1">GESTEP(Tabla2[[#This Row],[price]],Tabla2[[#This Row],[HIGH 5%]])</f>
        <v>0</v>
      </c>
      <c r="S188" s="75" t="s">
        <v>75</v>
      </c>
      <c r="T188" s="110" t="s">
        <v>78</v>
      </c>
      <c r="U188" s="110" t="s">
        <v>26</v>
      </c>
      <c r="V188" s="16">
        <v>45334</v>
      </c>
      <c r="W188" s="16">
        <v>45334</v>
      </c>
      <c r="X188" s="80"/>
      <c r="Y188" s="79"/>
      <c r="Z188" s="79">
        <v>30.03</v>
      </c>
      <c r="AA188" s="79">
        <f>+Tabla2[[#This Row],[Precio compra]]+Tabla2[[#This Row],[Div.]]</f>
        <v>30.03</v>
      </c>
      <c r="AB188" s="96"/>
      <c r="AC188" s="79">
        <v>37.590000000000003</v>
      </c>
      <c r="AD188" s="79">
        <f>+Tabla2[[#This Row],[Objetivo div2]]+Tabla2[[#This Row],[Div.]]</f>
        <v>37.590000000000003</v>
      </c>
      <c r="AE188" s="159">
        <f ca="1">IF(Z188="-",+AC188/Y188-1,AC188/D188-1)</f>
        <v>1.5693779904306222</v>
      </c>
      <c r="AF188" s="81">
        <v>41.25</v>
      </c>
      <c r="AG188" s="253">
        <f ca="1">IF(Z188="-",+AF188/D188-1,AF188/D188-1)</f>
        <v>1.8195488721804511</v>
      </c>
      <c r="AH188" s="81">
        <v>26.29</v>
      </c>
      <c r="AI188" s="147">
        <f ca="1">IF(Z188="-",AH188/Y188-1,+AH188/D188-1)</f>
        <v>0.79699248120300736</v>
      </c>
      <c r="AJ188" s="121">
        <f ca="1">IF(Z188="-","-",+(D188/Z188)-1)</f>
        <v>-0.51282051282051277</v>
      </c>
      <c r="AK188" s="120">
        <f ca="1">IF(AA188="-","-",+(D188/AA188)-1)</f>
        <v>-0.51282051282051277</v>
      </c>
      <c r="AM188" s="49" t="str">
        <f>IF(AL188=0,"-",+AL188/Z188-1)</f>
        <v>-</v>
      </c>
      <c r="AN188" s="28" t="e">
        <f ca="1">+D188/Y188-1</f>
        <v>#DIV/0!</v>
      </c>
      <c r="AO188" s="75">
        <f ca="1">VLOOKUP(Tabla2[[#This Row],[TCKR]],'2026'!$D$5:$AH$257,8,FALSE)</f>
        <v>325</v>
      </c>
      <c r="AP188" s="193">
        <f ca="1">VLOOKUP(Tabla2[[#This Row],[TCKR]],'2026'!$D$5:$AH$257,26,FALSE)</f>
        <v>-3881.4454662564262</v>
      </c>
      <c r="AQ188" s="5" t="e" cm="1" vm="221">
        <f t="array" ref="AQ188">_FV(Tabla2[[#This Row],[valor]],"P/E",TRUE)</f>
        <v>#VALUE!</v>
      </c>
      <c r="AR188" s="4"/>
      <c r="AT188" s="193">
        <f ca="1">+Tabla2[[#This Row],[Titulos2]]*Tabla2[[#This Row],[Neto]]</f>
        <v>0</v>
      </c>
      <c r="AU188" s="28">
        <f>+Tabla2[[#This Row],[Neto]]/Tabla2[[#This Row],[Precio compra2]]</f>
        <v>0</v>
      </c>
    </row>
    <row r="189" spans="1:47" ht="16" customHeight="1" x14ac:dyDescent="0.2">
      <c r="A189" s="323" t="e" vm="27">
        <v>#VALUE!</v>
      </c>
      <c r="B189" s="75" t="str" cm="1">
        <f t="array" aca="1" ref="B189" ca="1">_FV(A189,"Ticker symbol",TRUE)</f>
        <v>BAX</v>
      </c>
      <c r="C189" s="217" cm="1">
        <f t="array" aca="1" ref="C189" ca="1">_FV(A189,"Change (%)",TRUE)</f>
        <v>1.8172000000000001E-2</v>
      </c>
      <c r="D189" s="144" cm="1">
        <f t="array" aca="1" ref="D189" ca="1">_FV(A189,"Price")</f>
        <v>18.489999999999998</v>
      </c>
      <c r="E189" s="159">
        <f ca="1">AE189</f>
        <v>1.6167532461529222</v>
      </c>
      <c r="F189" s="321">
        <f ca="1">+Tabla2[[#This Row],[Rentab. Parcial]]</f>
        <v>-0.56697892271662775</v>
      </c>
      <c r="G189" s="321">
        <f ca="1">+Tabla2[[#This Row],[Rentab. Parcial2]]</f>
        <v>-0.57626955972759408</v>
      </c>
      <c r="H189" s="253">
        <f ca="1">+Tabla2[[#This Row],[Difer. Investing]]</f>
        <v>0.61438615467820457</v>
      </c>
      <c r="I189" s="79">
        <f ca="1">+Tabla2[[#This Row],[Objetivo div2]]</f>
        <v>48.383767521367524</v>
      </c>
      <c r="J189" s="75" cm="1">
        <f t="array" aca="1" ref="J189" ca="1">_FV(A189,"High")</f>
        <v>18.670000000000002</v>
      </c>
      <c r="K189" s="75" cm="1">
        <f t="array" aca="1" ref="K189" ca="1">_FV(A189,"Low")</f>
        <v>18.14</v>
      </c>
      <c r="L189" s="75" cm="1">
        <f t="array" aca="1" ref="L189" ca="1">_FV(Tabla2[[#This Row],[valor]],"52 week high",TRUE)</f>
        <v>32.68</v>
      </c>
      <c r="M189" s="75">
        <f ca="1">+Tabla2[[#This Row],[52 high]]*0.9</f>
        <v>29.411999999999999</v>
      </c>
      <c r="N189" s="75">
        <f ca="1">+Tabla2[[#This Row],[52 high]]*0.95</f>
        <v>31.045999999999999</v>
      </c>
      <c r="O189" s="75" cm="1">
        <f t="array" aca="1" ref="O189" ca="1">_FV(Tabla2[[#This Row],[valor]],"52 week low",TRUE)</f>
        <v>15.73</v>
      </c>
      <c r="P189" s="220">
        <f ca="1">+TODAY()-Tabla2[[#This Row],[F. compra]]</f>
        <v>999</v>
      </c>
      <c r="Q189" s="220">
        <f ca="1">GESTEP(Tabla2[[#This Row],[price]],Tabla2[[#This Row],[HIGH 10%]])</f>
        <v>0</v>
      </c>
      <c r="R189" s="220">
        <f ca="1">GESTEP(Tabla2[[#This Row],[price]],Tabla2[[#This Row],[HIGH 5%]])</f>
        <v>0</v>
      </c>
      <c r="S189" s="75" t="s">
        <v>75</v>
      </c>
      <c r="T189" s="110" t="s">
        <v>78</v>
      </c>
      <c r="U189" s="110" t="s">
        <v>26</v>
      </c>
      <c r="V189" s="16">
        <v>45140</v>
      </c>
      <c r="W189" s="16">
        <v>45141</v>
      </c>
      <c r="X189" s="80"/>
      <c r="Y189" s="79">
        <v>43.87</v>
      </c>
      <c r="Z189" s="79">
        <v>42.7</v>
      </c>
      <c r="AA189" s="79">
        <f ca="1">+Tabla2[[#This Row],[Precio compra]]+Tabla2[[#This Row],[Div.]]</f>
        <v>43.636232478632479</v>
      </c>
      <c r="AB189" s="96">
        <f ca="1">0.88+'dividendos 26'!E5+'dividendos 26'!E59</f>
        <v>0.9362324786324786</v>
      </c>
      <c r="AC189" s="79">
        <f ca="1">49.32-Tabla2[[#This Row],[Div.]]</f>
        <v>48.383767521367524</v>
      </c>
      <c r="AD189" s="79">
        <f ca="1">+Tabla2[[#This Row],[Objetivo div2]]+Tabla2[[#This Row],[Div.]]</f>
        <v>49.32</v>
      </c>
      <c r="AE189" s="159">
        <f ca="1">IF(Z189="-",+AC189/Y189-1,AC189/D189-1)</f>
        <v>1.6167532461529222</v>
      </c>
      <c r="AF189" s="81">
        <v>29.85</v>
      </c>
      <c r="AG189" s="253">
        <f ca="1">IF(Z189="-",+AF189/D189-1,AF189/D189-1)</f>
        <v>0.61438615467820457</v>
      </c>
      <c r="AH189" s="81">
        <f ca="1">40.98-Tabla2[[#This Row],[Div.]]</f>
        <v>40.043767521367521</v>
      </c>
      <c r="AI189" s="147">
        <f ca="1">IF(Z189="-",AH189/Y189-1,+AH189/D189-1)</f>
        <v>1.1656986220317753</v>
      </c>
      <c r="AJ189" s="121">
        <f ca="1">IF(Z189="-","-",+(D189/Z189)-1)</f>
        <v>-0.56697892271662775</v>
      </c>
      <c r="AK189" s="120">
        <f ca="1">IF(AA189="-","-",+(D189/AA189)-1)</f>
        <v>-0.57626955972759408</v>
      </c>
      <c r="AM189" s="49" t="str">
        <f>IF(AL189=0,"-",+AL189/Z189-1)</f>
        <v>-</v>
      </c>
      <c r="AN189" s="28">
        <f ca="1">+D189/Y189-1</f>
        <v>-0.57852746751766582</v>
      </c>
      <c r="AO189" s="75">
        <f ca="1">VLOOKUP(Tabla2[[#This Row],[TCKR]],'2026'!$D$5:$AH$257,8,FALSE)</f>
        <v>180</v>
      </c>
      <c r="AP189" s="193">
        <f ca="1">VLOOKUP(Tabla2[[#This Row],[TCKR]],'2026'!$D$5:$AH$257,26,FALSE)</f>
        <v>-3472.9664985753116</v>
      </c>
      <c r="AQ189" s="5" t="e" cm="1" vm="221">
        <f t="array" ref="AQ189">_FV(Tabla2[[#This Row],[valor]],"P/E",TRUE)</f>
        <v>#VALUE!</v>
      </c>
      <c r="AR189" s="4"/>
      <c r="AT189" s="193">
        <f ca="1">+Tabla2[[#This Row],[Titulos2]]*Tabla2[[#This Row],[Neto]]</f>
        <v>0</v>
      </c>
      <c r="AU189" s="28">
        <f ca="1">+Tabla2[[#This Row],[Neto]]/Tabla2[[#This Row],[Precio compra2]]</f>
        <v>0</v>
      </c>
    </row>
    <row r="190" spans="1:47" ht="16" customHeight="1" x14ac:dyDescent="0.2">
      <c r="A190" s="323" t="e" vm="123">
        <v>#VALUE!</v>
      </c>
      <c r="B190" s="75" t="str" cm="1">
        <f t="array" aca="1" ref="B190" ca="1">_FV(A190,"Ticker symbol",TRUE)</f>
        <v>NEOV</v>
      </c>
      <c r="C190" s="217" cm="1">
        <f t="array" aca="1" ref="C190" ca="1">_FV(A190,"Change (%)",TRUE)</f>
        <v>4.6763000000000006E-2</v>
      </c>
      <c r="D190" s="144" cm="1">
        <f t="array" aca="1" ref="D190" ca="1">_FV(A190,"Price")</f>
        <v>2.91</v>
      </c>
      <c r="E190" s="159">
        <f ca="1">AE190</f>
        <v>1.7457044673539519</v>
      </c>
      <c r="F190" s="321">
        <f ca="1">+Tabla2[[#This Row],[Rentab. Parcial]]</f>
        <v>-0.44676806083650189</v>
      </c>
      <c r="G190" s="321">
        <f ca="1">+Tabla2[[#This Row],[Rentab. Parcial2]]</f>
        <v>-0.44676806083650189</v>
      </c>
      <c r="H190" s="253">
        <f ca="1">+Tabla2[[#This Row],[Difer. Investing]]</f>
        <v>1.5773195876288657</v>
      </c>
      <c r="I190" s="79">
        <f>+Tabla2[[#This Row],[Objetivo div2]]</f>
        <v>7.99</v>
      </c>
      <c r="J190" s="75" cm="1">
        <f t="array" aca="1" ref="J190" ca="1">_FV(A190,"High")</f>
        <v>2.93</v>
      </c>
      <c r="K190" s="75" cm="1">
        <f t="array" aca="1" ref="K190" ca="1">_FV(A190,"Low")</f>
        <v>2.7749999999999999</v>
      </c>
      <c r="L190" s="75" cm="1">
        <f t="array" aca="1" ref="L190" ca="1">_FV(Tabla2[[#This Row],[valor]],"52 week high",TRUE)</f>
        <v>7.13</v>
      </c>
      <c r="M190" s="75">
        <f ca="1">+Tabla2[[#This Row],[52 high]]*0.9</f>
        <v>6.4169999999999998</v>
      </c>
      <c r="N190" s="75">
        <f ca="1">+Tabla2[[#This Row],[52 high]]*0.95</f>
        <v>6.7734999999999994</v>
      </c>
      <c r="O190" s="75" cm="1">
        <f t="array" aca="1" ref="O190" ca="1">_FV(Tabla2[[#This Row],[valor]],"52 week low",TRUE)</f>
        <v>2.605</v>
      </c>
      <c r="P190" s="220">
        <f ca="1">+TODAY()-Tabla2[[#This Row],[F. compra]]</f>
        <v>488</v>
      </c>
      <c r="Q190" s="220">
        <f ca="1">GESTEP(Tabla2[[#This Row],[price]],Tabla2[[#This Row],[HIGH 10%]])</f>
        <v>0</v>
      </c>
      <c r="R190" s="220">
        <f ca="1">GESTEP(Tabla2[[#This Row],[price]],Tabla2[[#This Row],[HIGH 5%]])</f>
        <v>0</v>
      </c>
      <c r="S190" s="75" t="s">
        <v>76</v>
      </c>
      <c r="T190" s="110" t="s">
        <v>78</v>
      </c>
      <c r="U190" s="110" t="s">
        <v>88</v>
      </c>
      <c r="V190" s="16">
        <v>45652</v>
      </c>
      <c r="W190" s="16">
        <v>45652</v>
      </c>
      <c r="X190" s="80"/>
      <c r="Y190" s="79" t="s">
        <v>11</v>
      </c>
      <c r="Z190" s="79">
        <v>5.26</v>
      </c>
      <c r="AA190" s="79">
        <f>+Tabla2[[#This Row],[Precio compra]]+Tabla2[[#This Row],[Div.]]</f>
        <v>5.26</v>
      </c>
      <c r="AB190" s="96"/>
      <c r="AC190" s="79">
        <v>7.99</v>
      </c>
      <c r="AD190" s="79">
        <f>+Tabla2[[#This Row],[Objetivo div2]]+Tabla2[[#This Row],[Div.]]</f>
        <v>7.99</v>
      </c>
      <c r="AE190" s="159">
        <f ca="1">IF(Z190="-",+AC190/Y190-1,AC190/D190-1)</f>
        <v>1.7457044673539519</v>
      </c>
      <c r="AF190" s="81">
        <v>7.5</v>
      </c>
      <c r="AG190" s="253">
        <f ca="1">IF(Z190="-",+AF190/D190-1,AF190/D190-1)</f>
        <v>1.5773195876288657</v>
      </c>
      <c r="AH190" s="81">
        <v>4.22</v>
      </c>
      <c r="AI190" s="147">
        <f ca="1">IF(Z190="-",AH190/Y190-1,+AH190/D190-1)</f>
        <v>0.45017182130584166</v>
      </c>
      <c r="AJ190" s="121">
        <f ca="1">IF(Z190="-","-",+(D190/Z190)-1)</f>
        <v>-0.44676806083650189</v>
      </c>
      <c r="AK190" s="120">
        <f ca="1">IF(AA190="-","-",+(D190/AA190)-1)</f>
        <v>-0.44676806083650189</v>
      </c>
      <c r="AM190" s="49" t="str">
        <f>IF(AL190=0,"-",+AL190/Z190-1)</f>
        <v>-</v>
      </c>
      <c r="AN190" s="28" t="e">
        <f ca="1">+D190/Y190-1</f>
        <v>#VALUE!</v>
      </c>
      <c r="AO190" s="75">
        <f ca="1">VLOOKUP(Tabla2[[#This Row],[TCKR]],'2026'!$D$5:$AH$257,8,FALSE)</f>
        <v>450</v>
      </c>
      <c r="AP190" s="193">
        <f ca="1">VLOOKUP(Tabla2[[#This Row],[TCKR]],'2026'!$D$5:$AH$257,26,FALSE)</f>
        <v>-913.89251431453226</v>
      </c>
      <c r="AQ190" s="5" cm="1">
        <f t="array" aca="1" ref="AQ190" ca="1">_FV(Tabla2[[#This Row],[valor]],"P/E",TRUE)</f>
        <v>0</v>
      </c>
      <c r="AR190" s="4"/>
      <c r="AT190" s="193">
        <f ca="1">+Tabla2[[#This Row],[Titulos2]]*Tabla2[[#This Row],[Neto]]</f>
        <v>0</v>
      </c>
      <c r="AU190" s="28">
        <f>+Tabla2[[#This Row],[Neto]]/Tabla2[[#This Row],[Precio compra2]]</f>
        <v>0</v>
      </c>
    </row>
    <row r="191" spans="1:47" ht="16" customHeight="1" x14ac:dyDescent="0.2">
      <c r="A191" s="325" t="e" vm="102">
        <v>#VALUE!</v>
      </c>
      <c r="B191" s="75" t="str" cm="1">
        <f t="array" aca="1" ref="B191" ca="1">_FV(A191,"Ticker symbol",TRUE)</f>
        <v>KLAR</v>
      </c>
      <c r="C191" s="217" cm="1">
        <f t="array" aca="1" ref="C191" ca="1">_FV(A191,"Change (%)",TRUE)</f>
        <v>-7.1069999999999996E-3</v>
      </c>
      <c r="D191" s="144" cm="1">
        <f t="array" aca="1" ref="D191" ca="1">_FV(A191,"Price")</f>
        <v>13.97</v>
      </c>
      <c r="E191" s="289">
        <f ca="1">AE191</f>
        <v>1.7695060844667143</v>
      </c>
      <c r="F191" s="321">
        <f ca="1">+Tabla2[[#This Row],[Rentab. Parcial]]</f>
        <v>-0.54166666666666663</v>
      </c>
      <c r="G191" s="321">
        <f ca="1">+Tabla2[[#This Row],[Rentab. Parcial2]]</f>
        <v>-0.54166666666666663</v>
      </c>
      <c r="H191" s="253">
        <f ca="1">+Tabla2[[#This Row],[Difer. Investing]]</f>
        <v>2.2040085898353614</v>
      </c>
      <c r="I191" s="79">
        <f>+Tabla2[[#This Row],[Objetivo div2]]</f>
        <v>38.69</v>
      </c>
      <c r="J191" s="75" cm="1">
        <f t="array" aca="1" ref="J191" ca="1">_FV(A191,"High")</f>
        <v>14.15</v>
      </c>
      <c r="K191" s="75" cm="1">
        <f t="array" aca="1" ref="K191" ca="1">_FV(A191,"Low")</f>
        <v>13.71</v>
      </c>
      <c r="L191" s="75" cm="1">
        <f t="array" aca="1" ref="L191" ca="1">_FV(Tabla2[[#This Row],[valor]],"52 week high",TRUE)</f>
        <v>57.2</v>
      </c>
      <c r="M191" s="75">
        <f ca="1">+L191*0.9</f>
        <v>51.480000000000004</v>
      </c>
      <c r="N191" s="75">
        <f ca="1">+L191*0.95</f>
        <v>54.34</v>
      </c>
      <c r="O191" s="75" cm="1">
        <f t="array" aca="1" ref="O191" ca="1">_FV(A191,"52 week low",TRUE)</f>
        <v>12.06</v>
      </c>
      <c r="P191" s="220">
        <f ca="1">+TODAY()-Tabla2[[#This Row],[F. compra]]</f>
        <v>110</v>
      </c>
      <c r="Q191" s="220">
        <f ca="1">GESTEP(D191,M191)</f>
        <v>0</v>
      </c>
      <c r="R191" s="220">
        <f ca="1">GESTEP(D191,N191)</f>
        <v>0</v>
      </c>
      <c r="S191" s="75" t="s">
        <v>75</v>
      </c>
      <c r="T191" s="110" t="s">
        <v>78</v>
      </c>
      <c r="U191" s="110" t="s">
        <v>199</v>
      </c>
      <c r="V191" s="16">
        <v>46030</v>
      </c>
      <c r="W191" s="16">
        <v>46030</v>
      </c>
      <c r="X191" s="80">
        <v>8</v>
      </c>
      <c r="Y191" s="79">
        <v>31.48</v>
      </c>
      <c r="Z191" s="79">
        <v>30.48</v>
      </c>
      <c r="AA191" s="79">
        <v>30.48</v>
      </c>
      <c r="AB191" s="79"/>
      <c r="AC191" s="79">
        <v>38.69</v>
      </c>
      <c r="AD191" s="79">
        <f>+Tabla2[[#This Row],[Objetivo div2]]+Tabla2[[#This Row],[Div.]]</f>
        <v>38.69</v>
      </c>
      <c r="AE191" s="289">
        <f ca="1">IF(Z191="-",+AC191/Y191-1,AC191/D191-1)</f>
        <v>1.7695060844667143</v>
      </c>
      <c r="AF191" s="76">
        <v>44.76</v>
      </c>
      <c r="AG191" s="253">
        <f ca="1">IF(Z191="-",+AF191/D191-1,AF191/D191-1)</f>
        <v>2.2040085898353614</v>
      </c>
      <c r="AH191" s="76">
        <v>27.88</v>
      </c>
      <c r="AI191" s="147">
        <f ca="1">IF(Z191="-",AH191/Y191-1,+AH191/D191-1)</f>
        <v>0.99570508231925547</v>
      </c>
      <c r="AJ191" s="121">
        <f ca="1">IF(Z191="-","-",+(D191/Z191)-1)</f>
        <v>-0.54166666666666663</v>
      </c>
      <c r="AK191" s="120">
        <f ca="1">IF(AA191="-","-",+(D191/AA191)-1)</f>
        <v>-0.54166666666666663</v>
      </c>
      <c r="AM191" s="49" t="str">
        <f>IF(AL191=0,"-",+AL191/Z191-1)</f>
        <v>-</v>
      </c>
      <c r="AN191" s="28">
        <f ca="1">+D191/Y191-1</f>
        <v>-0.5562261753494282</v>
      </c>
      <c r="AO191" s="75">
        <f ca="1">VLOOKUP(Tabla2[[#This Row],[TCKR]],'2026'!$D$5:$AH$257,8,FALSE)</f>
        <v>93</v>
      </c>
      <c r="AP191" s="193">
        <f ca="1">VLOOKUP(Tabla2[[#This Row],[TCKR]],'2026'!$D$5:$AH$257,26,FALSE)</f>
        <v>-1043.1935349890887</v>
      </c>
      <c r="AQ191" s="5" cm="1">
        <f t="array" aca="1" ref="AQ191" ca="1">_FV(Tabla2[[#This Row],[valor]],"P/E",TRUE)</f>
        <v>0</v>
      </c>
      <c r="AR191" s="4"/>
      <c r="AT191" s="193">
        <f ca="1">+Tabla2[[#This Row],[Titulos2]]*Tabla2[[#This Row],[Neto]]</f>
        <v>0</v>
      </c>
      <c r="AU191" s="28">
        <f>+Tabla2[[#This Row],[Neto]]/Tabla2[[#This Row],[Precio compra2]]</f>
        <v>0</v>
      </c>
    </row>
    <row r="192" spans="1:47" ht="16" customHeight="1" x14ac:dyDescent="0.2">
      <c r="A192" s="325" t="e" vm="102">
        <v>#VALUE!</v>
      </c>
      <c r="B192" s="75" t="str" cm="1">
        <f t="array" aca="1" ref="B192" ca="1">_FV(A192,"Ticker symbol",TRUE)</f>
        <v>KLAR</v>
      </c>
      <c r="C192" s="217" cm="1">
        <f t="array" aca="1" ref="C192" ca="1">_FV(A192,"Change (%)",TRUE)</f>
        <v>-7.1069999999999996E-3</v>
      </c>
      <c r="D192" s="144" cm="1">
        <f t="array" aca="1" ref="D192" ca="1">_FV(A192,"Price")</f>
        <v>13.97</v>
      </c>
      <c r="E192" s="289">
        <f ca="1">AE192</f>
        <v>1.7695060844667143</v>
      </c>
      <c r="F192" s="321">
        <f ca="1">+Tabla2[[#This Row],[Rentab. Parcial]]</f>
        <v>-0.31418753068237604</v>
      </c>
      <c r="G192" s="321">
        <f ca="1">+Tabla2[[#This Row],[Rentab. Parcial2]]</f>
        <v>-0.31418753068237604</v>
      </c>
      <c r="H192" s="253">
        <f ca="1">+Tabla2[[#This Row],[Difer. Investing]]</f>
        <v>2.2755905511811019</v>
      </c>
      <c r="I192" s="79">
        <f>+Tabla2[[#This Row],[Objetivo div2]]</f>
        <v>38.69</v>
      </c>
      <c r="J192" s="75" cm="1">
        <f t="array" aca="1" ref="J192" ca="1">_FV(A192,"High")</f>
        <v>14.15</v>
      </c>
      <c r="K192" s="75" cm="1">
        <f t="array" aca="1" ref="K192" ca="1">_FV(A192,"Low")</f>
        <v>13.71</v>
      </c>
      <c r="L192" s="75" cm="1">
        <f t="array" aca="1" ref="L192" ca="1">_FV(Tabla2[[#This Row],[valor]],"52 week high",TRUE)</f>
        <v>57.2</v>
      </c>
      <c r="M192" s="75">
        <f ca="1">+L192*0.9</f>
        <v>51.480000000000004</v>
      </c>
      <c r="N192" s="75">
        <f ca="1">+L192*0.95</f>
        <v>54.34</v>
      </c>
      <c r="O192" s="75" cm="1">
        <f t="array" aca="1" ref="O192" ca="1">_FV(A192,"52 week low",TRUE)</f>
        <v>12.06</v>
      </c>
      <c r="P192" s="220">
        <f ca="1">+TODAY()-Tabla2[[#This Row],[F. compra]]</f>
        <v>76</v>
      </c>
      <c r="Q192" s="220">
        <f ca="1">GESTEP(D192,M192)</f>
        <v>0</v>
      </c>
      <c r="R192" s="220">
        <f ca="1">GESTEP(D192,N192)</f>
        <v>0</v>
      </c>
      <c r="S192" s="75" t="s">
        <v>75</v>
      </c>
      <c r="T192" s="110" t="s">
        <v>136</v>
      </c>
      <c r="U192" s="110" t="s">
        <v>88</v>
      </c>
      <c r="V192" s="16">
        <v>46064</v>
      </c>
      <c r="W192" s="16">
        <v>46064</v>
      </c>
      <c r="X192" s="80"/>
      <c r="Y192" s="79">
        <v>20.37</v>
      </c>
      <c r="Z192" s="79">
        <v>20.37</v>
      </c>
      <c r="AA192" s="79">
        <v>20.37</v>
      </c>
      <c r="AB192" s="79"/>
      <c r="AC192" s="79">
        <v>38.69</v>
      </c>
      <c r="AD192" s="79">
        <f>+Tabla2[[#This Row],[Objetivo div2]]+Tabla2[[#This Row],[Div.]]</f>
        <v>38.69</v>
      </c>
      <c r="AE192" s="289">
        <f ca="1">IF(Z192="-",+AC192/Y192-1,AC192/D192-1)</f>
        <v>1.7695060844667143</v>
      </c>
      <c r="AF192" s="76">
        <v>45.76</v>
      </c>
      <c r="AG192" s="253">
        <f ca="1">IF(Z192="-",+AF192/D192-1,AF192/D192-1)</f>
        <v>2.2755905511811019</v>
      </c>
      <c r="AH192" s="76">
        <v>28.88</v>
      </c>
      <c r="AI192" s="147">
        <f ca="1">IF(Z192="-",AH192/Y192-1,+AH192/D192-1)</f>
        <v>1.0672870436649964</v>
      </c>
      <c r="AJ192" s="121">
        <f ca="1">IF(Z192="-","-",+(D192/Z192)-1)</f>
        <v>-0.31418753068237604</v>
      </c>
      <c r="AK192" s="120">
        <f ca="1">IF(AA192="-","-",+(D192/AA192)-1)</f>
        <v>-0.31418753068237604</v>
      </c>
      <c r="AM192" s="49" t="str">
        <f>IF(AL192=0,"-",+AL192/Z192-1)</f>
        <v>-</v>
      </c>
      <c r="AN192" s="28">
        <f ca="1">+D192/Y192-1</f>
        <v>-0.31418753068237604</v>
      </c>
      <c r="AO192" s="75">
        <f ca="1">VLOOKUP(Tabla2[[#This Row],[TCKR]],'2026'!$D$5:$AH$257,8,FALSE)</f>
        <v>93</v>
      </c>
      <c r="AP192" s="193">
        <f ca="1">VLOOKUP(Tabla2[[#This Row],[TCKR]],'2026'!$D$5:$AH$257,26,FALSE)</f>
        <v>-1043.1935349890887</v>
      </c>
      <c r="AQ192" s="5" cm="1">
        <f t="array" aca="1" ref="AQ192" ca="1">_FV(Tabla2[[#This Row],[valor]],"P/E",TRUE)</f>
        <v>0</v>
      </c>
      <c r="AR192" s="4"/>
      <c r="AT192" s="193">
        <f ca="1">+Tabla2[[#This Row],[Titulos2]]*Tabla2[[#This Row],[Neto]]</f>
        <v>0</v>
      </c>
      <c r="AU192" s="28">
        <f>+Tabla2[[#This Row],[Neto]]/Tabla2[[#This Row],[Precio compra2]]</f>
        <v>0</v>
      </c>
    </row>
    <row r="193" spans="1:47" ht="16" customHeight="1" x14ac:dyDescent="0.2">
      <c r="A193" s="325" t="e" vm="102">
        <v>#VALUE!</v>
      </c>
      <c r="B193" s="75" t="str" cm="1">
        <f t="array" aca="1" ref="B193" ca="1">_FV(A193,"Ticker symbol",TRUE)</f>
        <v>KLAR</v>
      </c>
      <c r="C193" s="217" cm="1">
        <f t="array" aca="1" ref="C193" ca="1">_FV(A193,"Change (%)",TRUE)</f>
        <v>-7.1069999999999996E-3</v>
      </c>
      <c r="D193" s="144" cm="1">
        <f t="array" aca="1" ref="D193" ca="1">_FV(A193,"Price")</f>
        <v>13.97</v>
      </c>
      <c r="E193" s="289">
        <f ca="1">AE193</f>
        <v>1.7695060844667143</v>
      </c>
      <c r="F193" s="321">
        <f ca="1">+Tabla2[[#This Row],[Rentab. Parcial]]</f>
        <v>-0.1312189054726367</v>
      </c>
      <c r="G193" s="321">
        <f ca="1">+Tabla2[[#This Row],[Rentab. Parcial2]]</f>
        <v>-0.1312189054726367</v>
      </c>
      <c r="H193" s="253">
        <f ca="1">+Tabla2[[#This Row],[Difer. Investing]]</f>
        <v>2.3471725125268428</v>
      </c>
      <c r="I193" s="79">
        <f>+Tabla2[[#This Row],[Objetivo div2]]</f>
        <v>38.69</v>
      </c>
      <c r="J193" s="75" cm="1">
        <f t="array" aca="1" ref="J193" ca="1">_FV(A193,"High")</f>
        <v>14.15</v>
      </c>
      <c r="K193" s="75" cm="1">
        <f t="array" aca="1" ref="K193" ca="1">_FV(A193,"Low")</f>
        <v>13.71</v>
      </c>
      <c r="L193" s="75" cm="1">
        <f t="array" aca="1" ref="L193" ca="1">_FV(Tabla2[[#This Row],[valor]],"52 week high",TRUE)</f>
        <v>57.2</v>
      </c>
      <c r="M193" s="75">
        <f ca="1">+L193*0.9</f>
        <v>51.480000000000004</v>
      </c>
      <c r="N193" s="75">
        <f ca="1">+L193*0.95</f>
        <v>54.34</v>
      </c>
      <c r="O193" s="75" cm="1">
        <f t="array" aca="1" ref="O193" ca="1">_FV(A193,"52 week low",TRUE)</f>
        <v>12.06</v>
      </c>
      <c r="P193" s="220">
        <f ca="1">+TODAY()-Tabla2[[#This Row],[F. compra]]</f>
        <v>48</v>
      </c>
      <c r="Q193" s="220">
        <f ca="1">GESTEP(D193,M193)</f>
        <v>0</v>
      </c>
      <c r="R193" s="220">
        <f ca="1">GESTEP(D193,N193)</f>
        <v>0</v>
      </c>
      <c r="S193" s="75" t="s">
        <v>75</v>
      </c>
      <c r="T193" s="110" t="s">
        <v>136</v>
      </c>
      <c r="U193" s="110" t="s">
        <v>88</v>
      </c>
      <c r="V193" s="16">
        <v>46092</v>
      </c>
      <c r="W193" s="16">
        <v>46092</v>
      </c>
      <c r="X193" s="80"/>
      <c r="Y193" s="79">
        <v>16.079999999999998</v>
      </c>
      <c r="Z193" s="79">
        <v>16.079999999999998</v>
      </c>
      <c r="AA193" s="79">
        <v>16.079999999999998</v>
      </c>
      <c r="AB193" s="79"/>
      <c r="AC193" s="79">
        <v>38.69</v>
      </c>
      <c r="AD193" s="79">
        <f>+Tabla2[[#This Row],[Objetivo div2]]+Tabla2[[#This Row],[Div.]]</f>
        <v>38.69</v>
      </c>
      <c r="AE193" s="289">
        <f ca="1">IF(Z193="-",+AC193/Y193-1,AC193/D193-1)</f>
        <v>1.7695060844667143</v>
      </c>
      <c r="AF193" s="76">
        <v>46.76</v>
      </c>
      <c r="AG193" s="253">
        <f ca="1">IF(Z193="-",+AF193/D193-1,AF193/D193-1)</f>
        <v>2.3471725125268428</v>
      </c>
      <c r="AH193" s="76">
        <v>29.88</v>
      </c>
      <c r="AI193" s="147">
        <f ca="1">IF(Z193="-",AH193/Y193-1,+AH193/D193-1)</f>
        <v>1.1388690050107373</v>
      </c>
      <c r="AJ193" s="121">
        <f ca="1">IF(Z193="-","-",+(D193/Z193)-1)</f>
        <v>-0.1312189054726367</v>
      </c>
      <c r="AK193" s="120">
        <f ca="1">IF(AA193="-","-",+(D193/AA193)-1)</f>
        <v>-0.1312189054726367</v>
      </c>
      <c r="AM193" s="49" t="str">
        <f>IF(AL193=0,"-",+AL193/Z193-1)</f>
        <v>-</v>
      </c>
      <c r="AN193" s="28">
        <f ca="1">+D193/Y193-1</f>
        <v>-0.1312189054726367</v>
      </c>
      <c r="AO193" s="75">
        <f ca="1">VLOOKUP(Tabla2[[#This Row],[TCKR]],'2026'!$D$5:$AH$257,8,FALSE)</f>
        <v>93</v>
      </c>
      <c r="AP193" s="193">
        <f ca="1">VLOOKUP(Tabla2[[#This Row],[TCKR]],'2026'!$D$5:$AH$257,26,FALSE)</f>
        <v>-1043.1935349890887</v>
      </c>
      <c r="AQ193" s="5" cm="1">
        <f t="array" aca="1" ref="AQ193" ca="1">_FV(Tabla2[[#This Row],[valor]],"P/E",TRUE)</f>
        <v>0</v>
      </c>
      <c r="AR193" s="4"/>
      <c r="AT193" s="193">
        <f ca="1">+Tabla2[[#This Row],[Titulos2]]*Tabla2[[#This Row],[Neto]]</f>
        <v>0</v>
      </c>
      <c r="AU193" s="28">
        <f>+Tabla2[[#This Row],[Neto]]/Tabla2[[#This Row],[Precio compra2]]</f>
        <v>0</v>
      </c>
    </row>
    <row r="194" spans="1:47" ht="16" customHeight="1" x14ac:dyDescent="0.2">
      <c r="A194" s="323" t="e" vm="49">
        <v>#VALUE!</v>
      </c>
      <c r="B194" s="75" t="str" cm="1">
        <f t="array" aca="1" ref="B194" ca="1">_FV(A194,"Ticker symbol",TRUE)</f>
        <v>CNDT</v>
      </c>
      <c r="C194" s="217" cm="1">
        <f t="array" aca="1" ref="C194" ca="1">_FV(A194,"Change (%)",TRUE)</f>
        <v>0</v>
      </c>
      <c r="D194" s="144" cm="1">
        <f t="array" aca="1" ref="D194" ca="1">_FV(A194,"Price")</f>
        <v>1.7</v>
      </c>
      <c r="E194" s="159">
        <f ca="1">AE194</f>
        <v>1.882352941176471</v>
      </c>
      <c r="F194" s="321">
        <f ca="1">+Tabla2[[#This Row],[Rentab. Parcial]]</f>
        <v>-0.54666666666666663</v>
      </c>
      <c r="G194" s="321">
        <f ca="1">+Tabla2[[#This Row],[Rentab. Parcial2]]</f>
        <v>-0.54666666666666663</v>
      </c>
      <c r="H194" s="253">
        <f ca="1">+Tabla2[[#This Row],[Difer. Investing]]</f>
        <v>3.1352941176470592</v>
      </c>
      <c r="I194" s="79">
        <f>+Tabla2[[#This Row],[Objetivo div2]]</f>
        <v>4.9000000000000004</v>
      </c>
      <c r="J194" s="75" cm="1">
        <f t="array" aca="1" ref="J194" ca="1">_FV(A194,"High")</f>
        <v>1.77</v>
      </c>
      <c r="K194" s="75" cm="1">
        <f t="array" aca="1" ref="K194" ca="1">_FV(A194,"Low")</f>
        <v>1.7</v>
      </c>
      <c r="L194" s="75" cm="1">
        <f t="array" aca="1" ref="L194" ca="1">_FV(Tabla2[[#This Row],[valor]],"52 week high",TRUE)</f>
        <v>2.98</v>
      </c>
      <c r="M194" s="75">
        <f ca="1">+Tabla2[[#This Row],[52 high]]*0.9</f>
        <v>2.6819999999999999</v>
      </c>
      <c r="N194" s="75">
        <f ca="1">+Tabla2[[#This Row],[52 high]]*0.95</f>
        <v>2.831</v>
      </c>
      <c r="O194" s="75" cm="1">
        <f t="array" aca="1" ref="O194" ca="1">_FV(Tabla2[[#This Row],[valor]],"52 week low",TRUE)</f>
        <v>1.1499999999999999</v>
      </c>
      <c r="P194" s="220">
        <f ca="1">+TODAY()-Tabla2[[#This Row],[F. compra]]</f>
        <v>825</v>
      </c>
      <c r="Q194" s="220">
        <f ca="1">GESTEP(Tabla2[[#This Row],[price]],Tabla2[[#This Row],[HIGH 10%]])</f>
        <v>0</v>
      </c>
      <c r="R194" s="220">
        <f ca="1">GESTEP(Tabla2[[#This Row],[price]],Tabla2[[#This Row],[HIGH 5%]])</f>
        <v>0</v>
      </c>
      <c r="S194" s="75" t="s">
        <v>76</v>
      </c>
      <c r="T194" s="110" t="s">
        <v>78</v>
      </c>
      <c r="U194" s="110" t="s">
        <v>88</v>
      </c>
      <c r="V194" s="16">
        <v>45315</v>
      </c>
      <c r="W194" s="16">
        <v>45315</v>
      </c>
      <c r="X194" s="80"/>
      <c r="Y194" s="79">
        <v>3.76</v>
      </c>
      <c r="Z194" s="79">
        <v>3.75</v>
      </c>
      <c r="AA194" s="79">
        <f>+Tabla2[[#This Row],[Precio compra]]+Tabla2[[#This Row],[Div.]]</f>
        <v>3.75</v>
      </c>
      <c r="AB194" s="96"/>
      <c r="AC194" s="79">
        <v>4.9000000000000004</v>
      </c>
      <c r="AD194" s="79">
        <f>+Tabla2[[#This Row],[Objetivo div2]]+Tabla2[[#This Row],[Div.]]</f>
        <v>4.9000000000000004</v>
      </c>
      <c r="AE194" s="159">
        <f ca="1">IF(Z194="-",+AC194/Y194-1,AC194/D194-1)</f>
        <v>1.882352941176471</v>
      </c>
      <c r="AF194" s="81">
        <v>7.03</v>
      </c>
      <c r="AG194" s="253">
        <f ca="1">IF(Z194="-",+AF194/D194-1,AF194/D194-1)</f>
        <v>3.1352941176470592</v>
      </c>
      <c r="AH194" s="81">
        <v>3.64</v>
      </c>
      <c r="AI194" s="147">
        <f ca="1">IF(Z194="-",AH194/Y194-1,+AH194/D194-1)</f>
        <v>1.1411764705882352</v>
      </c>
      <c r="AJ194" s="121">
        <f ca="1">IF(Z194="-","-",+(D194/Z194)-1)</f>
        <v>-0.54666666666666663</v>
      </c>
      <c r="AK194" s="120">
        <f ca="1">IF(AA194="-","-",+(D194/AA194)-1)</f>
        <v>-0.54666666666666663</v>
      </c>
      <c r="AM194" s="49" t="str">
        <f>IF(AL194=0,"-",+AL194/Z194-1)</f>
        <v>-</v>
      </c>
      <c r="AN194" s="28">
        <f ca="1">+D194/Y194-1</f>
        <v>-0.5478723404255319</v>
      </c>
      <c r="AO194" s="75">
        <f ca="1">VLOOKUP(Tabla2[[#This Row],[TCKR]],'2026'!$D$5:$AH$257,8,FALSE)</f>
        <v>1900</v>
      </c>
      <c r="AP194" s="193">
        <f ca="1">VLOOKUP(Tabla2[[#This Row],[TCKR]],'2026'!$D$5:$AH$257,26,FALSE)</f>
        <v>-3009.5896046859466</v>
      </c>
      <c r="AQ194" s="5" cm="1">
        <f t="array" aca="1" ref="AQ194" ca="1">_FV(Tabla2[[#This Row],[valor]],"P/E",TRUE)</f>
        <v>0</v>
      </c>
      <c r="AR194" s="4"/>
      <c r="AT194" s="193">
        <f ca="1">+Tabla2[[#This Row],[Titulos2]]*Tabla2[[#This Row],[Neto]]</f>
        <v>0</v>
      </c>
      <c r="AU194" s="28">
        <f>+Tabla2[[#This Row],[Neto]]/Tabla2[[#This Row],[Precio compra2]]</f>
        <v>0</v>
      </c>
    </row>
    <row r="195" spans="1:47" ht="16" customHeight="1" x14ac:dyDescent="0.2">
      <c r="A195" s="324" t="e" vm="59">
        <v>#VALUE!</v>
      </c>
      <c r="B195" s="75" t="str" cm="1">
        <f t="array" aca="1" ref="B195" ca="1">_FV(A195,"Ticker symbol",TRUE)</f>
        <v>DOCU</v>
      </c>
      <c r="C195" s="217" cm="1">
        <f t="array" aca="1" ref="C195" ca="1">_FV(A195,"Change (%)",TRUE)</f>
        <v>-1.2116E-2</v>
      </c>
      <c r="D195" s="144" cm="1">
        <f t="array" aca="1" ref="D195" ca="1">_FV(A195,"Price")</f>
        <v>45.66</v>
      </c>
      <c r="E195" s="307">
        <f ca="1">AE195</f>
        <v>1.9056066579062638</v>
      </c>
      <c r="F195" s="321">
        <f ca="1">+Tabla2[[#This Row],[Rentab. Parcial]]</f>
        <v>-0.45014450867052036</v>
      </c>
      <c r="G195" s="321">
        <f ca="1">+Tabla2[[#This Row],[Rentab. Parcial2]]</f>
        <v>-0.45014450867052036</v>
      </c>
      <c r="H195" s="253">
        <f ca="1">+Tabla2[[#This Row],[Difer. Investing]]</f>
        <v>1.2783618046430139</v>
      </c>
      <c r="I195" s="79">
        <f>+Tabla2[[#This Row],[Objetivo div2]]</f>
        <v>132.66999999999999</v>
      </c>
      <c r="J195" s="75" cm="1">
        <f t="array" aca="1" ref="J195" ca="1">_FV(A195,"High")</f>
        <v>46.97</v>
      </c>
      <c r="K195" s="75" cm="1">
        <f t="array" aca="1" ref="K195" ca="1">_FV(A195,"Low")</f>
        <v>45.6</v>
      </c>
      <c r="L195" s="75" cm="1">
        <f t="array" aca="1" ref="L195" ca="1">_FV(Tabla2[[#This Row],[valor]],"52 week high",TRUE)</f>
        <v>94.67</v>
      </c>
      <c r="M195" s="75">
        <f ca="1">+L195*0.9</f>
        <v>85.203000000000003</v>
      </c>
      <c r="N195" s="75">
        <f ca="1">+L195*0.95</f>
        <v>89.936499999999995</v>
      </c>
      <c r="O195" s="75" cm="1">
        <f t="array" aca="1" ref="O195" ca="1">_FV(A195,"52 week low",TRUE)</f>
        <v>40.159999999999997</v>
      </c>
      <c r="P195" s="220">
        <f ca="1">+TODAY()-Tabla2[[#This Row],[F. compra]]</f>
        <v>223</v>
      </c>
      <c r="Q195" s="220">
        <f ca="1">GESTEP(D195,M195)</f>
        <v>0</v>
      </c>
      <c r="R195" s="220">
        <f ca="1">GESTEP(D195,N195)</f>
        <v>0</v>
      </c>
      <c r="S195" s="75" t="s">
        <v>75</v>
      </c>
      <c r="T195" s="110" t="s">
        <v>78</v>
      </c>
      <c r="U195" s="110" t="s">
        <v>26</v>
      </c>
      <c r="V195" s="16">
        <v>45908</v>
      </c>
      <c r="W195" s="16">
        <v>45917</v>
      </c>
      <c r="X195" s="80" t="s">
        <v>237</v>
      </c>
      <c r="Y195" s="79">
        <v>83.11</v>
      </c>
      <c r="Z195" s="79">
        <v>83.04</v>
      </c>
      <c r="AA195" s="79">
        <v>83.04</v>
      </c>
      <c r="AB195" s="79"/>
      <c r="AC195" s="79">
        <v>132.66999999999999</v>
      </c>
      <c r="AD195" s="82">
        <f>+Tabla2[[#This Row],[Objetivo div2]]+Tabla2[[#This Row],[Div.]]</f>
        <v>132.66999999999999</v>
      </c>
      <c r="AE195" s="307">
        <f ca="1">IF(Z195="-",+AC195/Y195-1,AC195/D195-1)</f>
        <v>1.9056066579062638</v>
      </c>
      <c r="AF195" s="76">
        <v>104.03</v>
      </c>
      <c r="AG195" s="253">
        <f ca="1">IF(Z195="-",+AF195/D195-1,AF195/D195-1)</f>
        <v>1.2783618046430139</v>
      </c>
      <c r="AH195" s="76">
        <v>68.64</v>
      </c>
      <c r="AI195" s="147">
        <f ca="1">IF(Z195="-",AH195/Y195-1,+AH195/D195-1)</f>
        <v>0.5032851511169516</v>
      </c>
      <c r="AJ195" s="121">
        <f ca="1">IF(Z195="-","-",+(D195/Z195)-1)</f>
        <v>-0.45014450867052036</v>
      </c>
      <c r="AK195" s="120">
        <f ca="1">IF(AA195="-","-",+(D195/AA195)-1)</f>
        <v>-0.45014450867052036</v>
      </c>
      <c r="AM195" s="49" t="str">
        <f>IF(AL195=0,"-",+AL195/Z195-1)</f>
        <v>-</v>
      </c>
      <c r="AN195" s="28">
        <f ca="1">+D195/Y195-1</f>
        <v>-0.45060762844423052</v>
      </c>
      <c r="AO195" s="75">
        <f ca="1">VLOOKUP(Tabla2[[#This Row],[TCKR]],'2026'!$D$5:$AH$257,8,FALSE)</f>
        <v>156</v>
      </c>
      <c r="AP195" s="193">
        <f ca="1">VLOOKUP(Tabla2[[#This Row],[TCKR]],'2026'!$D$5:$AH$257,26,FALSE)</f>
        <v>-3890.0252548183398</v>
      </c>
      <c r="AQ195" s="5" cm="1">
        <f t="array" aca="1" ref="AQ195" ca="1">_FV(Tabla2[[#This Row],[valor]],"P/E",TRUE)</f>
        <v>31.211400000000001</v>
      </c>
      <c r="AR195" s="4"/>
      <c r="AT195" s="193">
        <f ca="1">+Tabla2[[#This Row],[Titulos2]]*Tabla2[[#This Row],[Neto]]</f>
        <v>0</v>
      </c>
      <c r="AU195" s="28">
        <f>+Tabla2[[#This Row],[Neto]]/Tabla2[[#This Row],[Precio compra2]]</f>
        <v>0</v>
      </c>
    </row>
    <row r="196" spans="1:47" ht="16" customHeight="1" x14ac:dyDescent="0.2">
      <c r="A196" s="324" t="e" vm="137">
        <v>#VALUE!</v>
      </c>
      <c r="B196" s="75" t="str" cm="1">
        <f t="array" aca="1" ref="B196" ca="1">_FV(A196,"Ticker symbol",TRUE)</f>
        <v>PRZO</v>
      </c>
      <c r="C196" s="217" cm="1">
        <f t="array" aca="1" ref="C196" ca="1">_FV(A196,"Change (%)",TRUE)</f>
        <v>1.6005999999999999E-2</v>
      </c>
      <c r="D196" s="144" cm="1">
        <f t="array" aca="1" ref="D196" ca="1">_FV(A196,"Price")</f>
        <v>0.73</v>
      </c>
      <c r="E196" s="307">
        <f ca="1">AE196</f>
        <v>1.8630136986301369</v>
      </c>
      <c r="F196" s="321">
        <f ca="1">+Tabla2[[#This Row],[Rentab. Parcial]]</f>
        <v>-0.51652427313067095</v>
      </c>
      <c r="G196" s="321">
        <f ca="1">+Tabla2[[#This Row],[Rentab. Parcial2]]</f>
        <v>-0.51655629139072845</v>
      </c>
      <c r="H196" s="253">
        <f ca="1">+Tabla2[[#This Row],[Difer. Investing]]</f>
        <v>0.35616438356164393</v>
      </c>
      <c r="I196" s="79">
        <f>+Tabla2[[#This Row],[Objetivo div2]]</f>
        <v>2.09</v>
      </c>
      <c r="J196" s="75" cm="1">
        <f t="array" aca="1" ref="J196" ca="1">_FV(A196,"High")</f>
        <v>0.74770000000000003</v>
      </c>
      <c r="K196" s="75" cm="1">
        <f t="array" aca="1" ref="K196" ca="1">_FV(A196,"Low")</f>
        <v>0.7</v>
      </c>
      <c r="L196" s="75" cm="1">
        <f t="array" aca="1" ref="L196" ca="1">_FV(Tabla2[[#This Row],[valor]],"52 week high",TRUE)</f>
        <v>2.145</v>
      </c>
      <c r="M196" s="75">
        <f ca="1">+L196*0.9</f>
        <v>1.9305000000000001</v>
      </c>
      <c r="N196" s="75">
        <f ca="1">+L196*0.95</f>
        <v>2.03775</v>
      </c>
      <c r="O196" s="75" cm="1">
        <f t="array" aca="1" ref="O196" ca="1">_FV(A196,"52 week low",TRUE)</f>
        <v>0.66</v>
      </c>
      <c r="P196" s="220">
        <f ca="1">+TODAY()-Tabla2[[#This Row],[F. compra]]</f>
        <v>225</v>
      </c>
      <c r="Q196" s="220">
        <f ca="1">GESTEP(D196,M196)</f>
        <v>0</v>
      </c>
      <c r="R196" s="220">
        <f ca="1">GESTEP(D196,N196)</f>
        <v>0</v>
      </c>
      <c r="S196" s="75" t="s">
        <v>76</v>
      </c>
      <c r="T196" s="110" t="s">
        <v>78</v>
      </c>
      <c r="U196" s="110" t="s">
        <v>26</v>
      </c>
      <c r="V196" s="16">
        <v>45915</v>
      </c>
      <c r="W196" s="16">
        <v>45915</v>
      </c>
      <c r="X196" s="80"/>
      <c r="Y196" s="79">
        <v>1.51</v>
      </c>
      <c r="Z196" s="79">
        <v>1.5099</v>
      </c>
      <c r="AA196" s="79">
        <v>1.51</v>
      </c>
      <c r="AB196" s="79"/>
      <c r="AC196" s="79">
        <v>2.09</v>
      </c>
      <c r="AD196" s="82">
        <f>+Tabla2[[#This Row],[Objetivo div2]]+Tabla2[[#This Row],[Div.]]</f>
        <v>2.09</v>
      </c>
      <c r="AE196" s="307">
        <f ca="1">IF(Z196="-",+AC196/Y196-1,AC196/D196-1)</f>
        <v>1.8630136986301369</v>
      </c>
      <c r="AF196" s="76">
        <v>0.99</v>
      </c>
      <c r="AG196" s="253">
        <f ca="1">IF(Z196="-",+AF196/D196-1,AF196/D196-1)</f>
        <v>0.35616438356164393</v>
      </c>
      <c r="AH196" s="76">
        <v>1.22</v>
      </c>
      <c r="AI196" s="147">
        <f ca="1">IF(Z196="-",AH196/Y196-1,+AH196/D196-1)</f>
        <v>0.67123287671232879</v>
      </c>
      <c r="AJ196" s="121">
        <f ca="1">IF(Z196="-","-",+(D196/Z196)-1)</f>
        <v>-0.51652427313067095</v>
      </c>
      <c r="AK196" s="120">
        <f ca="1">IF(AA196="-","-",+(D196/AA196)-1)</f>
        <v>-0.51655629139072845</v>
      </c>
      <c r="AM196" s="49" t="str">
        <f>IF(AL196=0,"-",+AL196/Z196-1)</f>
        <v>-</v>
      </c>
      <c r="AN196" s="28">
        <f ca="1">+D196/Y196-1</f>
        <v>-0.51655629139072845</v>
      </c>
      <c r="AO196" s="75">
        <f ca="1">VLOOKUP(Tabla2[[#This Row],[TCKR]],'2026'!$D$5:$AH$257,8,FALSE)</f>
        <v>3378</v>
      </c>
      <c r="AP196" s="193">
        <f ca="1">VLOOKUP(Tabla2[[#This Row],[TCKR]],'2026'!$D$5:$AH$257,26,FALSE)</f>
        <v>-1797.7646642183458</v>
      </c>
      <c r="AQ196" s="5" cm="1">
        <f t="array" aca="1" ref="AQ196" ca="1">_FV(Tabla2[[#This Row],[valor]],"P/E",TRUE)</f>
        <v>0</v>
      </c>
      <c r="AR196" s="4"/>
      <c r="AT196" s="193">
        <f ca="1">+Tabla2[[#This Row],[Titulos2]]*Tabla2[[#This Row],[Neto]]</f>
        <v>0</v>
      </c>
      <c r="AU196" s="28">
        <f>+Tabla2[[#This Row],[Neto]]/Tabla2[[#This Row],[Precio compra2]]</f>
        <v>0</v>
      </c>
    </row>
    <row r="197" spans="1:47" ht="16" customHeight="1" x14ac:dyDescent="0.2">
      <c r="A197" s="323" t="e" vm="180">
        <v>#VALUE!</v>
      </c>
      <c r="B197" s="75" t="str" cm="1">
        <f t="array" aca="1" ref="B197" ca="1">_FV(A197,"Ticker symbol",TRUE)</f>
        <v>RARE</v>
      </c>
      <c r="C197" s="217" cm="1">
        <f t="array" aca="1" ref="C197" ca="1">_FV(A197,"Change (%)",TRUE)</f>
        <v>-4.5639999999999995E-3</v>
      </c>
      <c r="D197" s="144" cm="1">
        <f t="array" aca="1" ref="D197" ca="1">_FV(A197,"Price")</f>
        <v>23.99</v>
      </c>
      <c r="E197" s="159">
        <f ca="1">AE197</f>
        <v>1.9879116298457697</v>
      </c>
      <c r="F197" s="321">
        <f ca="1">+Tabla2[[#This Row],[Rentab. Parcial]]</f>
        <v>-0.58030090972708193</v>
      </c>
      <c r="G197" s="321">
        <f ca="1">+Tabla2[[#This Row],[Rentab. Parcial2]]</f>
        <v>-0.58030090972708193</v>
      </c>
      <c r="H197" s="253">
        <f ca="1">+Tabla2[[#This Row],[Difer. Investing]]</f>
        <v>1.709462275948312</v>
      </c>
      <c r="I197" s="79">
        <f>+Tabla2[[#This Row],[Objetivo div2]]</f>
        <v>71.680000000000007</v>
      </c>
      <c r="J197" s="75" cm="1">
        <f t="array" aca="1" ref="J197" ca="1">_FV(A197,"High")</f>
        <v>25.05</v>
      </c>
      <c r="K197" s="75" cm="1">
        <f t="array" aca="1" ref="K197" ca="1">_FV(A197,"Low")</f>
        <v>23.78</v>
      </c>
      <c r="L197" s="75" cm="1">
        <f t="array" aca="1" ref="L197" ca="1">_FV(Tabla2[[#This Row],[valor]],"52 week high",TRUE)</f>
        <v>42.37</v>
      </c>
      <c r="M197" s="75">
        <f ca="1">+Tabla2[[#This Row],[52 high]]*0.9</f>
        <v>38.132999999999996</v>
      </c>
      <c r="N197" s="75">
        <f ca="1">+Tabla2[[#This Row],[52 high]]*0.95</f>
        <v>40.251499999999993</v>
      </c>
      <c r="O197" s="75" cm="1">
        <f t="array" aca="1" ref="O197" ca="1">_FV(Tabla2[[#This Row],[valor]],"52 week low",TRUE)</f>
        <v>18.29</v>
      </c>
      <c r="P197" s="220">
        <f ca="1">+TODAY()-Tabla2[[#This Row],[F. compra]]</f>
        <v>610</v>
      </c>
      <c r="Q197" s="220">
        <f ca="1">GESTEP(Tabla2[[#This Row],[price]],Tabla2[[#This Row],[HIGH 10%]])</f>
        <v>0</v>
      </c>
      <c r="R197" s="220">
        <f ca="1">GESTEP(Tabla2[[#This Row],[price]],Tabla2[[#This Row],[HIGH 5%]])</f>
        <v>0</v>
      </c>
      <c r="S197" s="75" t="s">
        <v>75</v>
      </c>
      <c r="T197" s="110" t="s">
        <v>78</v>
      </c>
      <c r="U197" s="110" t="s">
        <v>88</v>
      </c>
      <c r="V197" s="16">
        <v>45530</v>
      </c>
      <c r="W197" s="16">
        <v>45530</v>
      </c>
      <c r="X197" s="80" t="s">
        <v>11</v>
      </c>
      <c r="Y197" s="79">
        <v>57.16</v>
      </c>
      <c r="Z197" s="79">
        <v>57.16</v>
      </c>
      <c r="AA197" s="79">
        <f>+Tabla2[[#This Row],[Precio compra]]+Tabla2[[#This Row],[Div.]]</f>
        <v>57.16</v>
      </c>
      <c r="AB197" s="96"/>
      <c r="AC197" s="79">
        <v>71.680000000000007</v>
      </c>
      <c r="AD197" s="79">
        <f>+Tabla2[[#This Row],[Objetivo div2]]+Tabla2[[#This Row],[Div.]]</f>
        <v>71.680000000000007</v>
      </c>
      <c r="AE197" s="159">
        <f ca="1">IF(Z197="-",+AC197/Y197-1,AC197/D197-1)</f>
        <v>1.9879116298457697</v>
      </c>
      <c r="AF197" s="81">
        <v>65</v>
      </c>
      <c r="AG197" s="253">
        <f ca="1">IF(Z197="-",+AF197/D197-1,AF197/D197-1)</f>
        <v>1.709462275948312</v>
      </c>
      <c r="AH197" s="81">
        <v>49.94</v>
      </c>
      <c r="AI197" s="147">
        <f ca="1">IF(Z197="-",AH197/Y197-1,+AH197/D197-1)</f>
        <v>1.0817007086285955</v>
      </c>
      <c r="AJ197" s="121">
        <f ca="1">IF(Z197="-","-",+(D197/Z197)-1)</f>
        <v>-0.58030090972708193</v>
      </c>
      <c r="AK197" s="120">
        <f ca="1">IF(AA197="-","-",+(D197/AA197)-1)</f>
        <v>-0.58030090972708193</v>
      </c>
      <c r="AM197" s="49" t="str">
        <f>IF(AL197=0,"-",+AL197/Z197-1)</f>
        <v>-</v>
      </c>
      <c r="AN197" s="28">
        <f ca="1">+D197/Y197-1</f>
        <v>-0.58030090972708193</v>
      </c>
      <c r="AO197" s="75">
        <f ca="1">VLOOKUP(Tabla2[[#This Row],[TCKR]],'2026'!$D$5:$AH$257,8,FALSE)</f>
        <v>125</v>
      </c>
      <c r="AP197" s="193">
        <f ca="1">VLOOKUP(Tabla2[[#This Row],[TCKR]],'2026'!$D$5:$AH$257,26,FALSE)</f>
        <v>-3023.8870876907313</v>
      </c>
      <c r="AQ197" s="5" cm="1">
        <f t="array" aca="1" ref="AQ197" ca="1">_FV(Tabla2[[#This Row],[valor]],"P/E",TRUE)</f>
        <v>0</v>
      </c>
      <c r="AR197" s="4"/>
      <c r="AT197" s="193">
        <f ca="1">+Tabla2[[#This Row],[Titulos2]]*Tabla2[[#This Row],[Neto]]</f>
        <v>0</v>
      </c>
      <c r="AU197" s="28">
        <f>+Tabla2[[#This Row],[Neto]]/Tabla2[[#This Row],[Precio compra2]]</f>
        <v>0</v>
      </c>
    </row>
    <row r="198" spans="1:47" ht="16" customHeight="1" x14ac:dyDescent="0.2">
      <c r="A198" s="323" t="e" vm="75">
        <v>#VALUE!</v>
      </c>
      <c r="B198" s="75" t="str" cm="1">
        <f t="array" aca="1" ref="B198" ca="1">_FV(A198,"Ticker symbol",TRUE)</f>
        <v>FUBO</v>
      </c>
      <c r="C198" s="217" cm="1">
        <f t="array" aca="1" ref="C198" ca="1">_FV(A198,"Change (%)",TRUE)</f>
        <v>-3.5387000000000002E-2</v>
      </c>
      <c r="D198" s="144" cm="1">
        <f t="array" aca="1" ref="D198" ca="1">_FV(A198,"Price")</f>
        <v>11.585000000000001</v>
      </c>
      <c r="E198" s="159">
        <f ca="1">AE198</f>
        <v>2.1074665515753126</v>
      </c>
      <c r="F198" s="321">
        <f ca="1">+Tabla2[[#This Row],[Rentab. Parcial]]</f>
        <v>-0.33173739491966969</v>
      </c>
      <c r="G198" s="321">
        <f ca="1">+Tabla2[[#This Row],[Rentab. Parcial2]]</f>
        <v>-0.33875570776255703</v>
      </c>
      <c r="H198" s="253">
        <f ca="1">+Tabla2[[#This Row],[Difer. Investing]]</f>
        <v>-0.74104445403539065</v>
      </c>
      <c r="I198" s="79">
        <f>+Tabla2[[#This Row],[Objetivo div2]]</f>
        <v>36</v>
      </c>
      <c r="J198" s="75" cm="1">
        <f t="array" aca="1" ref="J198" ca="1">_FV(A198,"High")</f>
        <v>12.0899</v>
      </c>
      <c r="K198" s="75" cm="1">
        <f t="array" aca="1" ref="K198" ca="1">_FV(A198,"Low")</f>
        <v>11.35</v>
      </c>
      <c r="L198" s="75" cm="1">
        <f t="array" aca="1" ref="L198" ca="1">_FV(Tabla2[[#This Row],[valor]],"52 week high",TRUE)</f>
        <v>56.64</v>
      </c>
      <c r="M198" s="75">
        <f ca="1">+Tabla2[[#This Row],[52 high]]*0.9</f>
        <v>50.975999999999999</v>
      </c>
      <c r="N198" s="75">
        <f ca="1">+Tabla2[[#This Row],[52 high]]*0.95</f>
        <v>53.808</v>
      </c>
      <c r="O198" s="75" cm="1">
        <f t="array" aca="1" ref="O198" ca="1">_FV(Tabla2[[#This Row],[valor]],"52 week low",TRUE)</f>
        <v>8.31</v>
      </c>
      <c r="P198" s="220">
        <f ca="1">+TODAY()-Tabla2[[#This Row],[F. compra]]</f>
        <v>507</v>
      </c>
      <c r="Q198" s="220">
        <f ca="1">GESTEP(Tabla2[[#This Row],[price]],Tabla2[[#This Row],[HIGH 10%]])</f>
        <v>0</v>
      </c>
      <c r="R198" s="220">
        <f ca="1">GESTEP(Tabla2[[#This Row],[price]],Tabla2[[#This Row],[HIGH 5%]])</f>
        <v>0</v>
      </c>
      <c r="S198" s="75" t="s">
        <v>75</v>
      </c>
      <c r="T198" s="110" t="s">
        <v>78</v>
      </c>
      <c r="U198" s="110" t="s">
        <v>26</v>
      </c>
      <c r="V198" s="16">
        <v>45630</v>
      </c>
      <c r="W198" s="16">
        <v>45633</v>
      </c>
      <c r="X198" s="80"/>
      <c r="Y198" s="79"/>
      <c r="Z198" s="79">
        <f>17.52-Tabla2[[#This Row],[Div.]]</f>
        <v>17.335999219359874</v>
      </c>
      <c r="AA198" s="79">
        <v>17.52</v>
      </c>
      <c r="AB198" s="96">
        <v>0.1840007806401249</v>
      </c>
      <c r="AC198" s="79">
        <v>36</v>
      </c>
      <c r="AD198" s="79">
        <f>+Tabla2[[#This Row],[Objetivo div2]]+Tabla2[[#This Row],[Div.]]</f>
        <v>36.184000780640126</v>
      </c>
      <c r="AE198" s="159">
        <f ca="1">IF(Z198="-",+AC198/Y198-1,AC198/D198-1)</f>
        <v>2.1074665515753126</v>
      </c>
      <c r="AF198" s="81">
        <v>3</v>
      </c>
      <c r="AG198" s="253">
        <f ca="1">IF(Z198="-",+AF198/D198-1,AF198/D198-1)</f>
        <v>-0.74104445403539065</v>
      </c>
      <c r="AH198" s="81">
        <v>2.95</v>
      </c>
      <c r="AI198" s="147">
        <f ca="1">IF(Z198="-",AH198/Y198-1,+AH198/D198-1)</f>
        <v>-0.74536037980146741</v>
      </c>
      <c r="AJ198" s="121">
        <f ca="1">IF(Z198="-","-",+(D198/Z198)-1)</f>
        <v>-0.33173739491966969</v>
      </c>
      <c r="AK198" s="120">
        <f ca="1">IF(AA198="-","-",+(D198/AA198)-1)</f>
        <v>-0.33875570776255703</v>
      </c>
      <c r="AM198" s="49" t="str">
        <f>IF(AL198=0,"-",+AL198/Z198-1)</f>
        <v>-</v>
      </c>
      <c r="AN198" s="28" t="e">
        <f ca="1">+D198/Y198-1</f>
        <v>#DIV/0!</v>
      </c>
      <c r="AO198" s="75">
        <f ca="1">VLOOKUP(Tabla2[[#This Row],[TCKR]],'2026'!$D$5:$AH$257,8,FALSE)</f>
        <v>100</v>
      </c>
      <c r="AP198" s="193">
        <f ca="1">VLOOKUP(Tabla2[[#This Row],[TCKR]],'2026'!$D$5:$AH$257,26,FALSE)</f>
        <v>-491.26274334023879</v>
      </c>
      <c r="AQ198" s="5" cm="1">
        <f t="array" aca="1" ref="AQ198" ca="1">_FV(Tabla2[[#This Row],[valor]],"P/E",TRUE)</f>
        <v>2.2080000000000002</v>
      </c>
      <c r="AR198" s="4" t="s">
        <v>11</v>
      </c>
      <c r="AT198" s="193">
        <f ca="1">+Tabla2[[#This Row],[Titulos2]]*Tabla2[[#This Row],[Neto]]</f>
        <v>0</v>
      </c>
      <c r="AU198" s="28">
        <f>+Tabla2[[#This Row],[Neto]]/Tabla2[[#This Row],[Precio compra2]]</f>
        <v>0</v>
      </c>
    </row>
    <row r="199" spans="1:47" ht="16" customHeight="1" x14ac:dyDescent="0.2">
      <c r="A199" s="323" t="e" vm="75">
        <v>#VALUE!</v>
      </c>
      <c r="B199" s="75" t="str" cm="1">
        <f t="array" aca="1" ref="B199" ca="1">_FV(A199,"Ticker symbol",TRUE)</f>
        <v>FUBO</v>
      </c>
      <c r="C199" s="217" cm="1">
        <f t="array" aca="1" ref="C199" ca="1">_FV(A199,"Change (%)",TRUE)</f>
        <v>-3.5387000000000002E-2</v>
      </c>
      <c r="D199" s="144" cm="1">
        <f t="array" aca="1" ref="D199" ca="1">_FV(A199,"Price")</f>
        <v>11.585000000000001</v>
      </c>
      <c r="E199" s="159">
        <f ca="1">AE199</f>
        <v>2.1074665515753126</v>
      </c>
      <c r="F199" s="321">
        <f ca="1">+Tabla2[[#This Row],[Rentab. Parcial]]</f>
        <v>-0.78256381381381379</v>
      </c>
      <c r="G199" s="321">
        <f ca="1">+Tabla2[[#This Row],[Rentab. Parcial2]]</f>
        <v>-0.78256381381381379</v>
      </c>
      <c r="H199" s="253">
        <f ca="1">+Tabla2[[#This Row],[Difer. Investing]]</f>
        <v>-0.74104445403539065</v>
      </c>
      <c r="I199" s="79">
        <f>+Tabla2[[#This Row],[Objetivo div2]]</f>
        <v>36</v>
      </c>
      <c r="J199" s="75" cm="1">
        <f t="array" aca="1" ref="J199" ca="1">_FV(A199,"High")</f>
        <v>12.0899</v>
      </c>
      <c r="K199" s="75" cm="1">
        <f t="array" aca="1" ref="K199" ca="1">_FV(A199,"Low")</f>
        <v>11.35</v>
      </c>
      <c r="L199" s="75" cm="1">
        <f t="array" aca="1" ref="L199" ca="1">_FV(Tabla2[[#This Row],[valor]],"52 week high",TRUE)</f>
        <v>56.64</v>
      </c>
      <c r="M199" s="75">
        <f ca="1">+Tabla2[[#This Row],[52 high]]*0.9</f>
        <v>50.975999999999999</v>
      </c>
      <c r="N199" s="75">
        <f ca="1">+Tabla2[[#This Row],[52 high]]*0.95</f>
        <v>53.808</v>
      </c>
      <c r="O199" s="75" cm="1">
        <f t="array" aca="1" ref="O199" ca="1">_FV(Tabla2[[#This Row],[valor]],"52 week low",TRUE)</f>
        <v>8.31</v>
      </c>
      <c r="P199" s="220">
        <f ca="1">+TODAY()-Tabla2[[#This Row],[F. compra]]</f>
        <v>447</v>
      </c>
      <c r="Q199" s="220">
        <f ca="1">GESTEP(Tabla2[[#This Row],[price]],Tabla2[[#This Row],[HIGH 10%]])</f>
        <v>0</v>
      </c>
      <c r="R199" s="220">
        <f ca="1">GESTEP(Tabla2[[#This Row],[price]],Tabla2[[#This Row],[HIGH 5%]])</f>
        <v>0</v>
      </c>
      <c r="S199" s="75" t="s">
        <v>181</v>
      </c>
      <c r="T199" s="110" t="s">
        <v>78</v>
      </c>
      <c r="U199" s="110" t="s">
        <v>26</v>
      </c>
      <c r="V199" s="16">
        <v>45693</v>
      </c>
      <c r="W199" s="16">
        <v>45693</v>
      </c>
      <c r="X199" s="80"/>
      <c r="Y199" s="79"/>
      <c r="Z199" s="79">
        <v>53.28</v>
      </c>
      <c r="AA199" s="79">
        <f>+Tabla2[[#This Row],[Precio compra]]+Tabla2[[#This Row],[Div.]]</f>
        <v>53.28</v>
      </c>
      <c r="AB199" s="96"/>
      <c r="AC199" s="79">
        <v>36</v>
      </c>
      <c r="AD199" s="79">
        <f>+Tabla2[[#This Row],[Objetivo div2]]+Tabla2[[#This Row],[Div.]]</f>
        <v>36</v>
      </c>
      <c r="AE199" s="159">
        <f ca="1">IF(Z199="-",+AC199/Y199-1,AC199/D199-1)</f>
        <v>2.1074665515753126</v>
      </c>
      <c r="AF199" s="81">
        <v>3</v>
      </c>
      <c r="AG199" s="253">
        <f ca="1">IF(Z199="-",+AF199/D199-1,AF199/D199-1)</f>
        <v>-0.74104445403539065</v>
      </c>
      <c r="AH199" s="81">
        <v>3.95</v>
      </c>
      <c r="AI199" s="147">
        <f ca="1">IF(Z199="-",AH199/Y199-1,+AH199/D199-1)</f>
        <v>-0.65904186447993096</v>
      </c>
      <c r="AJ199" s="121">
        <f ca="1">IF(Z199="-","-",+(D199/Z199)-1)</f>
        <v>-0.78256381381381379</v>
      </c>
      <c r="AK199" s="120">
        <f ca="1">IF(AA199="-","-",+(D199/AA199)-1)</f>
        <v>-0.78256381381381379</v>
      </c>
      <c r="AM199" s="49" t="str">
        <f>IF(AL199=0,"-",+AL199/Z199-1)</f>
        <v>-</v>
      </c>
      <c r="AN199" s="28" t="e">
        <f ca="1">+D199/Y199-1</f>
        <v>#DIV/0!</v>
      </c>
      <c r="AO199" s="75">
        <f ca="1">VLOOKUP(Tabla2[[#This Row],[TCKR]],'2026'!$D$5:$AH$257,8,FALSE)</f>
        <v>100</v>
      </c>
      <c r="AP199" s="193">
        <f ca="1">VLOOKUP(Tabla2[[#This Row],[TCKR]],'2026'!$D$5:$AH$257,26,FALSE)</f>
        <v>-491.26274334023879</v>
      </c>
      <c r="AQ199" s="5" cm="1">
        <f t="array" aca="1" ref="AQ199" ca="1">_FV(Tabla2[[#This Row],[valor]],"P/E",TRUE)</f>
        <v>2.2080000000000002</v>
      </c>
      <c r="AR199" s="4"/>
      <c r="AT199" s="193">
        <f ca="1">+Tabla2[[#This Row],[Titulos2]]*Tabla2[[#This Row],[Neto]]</f>
        <v>0</v>
      </c>
      <c r="AU199" s="28">
        <f>+Tabla2[[#This Row],[Neto]]/Tabla2[[#This Row],[Precio compra2]]</f>
        <v>0</v>
      </c>
    </row>
    <row r="200" spans="1:47" ht="16" customHeight="1" x14ac:dyDescent="0.2">
      <c r="A200" s="75" t="e" vm="85">
        <v>#VALUE!</v>
      </c>
      <c r="B200" s="75" t="str" cm="1">
        <f t="array" aca="1" ref="B200" ca="1">_FV(A200,"Ticker symbol",TRUE)</f>
        <v>HFG</v>
      </c>
      <c r="C200" s="217" cm="1">
        <f t="array" aca="1" ref="C200" ca="1">_FV(A200,"Change (%)",TRUE)</f>
        <v>1.3509999999999999E-2</v>
      </c>
      <c r="D200" s="144" cm="1">
        <f t="array" aca="1" ref="D200" ca="1">_FV(A200,"Price")</f>
        <v>4.5010000000000003</v>
      </c>
      <c r="E200" s="159">
        <f ca="1">AE200</f>
        <v>2.1259720062208398</v>
      </c>
      <c r="F200" s="321">
        <f ca="1">+Tabla2[[#This Row],[Rentab. Parcial]]</f>
        <v>-0.6062117235345581</v>
      </c>
      <c r="G200" s="321">
        <f ca="1">+Tabla2[[#This Row],[Rentab. Parcial2]]</f>
        <v>-0.6062117235345581</v>
      </c>
      <c r="H200" s="253">
        <f ca="1">+Tabla2[[#This Row],[Difer. Investing]]</f>
        <v>1.0795378804710061</v>
      </c>
      <c r="I200" s="79">
        <f>+Tabla2[[#This Row],[Objetivo div2]]</f>
        <v>14.07</v>
      </c>
      <c r="J200" s="75" cm="1">
        <f t="array" aca="1" ref="J200" ca="1">_FV(A200,"High")</f>
        <v>4.5119999999999996</v>
      </c>
      <c r="K200" s="75" cm="1">
        <f t="array" aca="1" ref="K200" ca="1">_FV(A200,"Low")</f>
        <v>4.3330000000000002</v>
      </c>
      <c r="L200" s="75" cm="1">
        <f t="array" aca="1" ref="L200" ca="1">_FV(Tabla2[[#This Row],[valor]],"52 week high",TRUE)</f>
        <v>11.13</v>
      </c>
      <c r="M200" s="75">
        <f ca="1">+L200*0.9</f>
        <v>10.017000000000001</v>
      </c>
      <c r="N200" s="75">
        <f ca="1">+L200*0.95</f>
        <v>10.573500000000001</v>
      </c>
      <c r="O200" s="75" cm="1">
        <f t="array" aca="1" ref="O200" ca="1">_FV(A200,"52 week low",TRUE)</f>
        <v>3.49</v>
      </c>
      <c r="P200" s="220">
        <f ca="1">+TODAY()-Tabla2[[#This Row],[F. compra]]</f>
        <v>441</v>
      </c>
      <c r="Q200" s="220">
        <f ca="1">GESTEP(D200,M200)</f>
        <v>0</v>
      </c>
      <c r="R200" s="220">
        <f ca="1">GESTEP(D200,N200)</f>
        <v>0</v>
      </c>
      <c r="S200" s="75" t="s">
        <v>75</v>
      </c>
      <c r="T200" s="110" t="s">
        <v>78</v>
      </c>
      <c r="U200" s="110" t="s">
        <v>26</v>
      </c>
      <c r="V200" s="16">
        <v>45699</v>
      </c>
      <c r="W200" s="16">
        <v>45699</v>
      </c>
      <c r="X200" s="80"/>
      <c r="Y200" s="79">
        <v>11.67</v>
      </c>
      <c r="Z200" s="79">
        <v>11.43</v>
      </c>
      <c r="AA200" s="79">
        <f>+Tabla2[[#This Row],[Precio compra]]+Tabla2[[#This Row],[Div.]]</f>
        <v>11.43</v>
      </c>
      <c r="AB200" s="96"/>
      <c r="AC200" s="79">
        <v>14.07</v>
      </c>
      <c r="AD200" s="79">
        <v>14.07</v>
      </c>
      <c r="AE200" s="159">
        <f ca="1">IF(Z200="-",+AC200/Y200-1,AC200/D200-1)</f>
        <v>2.1259720062208398</v>
      </c>
      <c r="AF200" s="81">
        <v>9.36</v>
      </c>
      <c r="AG200" s="253">
        <f ca="1">IF(Z200="-",+AF200/D200-1,AF200/D200-1)</f>
        <v>1.0795378804710061</v>
      </c>
      <c r="AH200" s="81">
        <v>10.47</v>
      </c>
      <c r="AI200" s="147">
        <f ca="1">IF(Z200="-",AH200/Y200-1,+AH200/D200-1)</f>
        <v>1.326149744501222</v>
      </c>
      <c r="AJ200" s="121">
        <f ca="1">IF(Z200="-","-",+(D200/Z200)-1)</f>
        <v>-0.6062117235345581</v>
      </c>
      <c r="AK200" s="120">
        <f ca="1">IF(AA200="-","-",+(D200/AA200)-1)</f>
        <v>-0.6062117235345581</v>
      </c>
      <c r="AM200" s="49" t="str">
        <f>IF(AL200=0,"-",+AL200/Z200-1)</f>
        <v>-</v>
      </c>
      <c r="AN200" s="28">
        <f ca="1">+D200/Y200-1</f>
        <v>-0.61431019708654666</v>
      </c>
      <c r="AO200" s="75">
        <f ca="1">VLOOKUP(Tabla2[[#This Row],[TCKR]],'2026'!$D$5:$AH$257,8,FALSE)</f>
        <v>1000</v>
      </c>
      <c r="AP200" s="193">
        <f ca="1">VLOOKUP(Tabla2[[#This Row],[TCKR]],'2026'!$D$5:$AH$257,26,FALSE)</f>
        <v>-5498.810068806547</v>
      </c>
      <c r="AQ200" s="5" cm="1">
        <f t="array" aca="1" ref="AQ200" ca="1">_FV(Tabla2[[#This Row],[valor]],"P/E",TRUE)</f>
        <v>0</v>
      </c>
      <c r="AR200" s="4"/>
      <c r="AT200" s="193">
        <f ca="1">+Tabla2[[#This Row],[Titulos2]]*Tabla2[[#This Row],[Neto]]</f>
        <v>0</v>
      </c>
      <c r="AU200" s="28">
        <f>+Tabla2[[#This Row],[Neto]]/Tabla2[[#This Row],[Precio compra2]]</f>
        <v>0</v>
      </c>
    </row>
    <row r="201" spans="1:47" ht="16" customHeight="1" x14ac:dyDescent="0.2">
      <c r="A201" s="323" t="e" vm="96">
        <v>#VALUE!</v>
      </c>
      <c r="B201" s="75" t="str" cm="1">
        <f t="array" aca="1" ref="B201" ca="1">_FV(A201,"Ticker symbol",TRUE)</f>
        <v>IOVA</v>
      </c>
      <c r="C201" s="217" cm="1">
        <f t="array" aca="1" ref="C201" ca="1">_FV(A201,"Change (%)",TRUE)</f>
        <v>-2.9070000000000003E-3</v>
      </c>
      <c r="D201" s="144" cm="1">
        <f t="array" aca="1" ref="D201" ca="1">_FV(A201,"Price")</f>
        <v>3.43</v>
      </c>
      <c r="E201" s="159">
        <f ca="1">AE201</f>
        <v>2.6005830903790086</v>
      </c>
      <c r="F201" s="321">
        <f ca="1">+Tabla2[[#This Row],[Rentab. Parcial]]</f>
        <v>-0.72</v>
      </c>
      <c r="G201" s="321">
        <f ca="1">+Tabla2[[#This Row],[Rentab. Parcial2]]</f>
        <v>-0.72</v>
      </c>
      <c r="H201" s="253">
        <f ca="1">+Tabla2[[#This Row],[Difer. Investing]]</f>
        <v>1.6530612244897958</v>
      </c>
      <c r="I201" s="79">
        <f>+Tabla2[[#This Row],[Objetivo div2]]</f>
        <v>12.35</v>
      </c>
      <c r="J201" s="75" cm="1">
        <f t="array" aca="1" ref="J201" ca="1">_FV(A201,"High")</f>
        <v>3.585</v>
      </c>
      <c r="K201" s="75" cm="1">
        <f t="array" aca="1" ref="K201" ca="1">_FV(A201,"Low")</f>
        <v>3.42</v>
      </c>
      <c r="L201" s="75" cm="1">
        <f t="array" aca="1" ref="L201" ca="1">_FV(Tabla2[[#This Row],[valor]],"52 week high",TRUE)</f>
        <v>5.63</v>
      </c>
      <c r="M201" s="75">
        <f ca="1">+Tabla2[[#This Row],[52 high]]*0.9</f>
        <v>5.0670000000000002</v>
      </c>
      <c r="N201" s="75">
        <f ca="1">+Tabla2[[#This Row],[52 high]]*0.95</f>
        <v>5.3484999999999996</v>
      </c>
      <c r="O201" s="75" cm="1">
        <f t="array" aca="1" ref="O201" ca="1">_FV(Tabla2[[#This Row],[valor]],"52 week low",TRUE)</f>
        <v>1.6385000000000001</v>
      </c>
      <c r="P201" s="220">
        <f ca="1">+TODAY()-Tabla2[[#This Row],[F. compra]]</f>
        <v>728</v>
      </c>
      <c r="Q201" s="220">
        <f ca="1">GESTEP(Tabla2[[#This Row],[price]],Tabla2[[#This Row],[HIGH 10%]])</f>
        <v>0</v>
      </c>
      <c r="R201" s="220">
        <f ca="1">GESTEP(Tabla2[[#This Row],[price]],Tabla2[[#This Row],[HIGH 5%]])</f>
        <v>0</v>
      </c>
      <c r="S201" s="75" t="s">
        <v>75</v>
      </c>
      <c r="T201" s="110" t="s">
        <v>78</v>
      </c>
      <c r="U201" s="110" t="s">
        <v>26</v>
      </c>
      <c r="V201" s="16">
        <v>45412</v>
      </c>
      <c r="W201" s="16">
        <v>45412</v>
      </c>
      <c r="X201" s="80"/>
      <c r="Y201" s="79" t="s">
        <v>11</v>
      </c>
      <c r="Z201" s="79">
        <v>12.25</v>
      </c>
      <c r="AA201" s="79">
        <f>+Tabla2[[#This Row],[Precio compra]]+Tabla2[[#This Row],[Div.]]</f>
        <v>12.25</v>
      </c>
      <c r="AB201" s="96"/>
      <c r="AC201" s="79">
        <v>12.35</v>
      </c>
      <c r="AD201" s="79">
        <f>+Tabla2[[#This Row],[Objetivo div2]]+Tabla2[[#This Row],[Div.]]</f>
        <v>12.35</v>
      </c>
      <c r="AE201" s="159">
        <f ca="1">IF(Z201="-",+AC201/Y201-1,AC201/D201-1)</f>
        <v>2.6005830903790086</v>
      </c>
      <c r="AF201" s="81">
        <v>9.1</v>
      </c>
      <c r="AG201" s="253">
        <f ca="1">IF(Z201="-",+AF201/D201-1,AF201/D201-1)</f>
        <v>1.6530612244897958</v>
      </c>
      <c r="AH201" s="81">
        <v>10.98</v>
      </c>
      <c r="AI201" s="147">
        <f ca="1">IF(Z201="-",AH201/Y201-1,+AH201/D201-1)</f>
        <v>2.2011661807580176</v>
      </c>
      <c r="AJ201" s="121">
        <f ca="1">IF(Z201="-","-",+(D201/Z201)-1)</f>
        <v>-0.72</v>
      </c>
      <c r="AK201" s="120">
        <f ca="1">IF(AA201="-","-",+(D201/AA201)-1)</f>
        <v>-0.72</v>
      </c>
      <c r="AM201" s="49" t="str">
        <f>IF(AL201=0,"-",+AL201/Z201-1)</f>
        <v>-</v>
      </c>
      <c r="AN201" s="28" t="e">
        <f ca="1">+D201/Y201-1</f>
        <v>#VALUE!</v>
      </c>
      <c r="AO201" s="75">
        <f ca="1">VLOOKUP(Tabla2[[#This Row],[TCKR]],'2026'!$D$5:$AH$257,8,FALSE)</f>
        <v>491</v>
      </c>
      <c r="AP201" s="193">
        <f ca="1">VLOOKUP(Tabla2[[#This Row],[TCKR]],'2026'!$D$5:$AH$257,26,FALSE)</f>
        <v>-3361.4614715459065</v>
      </c>
      <c r="AQ201" s="5" cm="1">
        <f t="array" aca="1" ref="AQ201" ca="1">_FV(Tabla2[[#This Row],[valor]],"P/E",TRUE)</f>
        <v>0</v>
      </c>
      <c r="AR201" s="4"/>
      <c r="AT201" s="193">
        <f ca="1">+Tabla2[[#This Row],[Titulos2]]*Tabla2[[#This Row],[Neto]]</f>
        <v>0</v>
      </c>
      <c r="AU201" s="28">
        <f>+Tabla2[[#This Row],[Neto]]/Tabla2[[#This Row],[Precio compra2]]</f>
        <v>0</v>
      </c>
    </row>
    <row r="202" spans="1:47" ht="16" customHeight="1" x14ac:dyDescent="0.2">
      <c r="A202" s="324" t="e" vm="22">
        <v>#VALUE!</v>
      </c>
      <c r="B202" s="75" t="str" cm="1">
        <f t="array" aca="1" ref="B202" ca="1">_FV(A202,"Ticker symbol",TRUE)</f>
        <v>ASAN</v>
      </c>
      <c r="C202" s="217" cm="1">
        <f t="array" aca="1" ref="C202" ca="1">_FV(A202,"Change (%)",TRUE)</f>
        <v>-2.3473999999999998E-2</v>
      </c>
      <c r="D202" s="144" cm="1">
        <f t="array" aca="1" ref="D202" ca="1">_FV(A202,"Price")</f>
        <v>6.24</v>
      </c>
      <c r="E202" s="307">
        <f ca="1">AE202</f>
        <v>2.6073717948717952</v>
      </c>
      <c r="F202" s="321">
        <f ca="1">+Tabla2[[#This Row],[Rentab. Parcial]]</f>
        <v>-0.57666214382632286</v>
      </c>
      <c r="G202" s="321">
        <f ca="1">+Tabla2[[#This Row],[Rentab. Parcial2]]</f>
        <v>-0.57666214382632286</v>
      </c>
      <c r="H202" s="253">
        <f ca="1">+Tabla2[[#This Row],[Difer. Investing]]</f>
        <v>1.6955128205128203</v>
      </c>
      <c r="I202" s="79">
        <f>+Tabla2[[#This Row],[Objetivo div2]]</f>
        <v>22.51</v>
      </c>
      <c r="J202" s="75" cm="1">
        <f t="array" aca="1" ref="J202" ca="1">_FV(A202,"High")</f>
        <v>6.4749999999999996</v>
      </c>
      <c r="K202" s="75" cm="1">
        <f t="array" aca="1" ref="K202" ca="1">_FV(A202,"Low")</f>
        <v>6.24</v>
      </c>
      <c r="L202" s="75" cm="1">
        <f t="array" aca="1" ref="L202" ca="1">_FV(Tabla2[[#This Row],[valor]],"52 week high",TRUE)</f>
        <v>19</v>
      </c>
      <c r="M202" s="75">
        <f ca="1">+L202*0.9</f>
        <v>17.100000000000001</v>
      </c>
      <c r="N202" s="75">
        <f ca="1">+L202*0.95</f>
        <v>18.05</v>
      </c>
      <c r="O202" s="75" cm="1">
        <f t="array" aca="1" ref="O202" ca="1">_FV(A202,"52 week low",TRUE)</f>
        <v>5.38</v>
      </c>
      <c r="P202" s="220">
        <f ca="1">+TODAY()-Tabla2[[#This Row],[F. compra]]</f>
        <v>141</v>
      </c>
      <c r="Q202" s="220">
        <f ca="1">GESTEP(D202,M202)</f>
        <v>0</v>
      </c>
      <c r="R202" s="220">
        <f ca="1">GESTEP(D202,N202)</f>
        <v>0</v>
      </c>
      <c r="S202" s="75" t="s">
        <v>75</v>
      </c>
      <c r="T202" s="110" t="s">
        <v>78</v>
      </c>
      <c r="U202" s="110" t="s">
        <v>26</v>
      </c>
      <c r="V202" s="16">
        <v>45999</v>
      </c>
      <c r="W202" s="16">
        <v>45999</v>
      </c>
      <c r="X202" s="80" t="s">
        <v>303</v>
      </c>
      <c r="Y202" s="79">
        <v>14.74</v>
      </c>
      <c r="Z202" s="79">
        <v>14.74</v>
      </c>
      <c r="AA202" s="79">
        <v>14.74</v>
      </c>
      <c r="AB202" s="79"/>
      <c r="AC202" s="79">
        <v>22.51</v>
      </c>
      <c r="AD202" s="79">
        <f>+Tabla2[[#This Row],[Objetivo div2]]+Tabla2[[#This Row],[Div.]]</f>
        <v>22.51</v>
      </c>
      <c r="AE202" s="307">
        <f ca="1">IF(Z202="-",+AC202/Y202-1,AC202/D202-1)</f>
        <v>2.6073717948717952</v>
      </c>
      <c r="AF202" s="76">
        <v>16.82</v>
      </c>
      <c r="AG202" s="253">
        <f ca="1">IF(Z202="-",+AF202/D202-1,AF202/D202-1)</f>
        <v>1.6955128205128203</v>
      </c>
      <c r="AH202" s="76">
        <v>11.97</v>
      </c>
      <c r="AI202" s="147">
        <f ca="1">IF(Z202="-",AH202/Y202-1,+AH202/D202-1)</f>
        <v>0.91826923076923084</v>
      </c>
      <c r="AJ202" s="121">
        <f ca="1">IF(Z202="-","-",+(D202/Z202)-1)</f>
        <v>-0.57666214382632286</v>
      </c>
      <c r="AK202" s="120">
        <f ca="1">IF(AA202="-","-",+(D202/AA202)-1)</f>
        <v>-0.57666214382632286</v>
      </c>
      <c r="AM202" s="49" t="str">
        <f>IF(AL202=0,"-",+AL202/Z202-1)</f>
        <v>-</v>
      </c>
      <c r="AN202" s="28">
        <f ca="1">+D202/Y202-1</f>
        <v>-0.57666214382632286</v>
      </c>
      <c r="AO202" s="75">
        <f ca="1">VLOOKUP(Tabla2[[#This Row],[TCKR]],'2026'!$D$5:$AH$257,8,FALSE)</f>
        <v>987</v>
      </c>
      <c r="AP202" s="193">
        <f ca="1">VLOOKUP(Tabla2[[#This Row],[TCKR]],'2026'!$D$5:$AH$257,26,FALSE)</f>
        <v>-5760.2326733797363</v>
      </c>
      <c r="AQ202" s="5" t="e" cm="1" vm="221">
        <f t="array" ref="AQ202">_FV(Tabla2[[#This Row],[valor]],"P/E",TRUE)</f>
        <v>#VALUE!</v>
      </c>
      <c r="AR202" s="4"/>
      <c r="AT202" s="193">
        <f ca="1">+Tabla2[[#This Row],[Titulos2]]*Tabla2[[#This Row],[Neto]]</f>
        <v>0</v>
      </c>
      <c r="AU202" s="28">
        <f>+Tabla2[[#This Row],[Neto]]/Tabla2[[#This Row],[Precio compra2]]</f>
        <v>0</v>
      </c>
    </row>
    <row r="203" spans="1:47" ht="16" customHeight="1" x14ac:dyDescent="0.2">
      <c r="A203" s="75" t="e" vm="64">
        <v>#VALUE!</v>
      </c>
      <c r="B203" s="75" t="str" cm="1">
        <f t="array" aca="1" ref="B203" ca="1">_FV(A203,"Ticker symbol",TRUE)</f>
        <v>EGLA</v>
      </c>
      <c r="C203" s="217" cm="1">
        <f t="array" aca="1" ref="C203" ca="1">_FV(A203,"Change (%)",TRUE)</f>
        <v>1.681E-3</v>
      </c>
      <c r="D203" s="144" cm="1">
        <f t="array" aca="1" ref="D203" ca="1">_FV(A203,"Price")</f>
        <v>1.1919999999999999</v>
      </c>
      <c r="E203" s="159">
        <f ca="1">AE203</f>
        <v>3.6124161073825505</v>
      </c>
      <c r="F203" s="321">
        <f ca="1">+Tabla2[[#This Row],[Rentab. Parcial]]</f>
        <v>-0.71807000946073796</v>
      </c>
      <c r="G203" s="321">
        <f ca="1">+Tabla2[[#This Row],[Rentab. Parcial2]]</f>
        <v>-0.72084309133489466</v>
      </c>
      <c r="H203" s="253">
        <f ca="1">+Tabla2[[#This Row],[Difer. Investing]]</f>
        <v>2.2298657718120807</v>
      </c>
      <c r="I203" s="79">
        <f>+Tabla2[[#This Row],[Objetivo div2]]</f>
        <v>5.4980000000000002</v>
      </c>
      <c r="J203" s="75" cm="1">
        <f t="array" aca="1" ref="J203" ca="1">_FV(A203,"High")</f>
        <v>1.196</v>
      </c>
      <c r="K203" s="75" cm="1">
        <f t="array" aca="1" ref="K203" ca="1">_FV(A203,"Low")</f>
        <v>1.181</v>
      </c>
      <c r="L203" s="75" cm="1">
        <f t="array" aca="1" ref="L203" ca="1">_FV(Tabla2[[#This Row],[valor]],"52 week high",TRUE)</f>
        <v>3.71</v>
      </c>
      <c r="M203" s="75">
        <f ca="1">+Tabla2[[#This Row],[52 high]]*0.9</f>
        <v>3.339</v>
      </c>
      <c r="N203" s="75">
        <f ca="1">+Tabla2[[#This Row],[52 high]]*0.95</f>
        <v>3.5244999999999997</v>
      </c>
      <c r="O203" s="75" cm="1">
        <f t="array" aca="1" ref="O203" ca="1">_FV(Tabla2[[#This Row],[valor]],"52 week low",TRUE)</f>
        <v>1</v>
      </c>
      <c r="P203" s="220">
        <f ca="1">+TODAY()-Tabla2[[#This Row],[F. compra]]</f>
        <v>750</v>
      </c>
      <c r="Q203" s="220">
        <f ca="1">GESTEP(Tabla2[[#This Row],[price]],Tabla2[[#This Row],[HIGH 10%]])</f>
        <v>0</v>
      </c>
      <c r="R203" s="220">
        <f ca="1">GESTEP(Tabla2[[#This Row],[price]],Tabla2[[#This Row],[HIGH 5%]])</f>
        <v>0</v>
      </c>
      <c r="S203" s="75" t="s">
        <v>75</v>
      </c>
      <c r="T203" s="110" t="s">
        <v>78</v>
      </c>
      <c r="U203" s="110" t="s">
        <v>26</v>
      </c>
      <c r="V203" s="16">
        <v>45390</v>
      </c>
      <c r="W203" s="16">
        <v>45390</v>
      </c>
      <c r="X203" s="80"/>
      <c r="Y203" s="79">
        <v>4.3120000000000003</v>
      </c>
      <c r="Z203" s="79">
        <f>4.27-Tabla2[[#This Row],[Div.]]</f>
        <v>4.2279999999999998</v>
      </c>
      <c r="AA203" s="79">
        <f>+Tabla2[[#This Row],[Precio compra]]+Tabla2[[#This Row],[Div.]]</f>
        <v>4.2699999999999996</v>
      </c>
      <c r="AB203" s="96">
        <v>4.2000000000000003E-2</v>
      </c>
      <c r="AC203" s="79">
        <f>5.54-Tabla2[[#This Row],[Div.]]</f>
        <v>5.4980000000000002</v>
      </c>
      <c r="AD203" s="79">
        <f>+Tabla2[[#This Row],[Objetivo div2]]+Tabla2[[#This Row],[Div.]]</f>
        <v>5.54</v>
      </c>
      <c r="AE203" s="159">
        <f ca="1">IF(Z203="-",+AC203/Y203-1,AC203/D203-1)</f>
        <v>3.6124161073825505</v>
      </c>
      <c r="AF203" s="81">
        <v>3.85</v>
      </c>
      <c r="AG203" s="253">
        <f ca="1">IF(Z203="-",+AF203/D203-1,AF203/D203-1)</f>
        <v>2.2298657718120807</v>
      </c>
      <c r="AH203" s="81">
        <f>3.69-Tabla2[[#This Row],[Div.]]</f>
        <v>3.6480000000000001</v>
      </c>
      <c r="AI203" s="147">
        <f ca="1">IF(Z203="-",AH203/Y203-1,+AH203/D203-1)</f>
        <v>2.0604026845637584</v>
      </c>
      <c r="AJ203" s="121">
        <f ca="1">IF(Z203="-","-",+(D203/Z203)-1)</f>
        <v>-0.71807000946073796</v>
      </c>
      <c r="AK203" s="120">
        <f ca="1">IF(AA203="-","-",+(D203/AA203)-1)</f>
        <v>-0.72084309133489466</v>
      </c>
      <c r="AM203" s="49" t="str">
        <f>IF(AL203=0,"-",+AL203/Z203-1)</f>
        <v>-</v>
      </c>
      <c r="AN203" s="28">
        <f ca="1">+D203/Y203-1</f>
        <v>-0.72356215213358066</v>
      </c>
      <c r="AO203" s="75">
        <f ca="1">VLOOKUP(Tabla2[[#This Row],[TCKR]],'2026'!$D$5:$AH$257,8,FALSE)</f>
        <v>2000</v>
      </c>
      <c r="AP203" s="193">
        <f ca="1">VLOOKUP(Tabla2[[#This Row],[TCKR]],'2026'!$D$5:$AH$257,26,FALSE)</f>
        <v>-4898.2790079798515</v>
      </c>
      <c r="AQ203" s="5" cm="1">
        <f t="array" aca="1" ref="AQ203" ca="1">_FV(Tabla2[[#This Row],[valor]],"P/E",TRUE)</f>
        <v>0</v>
      </c>
      <c r="AR203" s="4"/>
      <c r="AT203" s="193">
        <f ca="1">+Tabla2[[#This Row],[Titulos2]]*Tabla2[[#This Row],[Neto]]</f>
        <v>0</v>
      </c>
      <c r="AU203" s="28">
        <f>+Tabla2[[#This Row],[Neto]]/Tabla2[[#This Row],[Precio compra2]]</f>
        <v>0</v>
      </c>
    </row>
    <row r="204" spans="1:47" ht="16" customHeight="1" x14ac:dyDescent="0.2">
      <c r="A204" s="323" t="e" vm="36">
        <v>#VALUE!</v>
      </c>
      <c r="B204" s="75" t="str" cm="1">
        <f t="array" aca="1" ref="B204" ca="1">_FV(A204,"Ticker symbol",TRUE)</f>
        <v>AI</v>
      </c>
      <c r="C204" s="217" cm="1">
        <f t="array" aca="1" ref="C204" ca="1">_FV(A204,"Change (%)",TRUE)</f>
        <v>1.7940000000000001E-2</v>
      </c>
      <c r="D204" s="144" cm="1">
        <f t="array" aca="1" ref="D204" ca="1">_FV(A204,"Price")</f>
        <v>8.7949999999999999</v>
      </c>
      <c r="E204" s="159">
        <f ca="1">AE204</f>
        <v>3.9289368959636155</v>
      </c>
      <c r="F204" s="321">
        <f ca="1">+Tabla2[[#This Row],[Rentab. Parcial]]</f>
        <v>-0.74002364765001483</v>
      </c>
      <c r="G204" s="321">
        <f ca="1">+Tabla2[[#This Row],[Rentab. Parcial2]]</f>
        <v>-0.74002364765001483</v>
      </c>
      <c r="H204" s="253">
        <f ca="1">+Tabla2[[#This Row],[Difer. Investing]]</f>
        <v>0.66799317794201252</v>
      </c>
      <c r="I204" s="79">
        <f>+Tabla2[[#This Row],[Objetivo div2]]</f>
        <v>43.35</v>
      </c>
      <c r="J204" s="75" cm="1">
        <f t="array" aca="1" ref="J204" ca="1">_FV(A204,"High")</f>
        <v>8.91</v>
      </c>
      <c r="K204" s="75" cm="1">
        <f t="array" aca="1" ref="K204" ca="1">_FV(A204,"Low")</f>
        <v>8.58</v>
      </c>
      <c r="L204" s="75" cm="1">
        <f t="array" aca="1" ref="L204" ca="1">_FV(Tabla2[[#This Row],[valor]],"52 week high",TRUE)</f>
        <v>30.24</v>
      </c>
      <c r="M204" s="75">
        <f ca="1">+L204*0.9</f>
        <v>27.215999999999998</v>
      </c>
      <c r="N204" s="75">
        <f ca="1">+L204*0.95</f>
        <v>28.727999999999998</v>
      </c>
      <c r="O204" s="75" cm="1">
        <f t="array" aca="1" ref="O204" ca="1">_FV(A204,"52 week low",TRUE)</f>
        <v>7.6749999999999998</v>
      </c>
      <c r="P204" s="220">
        <f ca="1">+TODAY()-Tabla2[[#This Row],[F. compra]]</f>
        <v>447</v>
      </c>
      <c r="Q204" s="220">
        <f ca="1">GESTEP(D204,M204)</f>
        <v>0</v>
      </c>
      <c r="R204" s="220">
        <f ca="1">GESTEP(D204,N204)</f>
        <v>0</v>
      </c>
      <c r="S204" s="75" t="s">
        <v>75</v>
      </c>
      <c r="T204" s="110" t="s">
        <v>78</v>
      </c>
      <c r="U204" s="110" t="s">
        <v>26</v>
      </c>
      <c r="V204" s="16">
        <v>45693</v>
      </c>
      <c r="W204" s="16">
        <v>45693</v>
      </c>
      <c r="X204" s="80"/>
      <c r="Y204" s="79">
        <v>34.03</v>
      </c>
      <c r="Z204" s="79">
        <v>33.83</v>
      </c>
      <c r="AA204" s="79">
        <f>+Tabla2[[#This Row],[Precio compra]]+Tabla2[[#This Row],[Div.]]</f>
        <v>33.83</v>
      </c>
      <c r="AB204" s="96"/>
      <c r="AC204" s="79">
        <v>43.35</v>
      </c>
      <c r="AD204" s="79">
        <f>+Tabla2[[#This Row],[Objetivo div2]]+Tabla2[[#This Row],[Div.]]</f>
        <v>43.35</v>
      </c>
      <c r="AE204" s="159">
        <f ca="1">IF(Z204="-",+AC204/Y204-1,AC204/D204-1)</f>
        <v>3.9289368959636155</v>
      </c>
      <c r="AF204" s="81">
        <v>14.67</v>
      </c>
      <c r="AG204" s="253">
        <f ca="1">IF(Z204="-",+AF204/D204-1,AF204/D204-1)</f>
        <v>0.66799317794201252</v>
      </c>
      <c r="AH204" s="81">
        <v>29.37</v>
      </c>
      <c r="AI204" s="147">
        <f ca="1">IF(Z204="-",AH204/Y204-1,+AH204/D204-1)</f>
        <v>2.3393973848777714</v>
      </c>
      <c r="AJ204" s="121">
        <f ca="1">IF(Z204="-","-",+(D204/Z204)-1)</f>
        <v>-0.74002364765001483</v>
      </c>
      <c r="AK204" s="120">
        <f ca="1">IF(AA204="-","-",+(D204/AA204)-1)</f>
        <v>-0.74002364765001483</v>
      </c>
      <c r="AM204" s="49" t="str">
        <f>IF(AL204=0,"-",+AL204/Z204-1)</f>
        <v>-</v>
      </c>
      <c r="AN204" s="28">
        <f ca="1">+D204/Y204-1</f>
        <v>-0.74155157214222744</v>
      </c>
      <c r="AO204" s="75">
        <f ca="1">VLOOKUP(Tabla2[[#This Row],[TCKR]],'2026'!$D$5:$AH$257,8,FALSE)</f>
        <v>235</v>
      </c>
      <c r="AP204" s="193">
        <f ca="1">VLOOKUP(Tabla2[[#This Row],[TCKR]],'2026'!$D$5:$AH$257,26,FALSE)</f>
        <v>-4679.1874467489724</v>
      </c>
      <c r="AQ204" s="5" cm="1">
        <f t="array" aca="1" ref="AQ204" ca="1">_FV(Tabla2[[#This Row],[valor]],"P/E",TRUE)</f>
        <v>0</v>
      </c>
      <c r="AR204" s="4"/>
      <c r="AT204" s="193">
        <f ca="1">+Tabla2[[#This Row],[Titulos2]]*Tabla2[[#This Row],[Neto]]</f>
        <v>0</v>
      </c>
      <c r="AU204" s="28">
        <f>+Tabla2[[#This Row],[Neto]]/Tabla2[[#This Row],[Precio compra2]]</f>
        <v>0</v>
      </c>
    </row>
    <row r="205" spans="1:47" ht="16" customHeight="1" x14ac:dyDescent="0.2">
      <c r="A205" s="323" t="e" vm="174">
        <v>#VALUE!</v>
      </c>
      <c r="B205" s="75" t="str" cm="1">
        <f t="array" aca="1" ref="B205" ca="1">_FV(A205,"Ticker symbol",TRUE)</f>
        <v>DJT</v>
      </c>
      <c r="C205" s="217" cm="1">
        <f t="array" aca="1" ref="C205" ca="1">_FV(A205,"Change (%)",TRUE)</f>
        <v>6.4170999999999992E-2</v>
      </c>
      <c r="D205" s="144" cm="1">
        <f t="array" aca="1" ref="D205" ca="1">_FV(A205,"Price")</f>
        <v>9.9499999999999993</v>
      </c>
      <c r="E205" s="159">
        <f ca="1">AE205</f>
        <v>4.074371859296483</v>
      </c>
      <c r="F205" s="321">
        <f ca="1">+Tabla2[[#This Row],[Rentab. Parcial]]</f>
        <v>-0.7020958083832336</v>
      </c>
      <c r="G205" s="321">
        <f ca="1">+Tabla2[[#This Row],[Rentab. Parcial2]]</f>
        <v>-0.7020958083832336</v>
      </c>
      <c r="H205" s="253">
        <f ca="1">+Tabla2[[#This Row],[Difer. Investing]]</f>
        <v>-8.2412060301507384E-2</v>
      </c>
      <c r="I205" s="79">
        <f>+Tabla2[[#This Row],[Objetivo div2]]</f>
        <v>50.49</v>
      </c>
      <c r="J205" s="75" cm="1">
        <f t="array" aca="1" ref="J205" ca="1">_FV(A205,"High")</f>
        <v>10.149900000000001</v>
      </c>
      <c r="K205" s="75" cm="1">
        <f t="array" aca="1" ref="K205" ca="1">_FV(A205,"Low")</f>
        <v>9.2899999999999991</v>
      </c>
      <c r="L205" s="75" cm="1">
        <f t="array" aca="1" ref="L205" ca="1">_FV(Tabla2[[#This Row],[valor]],"52 week high",TRUE)</f>
        <v>27.78</v>
      </c>
      <c r="M205" s="75">
        <f ca="1">+Tabla2[[#This Row],[52 high]]*0.9</f>
        <v>25.002000000000002</v>
      </c>
      <c r="N205" s="75">
        <f ca="1">+Tabla2[[#This Row],[52 high]]*0.95</f>
        <v>26.390999999999998</v>
      </c>
      <c r="O205" s="75" cm="1">
        <f t="array" aca="1" ref="O205" ca="1">_FV(Tabla2[[#This Row],[valor]],"52 week low",TRUE)</f>
        <v>8.3049999999999997</v>
      </c>
      <c r="P205" s="220">
        <f ca="1">+TODAY()-Tabla2[[#This Row],[F. compra]]</f>
        <v>510</v>
      </c>
      <c r="Q205" s="220">
        <f ca="1">GESTEP(Tabla2[[#This Row],[price]],Tabla2[[#This Row],[HIGH 10%]])</f>
        <v>0</v>
      </c>
      <c r="R205" s="220">
        <f ca="1">GESTEP(Tabla2[[#This Row],[price]],Tabla2[[#This Row],[HIGH 5%]])</f>
        <v>0</v>
      </c>
      <c r="S205" s="75" t="s">
        <v>76</v>
      </c>
      <c r="T205" s="110" t="s">
        <v>78</v>
      </c>
      <c r="U205" s="110" t="s">
        <v>88</v>
      </c>
      <c r="V205" s="16">
        <v>45629</v>
      </c>
      <c r="W205" s="16">
        <v>45630</v>
      </c>
      <c r="X205" s="80" t="s">
        <v>11</v>
      </c>
      <c r="Y205" s="79">
        <v>32.659999999999997</v>
      </c>
      <c r="Z205" s="79">
        <v>33.4</v>
      </c>
      <c r="AA205" s="79">
        <f>+Tabla2[[#This Row],[Precio compra]]+Tabla2[[#This Row],[Div.]]</f>
        <v>33.4</v>
      </c>
      <c r="AB205" s="96"/>
      <c r="AC205" s="79">
        <v>50.49</v>
      </c>
      <c r="AD205" s="79">
        <f>+Tabla2[[#This Row],[Objetivo div2]]+Tabla2[[#This Row],[Div.]]</f>
        <v>50.49</v>
      </c>
      <c r="AE205" s="159">
        <f ca="1">IF(Z205="-",+AC205/Y205-1,AC205/D205-1)</f>
        <v>4.074371859296483</v>
      </c>
      <c r="AF205" s="81">
        <v>9.1300000000000008</v>
      </c>
      <c r="AG205" s="253">
        <f ca="1">IF(Z205="-",+AF205/D205-1,AF205/D205-1)</f>
        <v>-8.2412060301507384E-2</v>
      </c>
      <c r="AH205" s="81">
        <v>28.74</v>
      </c>
      <c r="AI205" s="147">
        <f ca="1">IF(Z205="-",AH205/Y205-1,+AH205/D205-1)</f>
        <v>1.8884422110552763</v>
      </c>
      <c r="AJ205" s="121">
        <f ca="1">IF(Z205="-","-",+(D205/Z205)-1)</f>
        <v>-0.7020958083832336</v>
      </c>
      <c r="AK205" s="120">
        <f ca="1">IF(AA205="-","-",+(D205/AA205)-1)</f>
        <v>-0.7020958083832336</v>
      </c>
      <c r="AM205" s="49" t="str">
        <f>IF(AL205=0,"-",+AL205/Z205-1)</f>
        <v>-</v>
      </c>
      <c r="AN205" s="28">
        <f ca="1">+D205/Y205-1</f>
        <v>-0.69534598897734234</v>
      </c>
      <c r="AO205" s="75">
        <f ca="1">VLOOKUP(Tabla2[[#This Row],[TCKR]],'2026'!$D$5:$AH$257,8,FALSE)</f>
        <v>118</v>
      </c>
      <c r="AP205" s="193">
        <f ca="1">VLOOKUP(Tabla2[[#This Row],[TCKR]],'2026'!$D$5:$AH$257,26,FALSE)</f>
        <v>-2183.8410640484362</v>
      </c>
      <c r="AQ205" s="5" cm="1">
        <f t="array" aca="1" ref="AQ205" ca="1">_FV(Tabla2[[#This Row],[valor]],"P/E",TRUE)</f>
        <v>0</v>
      </c>
      <c r="AR205" s="4"/>
      <c r="AT205" s="193">
        <f ca="1">+Tabla2[[#This Row],[Titulos2]]*Tabla2[[#This Row],[Neto]]</f>
        <v>0</v>
      </c>
      <c r="AU205" s="28">
        <f>+Tabla2[[#This Row],[Neto]]/Tabla2[[#This Row],[Precio compra2]]</f>
        <v>0</v>
      </c>
    </row>
    <row r="206" spans="1:47" ht="16" customHeight="1" x14ac:dyDescent="0.2">
      <c r="A206" s="75" t="e" vm="177">
        <v>#VALUE!</v>
      </c>
      <c r="B206" s="75" t="str" cm="1">
        <f t="array" aca="1" ref="B206" ca="1">_FV(A206,"Ticker symbol",TRUE)</f>
        <v>TRG</v>
      </c>
      <c r="C206" s="217" cm="1">
        <f t="array" aca="1" ref="C206" ca="1">_FV(A206,"Change (%)",TRUE)</f>
        <v>-0.375</v>
      </c>
      <c r="D206" s="144" cm="1">
        <f t="array" aca="1" ref="D206" ca="1">_FV(A206,"Price")</f>
        <v>0.14000000000000001</v>
      </c>
      <c r="E206" s="159">
        <f ca="1">AE206</f>
        <v>4.7071428571428573</v>
      </c>
      <c r="F206" s="321">
        <f ca="1">+Tabla2[[#This Row],[Rentab. Parcial]]</f>
        <v>-0.76859504132231404</v>
      </c>
      <c r="G206" s="321">
        <f ca="1">+Tabla2[[#This Row],[Rentab. Parcial2]]</f>
        <v>-0.76859504132231404</v>
      </c>
      <c r="H206" s="253">
        <f ca="1">+Tabla2[[#This Row],[Difer. Investing]]</f>
        <v>1.2857142857142856</v>
      </c>
      <c r="I206" s="79">
        <f>+Tabla2[[#This Row],[Objetivo div2]]</f>
        <v>0.79900000000000004</v>
      </c>
      <c r="J206" s="75" cm="1">
        <f t="array" aca="1" ref="J206" ca="1">_FV(A206,"High")</f>
        <v>0.2225</v>
      </c>
      <c r="K206" s="75" cm="1">
        <f t="array" aca="1" ref="K206" ca="1">_FV(A206,"Low")</f>
        <v>0.13300000000000001</v>
      </c>
      <c r="L206" s="75" cm="1">
        <f t="array" aca="1" ref="L206" ca="1">_FV(Tabla2[[#This Row],[valor]],"52 week high",TRUE)</f>
        <v>0.63600000000000001</v>
      </c>
      <c r="M206" s="75">
        <f ca="1">+L206*0.9</f>
        <v>0.57240000000000002</v>
      </c>
      <c r="N206" s="75">
        <f ca="1">+L206*0.95</f>
        <v>0.60419999999999996</v>
      </c>
      <c r="O206" s="75" cm="1">
        <f t="array" aca="1" ref="O206" ca="1">_FV(A206,"52 week low",TRUE)</f>
        <v>0.13300000000000001</v>
      </c>
      <c r="P206" s="220">
        <f ca="1">+TODAY()-Tabla2[[#This Row],[F. compra]]</f>
        <v>335</v>
      </c>
      <c r="Q206" s="220">
        <f ca="1">GESTEP(D206,M206)</f>
        <v>0</v>
      </c>
      <c r="R206" s="220">
        <f ca="1">GESTEP(D206,N206)</f>
        <v>0</v>
      </c>
      <c r="S206" s="75" t="s">
        <v>166</v>
      </c>
      <c r="T206" s="110" t="s">
        <v>78</v>
      </c>
      <c r="U206" s="110" t="s">
        <v>72</v>
      </c>
      <c r="V206" s="16">
        <v>45805</v>
      </c>
      <c r="W206" s="16">
        <v>45805</v>
      </c>
      <c r="X206" s="80"/>
      <c r="Y206" s="79">
        <v>0.60799999999999998</v>
      </c>
      <c r="Z206" s="79">
        <v>0.60499999999999998</v>
      </c>
      <c r="AA206" s="79">
        <f>+Tabla2[[#This Row],[Precio compra]]+Tabla2[[#This Row],[Div.]]</f>
        <v>0.60499999999999998</v>
      </c>
      <c r="AB206" s="96"/>
      <c r="AC206" s="79">
        <v>0.79900000000000004</v>
      </c>
      <c r="AD206" s="79">
        <f>+Tabla2[[#This Row],[Objetivo div2]]+Tabla2[[#This Row],[Div.]]</f>
        <v>0.79900000000000004</v>
      </c>
      <c r="AE206" s="159">
        <f ca="1">IF(Z206="-",+AC206/Y206-1,AC206/D206-1)</f>
        <v>4.7071428571428573</v>
      </c>
      <c r="AF206" s="81">
        <v>0.32</v>
      </c>
      <c r="AG206" s="253">
        <f ca="1">IF(Z206="-",+AF206/D206-1,AF206/D206-1)</f>
        <v>1.2857142857142856</v>
      </c>
      <c r="AH206" s="81">
        <v>0.53900000000000003</v>
      </c>
      <c r="AI206" s="147">
        <f ca="1">IF(Z206="-",AH206/Y206-1,+AH206/D206-1)</f>
        <v>2.85</v>
      </c>
      <c r="AJ206" s="121">
        <f ca="1">IF(Z206="-","-",+(D206/Z206)-1)</f>
        <v>-0.76859504132231404</v>
      </c>
      <c r="AK206" s="120">
        <f ca="1">IF(AA206="-","-",+(D206/AA206)-1)</f>
        <v>-0.76859504132231404</v>
      </c>
      <c r="AM206" s="49" t="str">
        <f>IF(AL206=0,"-",+AL206/Z206-1)</f>
        <v>-</v>
      </c>
      <c r="AN206" s="28">
        <f ca="1">+D206/Y206-1</f>
        <v>-0.76973684210526316</v>
      </c>
      <c r="AO206" s="75">
        <f ca="1">VLOOKUP(Tabla2[[#This Row],[TCKR]],'2026'!$D$5:$AH$257,8,FALSE)</f>
        <v>20000</v>
      </c>
      <c r="AP206" s="193">
        <f ca="1">VLOOKUP(Tabla2[[#This Row],[TCKR]],'2026'!$D$5:$AH$257,26,FALSE)</f>
        <v>-7382.0912790080338</v>
      </c>
      <c r="AQ206" s="5" t="e" cm="1" vm="221">
        <f t="array" ref="AQ206">_FV(Tabla2[[#This Row],[valor]],"P/E",TRUE)</f>
        <v>#VALUE!</v>
      </c>
      <c r="AR206" s="4"/>
      <c r="AT206" s="193">
        <f ca="1">+Tabla2[[#This Row],[Titulos2]]*Tabla2[[#This Row],[Neto]]</f>
        <v>0</v>
      </c>
      <c r="AU206" s="28">
        <f>+Tabla2[[#This Row],[Neto]]/Tabla2[[#This Row],[Precio compra2]]</f>
        <v>0</v>
      </c>
    </row>
    <row r="207" spans="1:47" ht="16" customHeight="1" x14ac:dyDescent="0.2">
      <c r="A207" s="323" t="e" vm="34">
        <v>#VALUE!</v>
      </c>
      <c r="B207" s="75" t="str" cm="1">
        <f t="array" aca="1" ref="B207" ca="1">_FV(A207,"Ticker symbol",TRUE)</f>
        <v>BHVN</v>
      </c>
      <c r="C207" s="217" cm="1">
        <f t="array" aca="1" ref="C207" ca="1">_FV(A207,"Change (%)",TRUE)</f>
        <v>-2.9352E-2</v>
      </c>
      <c r="D207" s="144" cm="1">
        <f t="array" aca="1" ref="D207" ca="1">_FV(A207,"Price")</f>
        <v>9.59</v>
      </c>
      <c r="E207" s="159">
        <f ca="1">AE207</f>
        <v>4.8550573514077167</v>
      </c>
      <c r="F207" s="321">
        <f ca="1">+Tabla2[[#This Row],[Rentab. Parcial]]</f>
        <v>-0.82890276538804641</v>
      </c>
      <c r="G207" s="321">
        <f ca="1">+Tabla2[[#This Row],[Rentab. Parcial2]]</f>
        <v>-0.82890276538804641</v>
      </c>
      <c r="H207" s="253">
        <f ca="1">+Tabla2[[#This Row],[Difer. Investing]]</f>
        <v>1.0646506777893641</v>
      </c>
      <c r="I207" s="79">
        <f>+Tabla2[[#This Row],[Objetivo div2]]</f>
        <v>56.15</v>
      </c>
      <c r="J207" s="75" cm="1">
        <f t="array" aca="1" ref="J207" ca="1">_FV(A207,"High")</f>
        <v>10.14</v>
      </c>
      <c r="K207" s="75" cm="1">
        <f t="array" aca="1" ref="K207" ca="1">_FV(A207,"Low")</f>
        <v>9.51</v>
      </c>
      <c r="L207" s="75" cm="1">
        <f t="array" aca="1" ref="L207" ca="1">_FV(Tabla2[[#This Row],[valor]],"52 week high",TRUE)</f>
        <v>24.06</v>
      </c>
      <c r="M207" s="75">
        <f ca="1">+Tabla2[[#This Row],[52 high]]*0.9</f>
        <v>21.654</v>
      </c>
      <c r="N207" s="75">
        <f ca="1">+Tabla2[[#This Row],[52 high]]*0.95</f>
        <v>22.856999999999999</v>
      </c>
      <c r="O207" s="75" cm="1">
        <f t="array" aca="1" ref="O207" ca="1">_FV(Tabla2[[#This Row],[valor]],"52 week low",TRUE)</f>
        <v>7.48</v>
      </c>
      <c r="P207" s="220">
        <f ca="1">+TODAY()-Tabla2[[#This Row],[F. compra]]</f>
        <v>784</v>
      </c>
      <c r="Q207" s="220">
        <f ca="1">GESTEP(Tabla2[[#This Row],[price]],Tabla2[[#This Row],[HIGH 10%]])</f>
        <v>0</v>
      </c>
      <c r="R207" s="220">
        <f ca="1">GESTEP(Tabla2[[#This Row],[price]],Tabla2[[#This Row],[HIGH 5%]])</f>
        <v>0</v>
      </c>
      <c r="S207" s="75" t="s">
        <v>76</v>
      </c>
      <c r="T207" s="110" t="s">
        <v>78</v>
      </c>
      <c r="U207" s="110" t="s">
        <v>88</v>
      </c>
      <c r="V207" s="16">
        <v>45356</v>
      </c>
      <c r="W207" s="16">
        <v>45356</v>
      </c>
      <c r="X207" s="80" t="s">
        <v>11</v>
      </c>
      <c r="Y207" s="79">
        <v>56.39</v>
      </c>
      <c r="Z207" s="79">
        <f>56.05-Tabla2[[#This Row],[Div.]]</f>
        <v>56.05</v>
      </c>
      <c r="AA207" s="79">
        <f>+Tabla2[[#This Row],[Precio compra]]+Tabla2[[#This Row],[Div.]]</f>
        <v>56.05</v>
      </c>
      <c r="AB207" s="96"/>
      <c r="AC207" s="79">
        <v>56.15</v>
      </c>
      <c r="AD207" s="79">
        <f>+Tabla2[[#This Row],[Objetivo div2]]+Tabla2[[#This Row],[Div.]]</f>
        <v>56.15</v>
      </c>
      <c r="AE207" s="159">
        <f ca="1">IF(Z207="-",+AC207/Y207-1,AC207/D207-1)</f>
        <v>4.8550573514077167</v>
      </c>
      <c r="AF207" s="81">
        <v>19.8</v>
      </c>
      <c r="AG207" s="253">
        <f ca="1">IF(Z207="-",+AF207/D207-1,AF207/D207-1)</f>
        <v>1.0646506777893641</v>
      </c>
      <c r="AH207" s="81">
        <v>51.14</v>
      </c>
      <c r="AI207" s="147">
        <f ca="1">IF(Z207="-",AH207/Y207-1,+AH207/D207-1)</f>
        <v>4.332638164754953</v>
      </c>
      <c r="AJ207" s="121">
        <f ca="1">IF(Z207="-","-",+(D207/Z207)-1)</f>
        <v>-0.82890276538804641</v>
      </c>
      <c r="AK207" s="120">
        <f ca="1">IF(AA207="-","-",+(D207/AA207)-1)</f>
        <v>-0.82890276538804641</v>
      </c>
      <c r="AM207" s="49" t="str">
        <f>IF(AL207=0,"-",+AL207/Z207-1)</f>
        <v>-</v>
      </c>
      <c r="AN207" s="28">
        <f ca="1">+D207/Y207-1</f>
        <v>-0.82993438552934917</v>
      </c>
      <c r="AO207" s="75">
        <f ca="1">VLOOKUP(Tabla2[[#This Row],[TCKR]],'2026'!$D$5:$AH$257,8,FALSE)</f>
        <v>150</v>
      </c>
      <c r="AP207" s="193">
        <f ca="1">VLOOKUP(Tabla2[[#This Row],[TCKR]],'2026'!$D$5:$AH$257,26,FALSE)</f>
        <v>-5279.8264688373019</v>
      </c>
      <c r="AQ207" s="5" t="e" cm="1" vm="221">
        <f t="array" ref="AQ207">_FV(Tabla2[[#This Row],[valor]],"P/E",TRUE)</f>
        <v>#VALUE!</v>
      </c>
      <c r="AR207" s="4"/>
      <c r="AT207" s="193">
        <f ca="1">+Tabla2[[#This Row],[Titulos2]]*Tabla2[[#This Row],[Neto]]</f>
        <v>0</v>
      </c>
      <c r="AU207" s="28">
        <f>+Tabla2[[#This Row],[Neto]]/Tabla2[[#This Row],[Precio compra2]]</f>
        <v>0</v>
      </c>
    </row>
    <row r="208" spans="1:47" ht="16" customHeight="1" x14ac:dyDescent="0.2">
      <c r="A208" s="323" t="e" vm="44">
        <v>#VALUE!</v>
      </c>
      <c r="B208" s="75" t="str" cm="1">
        <f t="array" aca="1" ref="B208" ca="1">_FV(A208,"Ticker symbol",TRUE)</f>
        <v>CHPT</v>
      </c>
      <c r="C208" s="217" cm="1">
        <f t="array" aca="1" ref="C208" ca="1">_FV(A208,"Change (%)",TRUE)</f>
        <v>-1.4514000000000001E-2</v>
      </c>
      <c r="D208" s="144" cm="1">
        <f t="array" aca="1" ref="D208" ca="1">_FV(A208,"Price")</f>
        <v>6.79</v>
      </c>
      <c r="E208" s="159">
        <f ca="1">AE208</f>
        <v>5.1855670103092786</v>
      </c>
      <c r="F208" s="321">
        <f ca="1">+Tabla2[[#This Row],[Rentab. Parcial]]</f>
        <v>-0.83755980861244017</v>
      </c>
      <c r="G208" s="321">
        <f ca="1">+Tabla2[[#This Row],[Rentab. Parcial2]]</f>
        <v>-0.83755980861244017</v>
      </c>
      <c r="H208" s="253">
        <f ca="1">+Tabla2[[#This Row],[Difer. Investing]]</f>
        <v>0.59204712812960247</v>
      </c>
      <c r="I208" s="79">
        <f>+Tabla2[[#This Row],[Objetivo div2]]</f>
        <v>42</v>
      </c>
      <c r="J208" s="75" cm="1">
        <f t="array" aca="1" ref="J208" ca="1">_FV(A208,"High")</f>
        <v>6.85</v>
      </c>
      <c r="K208" s="75" cm="1">
        <f t="array" aca="1" ref="K208" ca="1">_FV(A208,"Low")</f>
        <v>6.6</v>
      </c>
      <c r="L208" s="75" cm="1">
        <f t="array" aca="1" ref="L208" ca="1">_FV(Tabla2[[#This Row],[valor]],"52 week high",TRUE)</f>
        <v>17.78</v>
      </c>
      <c r="M208" s="75">
        <f ca="1">+Tabla2[[#This Row],[52 high]]*0.9</f>
        <v>16.002000000000002</v>
      </c>
      <c r="N208" s="75">
        <f ca="1">+Tabla2[[#This Row],[52 high]]*0.95</f>
        <v>16.891000000000002</v>
      </c>
      <c r="O208" s="75" cm="1">
        <f t="array" aca="1" ref="O208" ca="1">_FV(Tabla2[[#This Row],[valor]],"52 week low",TRUE)</f>
        <v>4.4400000000000004</v>
      </c>
      <c r="P208" s="220">
        <f ca="1">+TODAY()-Tabla2[[#This Row],[F. compra]]</f>
        <v>655</v>
      </c>
      <c r="Q208" s="220">
        <f ca="1">GESTEP(Tabla2[[#This Row],[price]],Tabla2[[#This Row],[HIGH 10%]])</f>
        <v>0</v>
      </c>
      <c r="R208" s="220">
        <f ca="1">GESTEP(Tabla2[[#This Row],[price]],Tabla2[[#This Row],[HIGH 5%]])</f>
        <v>0</v>
      </c>
      <c r="S208" s="75" t="s">
        <v>76</v>
      </c>
      <c r="T208" s="110" t="s">
        <v>78</v>
      </c>
      <c r="U208" s="110" t="s">
        <v>88</v>
      </c>
      <c r="V208" s="16">
        <v>45485</v>
      </c>
      <c r="W208" s="16">
        <v>45485</v>
      </c>
      <c r="X208" s="80" t="s">
        <v>11</v>
      </c>
      <c r="Y208" s="79" t="s">
        <v>11</v>
      </c>
      <c r="Z208" s="79">
        <v>41.8</v>
      </c>
      <c r="AA208" s="79">
        <f>+Tabla2[[#This Row],[Precio compra]]+Tabla2[[#This Row],[Div.]]</f>
        <v>41.8</v>
      </c>
      <c r="AB208" s="96"/>
      <c r="AC208" s="79">
        <f>2.1*20</f>
        <v>42</v>
      </c>
      <c r="AD208" s="79">
        <f>3.2*20</f>
        <v>64</v>
      </c>
      <c r="AE208" s="159">
        <f ca="1">IF(Z208="-",+AC208/Y208-1,AC208/D208-1)</f>
        <v>5.1855670103092786</v>
      </c>
      <c r="AF208" s="81">
        <v>10.81</v>
      </c>
      <c r="AG208" s="253">
        <f ca="1">IF(Z208="-",+AF208/D208-1,AF208/D208-1)</f>
        <v>0.59204712812960247</v>
      </c>
      <c r="AH208" s="81" t="s">
        <v>11</v>
      </c>
      <c r="AI208" s="147" t="e">
        <f ca="1">IF(Z208="-",AH208/Y208-1,+AH208/D208-1)</f>
        <v>#VALUE!</v>
      </c>
      <c r="AJ208" s="121">
        <f ca="1">IF(Z208="-","-",+(D208/Z208)-1)</f>
        <v>-0.83755980861244017</v>
      </c>
      <c r="AK208" s="120">
        <f ca="1">IF(AA208="-","-",+(D208/AA208)-1)</f>
        <v>-0.83755980861244017</v>
      </c>
      <c r="AM208" s="49" t="str">
        <f>IF(AL208=0,"-",+AL208/Z208-1)</f>
        <v>-</v>
      </c>
      <c r="AN208" s="28" t="e">
        <f ca="1">+D208/Y208-1</f>
        <v>#VALUE!</v>
      </c>
      <c r="AO208" s="75">
        <f ca="1">VLOOKUP(Tabla2[[#This Row],[TCKR]],'2026'!$D$5:$AH$257,8,FALSE)</f>
        <v>100</v>
      </c>
      <c r="AP208" s="193">
        <f ca="1">VLOOKUP(Tabla2[[#This Row],[TCKR]],'2026'!$D$5:$AH$257,26,FALSE)</f>
        <v>-2557.3621546684426</v>
      </c>
      <c r="AQ208" s="5" t="e" cm="1" vm="221">
        <f t="array" ref="AQ208">_FV(Tabla2[[#This Row],[valor]],"P/E",TRUE)</f>
        <v>#VALUE!</v>
      </c>
      <c r="AR208" s="4"/>
      <c r="AT208" s="193">
        <f ca="1">+Tabla2[[#This Row],[Titulos2]]*Tabla2[[#This Row],[Neto]]</f>
        <v>0</v>
      </c>
      <c r="AU208" s="28">
        <f>+Tabla2[[#This Row],[Neto]]/Tabla2[[#This Row],[Precio compra2]]</f>
        <v>0</v>
      </c>
    </row>
    <row r="209" spans="1:47" ht="16" customHeight="1" x14ac:dyDescent="0.2">
      <c r="A209" s="323" t="e" vm="160">
        <v>#VALUE!</v>
      </c>
      <c r="B209" s="75" t="str" cm="1">
        <f t="array" aca="1" ref="B209" ca="1">_FV(A209,"Ticker symbol",TRUE)</f>
        <v>SPT</v>
      </c>
      <c r="C209" s="217" cm="1">
        <f t="array" aca="1" ref="C209" ca="1">_FV(A209,"Change (%)",TRUE)</f>
        <v>3.339E-3</v>
      </c>
      <c r="D209" s="144" cm="1">
        <f t="array" aca="1" ref="D209" ca="1">_FV(A209,"Price")</f>
        <v>6.01</v>
      </c>
      <c r="E209" s="159">
        <f ca="1">AE209</f>
        <v>5.7038269550748755</v>
      </c>
      <c r="F209" s="321">
        <f ca="1">+Tabla2[[#This Row],[Rentab. Parcial]]</f>
        <v>-0.82857957786651459</v>
      </c>
      <c r="G209" s="321">
        <f ca="1">+Tabla2[[#This Row],[Rentab. Parcial2]]</f>
        <v>-0.82857957786651459</v>
      </c>
      <c r="H209" s="253">
        <f ca="1">+Tabla2[[#This Row],[Difer. Investing]]</f>
        <v>6.1514143094841929</v>
      </c>
      <c r="I209" s="79">
        <f>+Tabla2[[#This Row],[Objetivo div2]]</f>
        <v>40.29</v>
      </c>
      <c r="J209" s="75" cm="1">
        <f t="array" aca="1" ref="J209" ca="1">_FV(A209,"High")</f>
        <v>6.165</v>
      </c>
      <c r="K209" s="75" cm="1">
        <f t="array" aca="1" ref="K209" ca="1">_FV(A209,"Low")</f>
        <v>5.9050000000000002</v>
      </c>
      <c r="L209" s="75" cm="1">
        <f t="array" aca="1" ref="L209" ca="1">_FV(Tabla2[[#This Row],[valor]],"52 week high",TRUE)</f>
        <v>25.48</v>
      </c>
      <c r="M209" s="75">
        <f ca="1">+Tabla2[[#This Row],[52 high]]*0.9</f>
        <v>22.932000000000002</v>
      </c>
      <c r="N209" s="75">
        <f ca="1">+Tabla2[[#This Row],[52 high]]*0.95</f>
        <v>24.206</v>
      </c>
      <c r="O209" s="75" cm="1">
        <f t="array" aca="1" ref="O209" ca="1">_FV(Tabla2[[#This Row],[valor]],"52 week low",TRUE)</f>
        <v>4.92</v>
      </c>
      <c r="P209" s="220">
        <f ca="1">+TODAY()-Tabla2[[#This Row],[F. compra]]</f>
        <v>685</v>
      </c>
      <c r="Q209" s="220">
        <f ca="1">GESTEP(Tabla2[[#This Row],[price]],Tabla2[[#This Row],[HIGH 10%]])</f>
        <v>0</v>
      </c>
      <c r="R209" s="220">
        <f ca="1">GESTEP(Tabla2[[#This Row],[price]],Tabla2[[#This Row],[HIGH 5%]])</f>
        <v>0</v>
      </c>
      <c r="S209" s="75" t="s">
        <v>75</v>
      </c>
      <c r="T209" s="110" t="s">
        <v>78</v>
      </c>
      <c r="U209" s="110" t="s">
        <v>26</v>
      </c>
      <c r="V209" s="16">
        <v>45455</v>
      </c>
      <c r="W209" s="16">
        <v>45455</v>
      </c>
      <c r="X209" s="80"/>
      <c r="Y209" s="79">
        <v>35.06</v>
      </c>
      <c r="Z209" s="79">
        <v>35.06</v>
      </c>
      <c r="AA209" s="79">
        <f>+Tabla2[[#This Row],[Precio compra]]+Tabla2[[#This Row],[Div.]]</f>
        <v>35.06</v>
      </c>
      <c r="AB209" s="96"/>
      <c r="AC209" s="79">
        <v>40.29</v>
      </c>
      <c r="AD209" s="79">
        <f>+Tabla2[[#This Row],[Objetivo div2]]+Tabla2[[#This Row],[Div.]]</f>
        <v>40.29</v>
      </c>
      <c r="AE209" s="159">
        <f ca="1">IF(Z209="-",+AC209/Y209-1,AC209/D209-1)</f>
        <v>5.7038269550748755</v>
      </c>
      <c r="AF209" s="81">
        <v>42.98</v>
      </c>
      <c r="AG209" s="253">
        <f ca="1">IF(Z209="-",+AF209/D209-1,AF209/D209-1)</f>
        <v>6.1514143094841929</v>
      </c>
      <c r="AH209" s="81">
        <v>32.49</v>
      </c>
      <c r="AI209" s="147">
        <f ca="1">IF(Z209="-",AH209/Y209-1,+AH209/D209-1)</f>
        <v>4.4059900166389356</v>
      </c>
      <c r="AJ209" s="121">
        <f ca="1">IF(Z209="-","-",+(D209/Z209)-1)</f>
        <v>-0.82857957786651459</v>
      </c>
      <c r="AK209" s="120">
        <f ca="1">IF(AA209="-","-",+(D209/AA209)-1)</f>
        <v>-0.82857957786651459</v>
      </c>
      <c r="AM209" s="49" t="str">
        <f>IF(AL209=0,"-",+AL209/Z209-1)</f>
        <v>-</v>
      </c>
      <c r="AN209" s="28">
        <f ca="1">+D209/Y209-1</f>
        <v>-0.82857957786651459</v>
      </c>
      <c r="AO209" s="75">
        <f ca="1">VLOOKUP(Tabla2[[#This Row],[TCKR]],'2026'!$D$5:$AH$257,8,FALSE)</f>
        <v>229</v>
      </c>
      <c r="AP209" s="193">
        <f ca="1">VLOOKUP(Tabla2[[#This Row],[TCKR]],'2026'!$D$5:$AH$257,26,FALSE)</f>
        <v>-4985.2303490948998</v>
      </c>
      <c r="AQ209" s="5" cm="1">
        <f t="array" aca="1" ref="AQ209" ca="1">_FV(Tabla2[[#This Row],[valor]],"P/E",TRUE)</f>
        <v>0</v>
      </c>
      <c r="AR209" s="4"/>
      <c r="AT209" s="193">
        <f ca="1">+Tabla2[[#This Row],[Titulos2]]*Tabla2[[#This Row],[Neto]]</f>
        <v>0</v>
      </c>
      <c r="AU209" s="28">
        <f>+Tabla2[[#This Row],[Neto]]/Tabla2[[#This Row],[Precio compra2]]</f>
        <v>0</v>
      </c>
    </row>
    <row r="210" spans="1:47" ht="16" customHeight="1" x14ac:dyDescent="0.2">
      <c r="A210" s="75" t="e" vm="194">
        <v>#VALUE!</v>
      </c>
      <c r="B210" s="75" t="str" cm="1">
        <f t="array" aca="1" ref="B210" ca="1">_FV(A210,"Ticker symbol",TRUE)</f>
        <v>WLN</v>
      </c>
      <c r="C210" s="217" cm="1">
        <f t="array" aca="1" ref="C210" ca="1">_FV(A210,"Change (%)",TRUE)</f>
        <v>-3.702E-4</v>
      </c>
      <c r="D210" s="144" cm="1">
        <f t="array" aca="1" ref="D210" ca="1">_FV(A210,"Price")</f>
        <v>0.27</v>
      </c>
      <c r="E210" s="159">
        <f ca="1">AE210</f>
        <v>43.962962962962962</v>
      </c>
      <c r="F210" s="321">
        <f ca="1">+Tabla2[[#This Row],[Rentab. Parcial]]</f>
        <v>-0.97774113767518545</v>
      </c>
      <c r="G210" s="321">
        <f ca="1">+Tabla2[[#This Row],[Rentab. Parcial2]]</f>
        <v>-0.97774113767518545</v>
      </c>
      <c r="H210" s="253">
        <f ca="1">+Tabla2[[#This Row],[Difer. Investing]]</f>
        <v>28.666666666666664</v>
      </c>
      <c r="I210" s="79">
        <f>+Tabla2[[#This Row],[Objetivo div2]]</f>
        <v>12.14</v>
      </c>
      <c r="J210" s="75" cm="1">
        <f t="array" aca="1" ref="J210" ca="1">_FV(A210,"High")</f>
        <v>0.27500000000000002</v>
      </c>
      <c r="K210" s="75" cm="1">
        <f t="array" aca="1" ref="K210" ca="1">_FV(A210,"Low")</f>
        <v>0.26400000000000001</v>
      </c>
      <c r="L210" s="75" cm="1">
        <f t="array" aca="1" ref="L210" ca="1">_FV(Tabla2[[#This Row],[valor]],"52 week high",TRUE)</f>
        <v>1.41</v>
      </c>
      <c r="M210" s="75">
        <f ca="1">+Tabla2[[#This Row],[52 high]]*0.9</f>
        <v>1.2689999999999999</v>
      </c>
      <c r="N210" s="75">
        <f ca="1">+Tabla2[[#This Row],[52 high]]*0.95</f>
        <v>1.3394999999999999</v>
      </c>
      <c r="O210" s="75" cm="1">
        <f t="array" aca="1" ref="O210" ca="1">_FV(Tabla2[[#This Row],[valor]],"52 week low",TRUE)</f>
        <v>0.24</v>
      </c>
      <c r="P210" s="220">
        <f ca="1">+TODAY()-Tabla2[[#This Row],[F. compra]]</f>
        <v>700</v>
      </c>
      <c r="Q210" s="220">
        <f ca="1">GESTEP(Tabla2[[#This Row],[price]],Tabla2[[#This Row],[HIGH 10%]])</f>
        <v>0</v>
      </c>
      <c r="R210" s="220">
        <f ca="1">GESTEP(Tabla2[[#This Row],[price]],Tabla2[[#This Row],[HIGH 5%]])</f>
        <v>0</v>
      </c>
      <c r="S210" s="75" t="s">
        <v>76</v>
      </c>
      <c r="T210" s="110" t="s">
        <v>78</v>
      </c>
      <c r="U210" s="110" t="s">
        <v>72</v>
      </c>
      <c r="V210" s="16">
        <v>45440</v>
      </c>
      <c r="W210" s="16">
        <v>45440</v>
      </c>
      <c r="X210" s="80"/>
      <c r="Y210" s="79">
        <v>12.19</v>
      </c>
      <c r="Z210" s="79">
        <v>12.13</v>
      </c>
      <c r="AA210" s="79">
        <f>+Tabla2[[#This Row],[Precio compra]]+Tabla2[[#This Row],[Div.]]</f>
        <v>12.13</v>
      </c>
      <c r="AB210" s="96"/>
      <c r="AC210" s="79">
        <v>12.14</v>
      </c>
      <c r="AD210" s="79">
        <v>14.69</v>
      </c>
      <c r="AE210" s="159">
        <f ca="1">IF(Z210="-",+AC210/Y210-1,AC210/D210-1)</f>
        <v>43.962962962962962</v>
      </c>
      <c r="AF210" s="81">
        <v>8.01</v>
      </c>
      <c r="AG210" s="253">
        <f ca="1">IF(Z210="-",+AF210/D210-1,AF210/D210-1)</f>
        <v>28.666666666666664</v>
      </c>
      <c r="AH210" s="81">
        <v>10.94</v>
      </c>
      <c r="AI210" s="147">
        <f ca="1">IF(Z210="-",AH210/Y210-1,+AH210/D210-1)</f>
        <v>39.518518518518512</v>
      </c>
      <c r="AJ210" s="121">
        <f ca="1">IF(Z210="-","-",+(D210/Z210)-1)</f>
        <v>-0.97774113767518545</v>
      </c>
      <c r="AK210" s="120">
        <f ca="1">IF(AA210="-","-",+(D210/AA210)-1)</f>
        <v>-0.97774113767518545</v>
      </c>
      <c r="AM210" s="49" t="str">
        <f>IF(AL210=0,"-",+AL210/Z210-1)</f>
        <v>-</v>
      </c>
      <c r="AN210" s="28">
        <f ca="1">+D210/Y210-1</f>
        <v>-0.977850697292863</v>
      </c>
      <c r="AO210" s="75">
        <f ca="1">VLOOKUP(Tabla2[[#This Row],[TCKR]],'2026'!$D$5:$AH$257,8,FALSE)</f>
        <v>1000</v>
      </c>
      <c r="AP210" s="193">
        <f ca="1">VLOOKUP(Tabla2[[#This Row],[TCKR]],'2026'!$D$5:$AH$257,26,FALSE)</f>
        <v>-9452.0428284328082</v>
      </c>
      <c r="AQ210" s="5" cm="1">
        <f t="array" aca="1" ref="AQ210" ca="1">_FV(Tabla2[[#This Row],[valor]],"P/E",TRUE)</f>
        <v>0</v>
      </c>
      <c r="AR210" s="4"/>
      <c r="AT210" s="193">
        <f ca="1">+Tabla2[[#This Row],[Titulos2]]*Tabla2[[#This Row],[Neto]]</f>
        <v>0</v>
      </c>
      <c r="AU210" s="28">
        <f>+Tabla2[[#This Row],[Neto]]/Tabla2[[#This Row],[Precio compra2]]</f>
        <v>0</v>
      </c>
    </row>
    <row r="211" spans="1:47" x14ac:dyDescent="0.2">
      <c r="C211" s="204"/>
      <c r="E211" s="153"/>
      <c r="F211" s="153"/>
      <c r="G211" s="153"/>
      <c r="H211" s="153"/>
      <c r="I211" s="79"/>
      <c r="V211" s="16"/>
      <c r="W211" s="16"/>
      <c r="X211" s="75"/>
      <c r="Y211" s="79"/>
      <c r="Z211" s="79"/>
      <c r="AA211" s="79"/>
      <c r="AB211" s="79">
        <f ca="1">SUBTOTAL(109,Tabla2[Div.])</f>
        <v>184.89823551379484</v>
      </c>
      <c r="AC211" s="79"/>
      <c r="AD211" s="79"/>
      <c r="AE211" s="153"/>
      <c r="AF211" s="75"/>
      <c r="AG211" s="154"/>
      <c r="AH211" s="75"/>
      <c r="AI211" s="154"/>
      <c r="AJ211" s="155"/>
      <c r="AK211" s="156"/>
      <c r="AM211" s="157"/>
      <c r="AN211" s="158"/>
      <c r="AP211" s="51"/>
      <c r="AQ211"/>
      <c r="AR211"/>
      <c r="AS211"/>
      <c r="AT211"/>
      <c r="AU211"/>
    </row>
    <row r="212" spans="1:47" s="77" customFormat="1" ht="19" x14ac:dyDescent="0.25">
      <c r="A212" s="77" t="s">
        <v>0</v>
      </c>
      <c r="B212" s="77" t="s">
        <v>20</v>
      </c>
      <c r="C212" s="50" t="s">
        <v>174</v>
      </c>
      <c r="D212" s="77" t="s">
        <v>40</v>
      </c>
      <c r="E212" s="130" t="s">
        <v>81</v>
      </c>
      <c r="F212" s="130"/>
      <c r="G212" s="130"/>
      <c r="H212" s="130"/>
      <c r="I212" s="129" t="s">
        <v>256</v>
      </c>
      <c r="J212" s="77" t="s">
        <v>125</v>
      </c>
      <c r="K212" s="77" t="s">
        <v>126</v>
      </c>
      <c r="L212" s="77" t="s">
        <v>129</v>
      </c>
      <c r="M212" s="229" t="s">
        <v>175</v>
      </c>
      <c r="N212" s="229" t="s">
        <v>176</v>
      </c>
      <c r="O212" s="77" t="s">
        <v>130</v>
      </c>
      <c r="P212" s="77" t="s">
        <v>238</v>
      </c>
      <c r="Q212" s="227" t="s">
        <v>178</v>
      </c>
      <c r="R212" s="227" t="s">
        <v>177</v>
      </c>
      <c r="S212" s="77" t="s">
        <v>75</v>
      </c>
      <c r="T212" s="111" t="s">
        <v>74</v>
      </c>
      <c r="U212" s="111" t="s">
        <v>71</v>
      </c>
      <c r="V212" s="3" t="s">
        <v>102</v>
      </c>
      <c r="W212" s="3" t="s">
        <v>103</v>
      </c>
      <c r="X212" s="78" t="s">
        <v>107</v>
      </c>
      <c r="Y212" s="77" t="s">
        <v>79</v>
      </c>
      <c r="Z212" s="77" t="s">
        <v>80</v>
      </c>
      <c r="AA212" s="77" t="s">
        <v>121</v>
      </c>
      <c r="AB212" s="77" t="s">
        <v>116</v>
      </c>
      <c r="AC212" s="129" t="s">
        <v>256</v>
      </c>
      <c r="AD212" s="129"/>
      <c r="AE212" s="130" t="s">
        <v>81</v>
      </c>
      <c r="AF212" s="255" t="s">
        <v>187</v>
      </c>
      <c r="AG212" s="256" t="s">
        <v>82</v>
      </c>
      <c r="AH212" s="132" t="s">
        <v>73</v>
      </c>
      <c r="AI212" s="131" t="s">
        <v>83</v>
      </c>
      <c r="AJ212" s="133" t="s">
        <v>87</v>
      </c>
      <c r="AK212" s="130" t="s">
        <v>122</v>
      </c>
      <c r="AL212" s="134" t="s">
        <v>84</v>
      </c>
      <c r="AM212" s="133" t="s">
        <v>85</v>
      </c>
      <c r="AN212" s="77" t="s">
        <v>133</v>
      </c>
      <c r="AP212" s="6"/>
      <c r="AQ212" s="6"/>
      <c r="AS212" s="6"/>
      <c r="AT212" s="194"/>
    </row>
    <row r="213" spans="1:47" ht="16" customHeight="1" x14ac:dyDescent="0.2">
      <c r="A213" s="135" t="e" vm="240">
        <v>#VALUE!</v>
      </c>
      <c r="B213" s="135" t="str" cm="1">
        <f t="array" aca="1" ref="B213" ca="1">_FV(A213,"Ticker symbol",TRUE)</f>
        <v>0UMG</v>
      </c>
      <c r="C213" s="218" cm="1">
        <f t="array" aca="1" ref="C213" ca="1">_FV(A213,"Change (%)",TRUE)</f>
        <v>-4.3073E-2</v>
      </c>
      <c r="D213" s="322" cm="1">
        <f t="array" aca="1" ref="D213" ca="1">_FV(A213,"Price")</f>
        <v>19.774999999999999</v>
      </c>
      <c r="E213" s="139">
        <f>AE213</f>
        <v>0.35338345864661647</v>
      </c>
      <c r="F213" s="139"/>
      <c r="G213" s="139"/>
      <c r="H213" s="139"/>
      <c r="I213" s="200">
        <v>264.48</v>
      </c>
      <c r="J213" s="135" t="e" cm="1" vm="241">
        <f t="array" ref="J213">_FV(A213,"High")</f>
        <v>#VALUE!</v>
      </c>
      <c r="K213" s="135" t="e" cm="1" vm="242">
        <f t="array" ref="K213">_FV(A213,"Low")</f>
        <v>#VALUE!</v>
      </c>
      <c r="L213" s="149" cm="1">
        <f t="array" aca="1" ref="L213" ca="1">_FV(A213,"52 week high",TRUE)</f>
        <v>28.390999999999998</v>
      </c>
      <c r="M213" s="225">
        <f ca="1">+L213*0.9</f>
        <v>25.5519</v>
      </c>
      <c r="N213" s="226">
        <f ca="1">+L213*0.95</f>
        <v>26.971449999999997</v>
      </c>
      <c r="O213" s="222" cm="1">
        <f t="array" aca="1" ref="O213" ca="1">_FV(A213,"52 week low",TRUE)</f>
        <v>15.46</v>
      </c>
      <c r="P213" s="222"/>
      <c r="Q213" s="228">
        <f ca="1">GESTEP(D213,M213)</f>
        <v>0</v>
      </c>
      <c r="R213" s="228">
        <f ca="1">GESTEP(D213,N213)</f>
        <v>0</v>
      </c>
      <c r="S213" s="135" t="s">
        <v>75</v>
      </c>
      <c r="T213" s="136" t="s">
        <v>78</v>
      </c>
      <c r="U213" s="215" t="s">
        <v>26</v>
      </c>
      <c r="V213" s="137">
        <v>46132</v>
      </c>
      <c r="W213" s="137"/>
      <c r="X213" s="138" t="s">
        <v>436</v>
      </c>
      <c r="Y213" s="200">
        <v>21.28</v>
      </c>
      <c r="Z213" s="322"/>
      <c r="AA213" s="322"/>
      <c r="AB213" s="135"/>
      <c r="AC213" s="200">
        <v>28.8</v>
      </c>
      <c r="AD213" s="135"/>
      <c r="AE213" s="139">
        <f>IF(Z213="",+AC213/Y213-1,AC213/Z213-1)</f>
        <v>0.35338345864661647</v>
      </c>
      <c r="AF213" s="138">
        <v>26.04</v>
      </c>
      <c r="AG213" s="257">
        <f ca="1">IF(Z213="-",+AF213/D213-1,AF213/D213-1)</f>
        <v>0.31681415929203549</v>
      </c>
      <c r="AH213" s="201">
        <v>18.39</v>
      </c>
      <c r="AI213" s="143">
        <f ca="1">IF(Z213="-",AH213/Y213-1,+AH213/D213-1)</f>
        <v>-7.0037926675094675E-2</v>
      </c>
      <c r="AJ213" s="141" t="e">
        <f ca="1">IF(Z213="-","-",+(D213/Z213)-1)</f>
        <v>#DIV/0!</v>
      </c>
      <c r="AK213" s="140" t="e">
        <f ca="1">IF(AA213="-","-",+(D213/AA213)-1)</f>
        <v>#DIV/0!</v>
      </c>
      <c r="AL213" s="135"/>
      <c r="AM213" s="140" t="str">
        <f>IF(AL213=0,"-",+AL213/Z213-1)</f>
        <v>-</v>
      </c>
      <c r="AN213" s="28">
        <f ca="1">+D213/Y213-1</f>
        <v>-7.0723684210526438E-2</v>
      </c>
    </row>
    <row r="214" spans="1:47" ht="16" customHeight="1" x14ac:dyDescent="0.2">
      <c r="A214" s="135" t="e" vm="243">
        <v>#VALUE!</v>
      </c>
      <c r="B214" s="135" t="str" cm="1">
        <f t="array" aca="1" ref="B214" ca="1">_FV(A214,"Ticker symbol",TRUE)</f>
        <v>ZBH</v>
      </c>
      <c r="C214" s="218" cm="1">
        <f t="array" aca="1" ref="C214" ca="1">_FV(A214,"Change (%)",TRUE)</f>
        <v>1.4574E-2</v>
      </c>
      <c r="D214" s="322" cm="1">
        <f t="array" aca="1" ref="D214" ca="1">_FV(A214,"Price")</f>
        <v>92.59</v>
      </c>
      <c r="E214" s="139">
        <f>AE214</f>
        <v>0.33905623522154826</v>
      </c>
      <c r="F214" s="139"/>
      <c r="G214" s="139"/>
      <c r="H214" s="139"/>
      <c r="I214" s="200">
        <v>262.48</v>
      </c>
      <c r="J214" s="135" cm="1">
        <f t="array" aca="1" ref="J214" ca="1">_FV(A214,"High")</f>
        <v>93.78</v>
      </c>
      <c r="K214" s="135" cm="1">
        <f t="array" aca="1" ref="K214" ca="1">_FV(A214,"Low")</f>
        <v>91.24</v>
      </c>
      <c r="L214" s="152" cm="1">
        <f t="array" aca="1" ref="L214" ca="1">_FV(A214,"52 week high",TRUE)</f>
        <v>108.29</v>
      </c>
      <c r="M214" s="225">
        <f ca="1">+L214*0.9</f>
        <v>97.461000000000013</v>
      </c>
      <c r="N214" s="226">
        <f ca="1">+L214*0.95</f>
        <v>102.8755</v>
      </c>
      <c r="O214" s="222" cm="1">
        <f t="array" aca="1" ref="O214" ca="1">_FV(A214,"52 week low",TRUE)</f>
        <v>84.59</v>
      </c>
      <c r="P214" s="222"/>
      <c r="Q214" s="228">
        <f ca="1">GESTEP(D214,M214)</f>
        <v>0</v>
      </c>
      <c r="R214" s="228">
        <f ca="1">GESTEP(D214,N214)</f>
        <v>0</v>
      </c>
      <c r="S214" s="135" t="s">
        <v>75</v>
      </c>
      <c r="T214" s="136" t="s">
        <v>78</v>
      </c>
      <c r="U214" s="215"/>
      <c r="V214" s="137">
        <v>46129</v>
      </c>
      <c r="W214" s="137"/>
      <c r="X214" s="138" t="s">
        <v>370</v>
      </c>
      <c r="Y214" s="200">
        <v>97.27</v>
      </c>
      <c r="Z214" s="135"/>
      <c r="AA214" s="135"/>
      <c r="AB214" s="135"/>
      <c r="AC214" s="200">
        <v>130.25</v>
      </c>
      <c r="AD214" s="135"/>
      <c r="AE214" s="139">
        <f>IF(Z214="",+AC214/Y214-1,AC214/Z214-1)</f>
        <v>0.33905623522154826</v>
      </c>
      <c r="AF214" s="138">
        <v>114.06</v>
      </c>
      <c r="AG214" s="257">
        <f ca="1">IF(Z214="-",+AF214/D214-1,AF214/D214-1)</f>
        <v>0.23188249270979577</v>
      </c>
      <c r="AH214" s="201">
        <v>84.48</v>
      </c>
      <c r="AI214" s="143">
        <f ca="1">IF(Z214="-",AH214/Y214-1,+AH214/D214-1)</f>
        <v>-8.7590452532670948E-2</v>
      </c>
      <c r="AJ214" s="141" t="e">
        <f ca="1">IF(Z214="-","-",+(D214/Z214)-1)</f>
        <v>#DIV/0!</v>
      </c>
      <c r="AK214" s="140" t="e">
        <f ca="1">IF(AA214="-","-",+(D214/AA214)-1)</f>
        <v>#DIV/0!</v>
      </c>
      <c r="AL214" s="135"/>
      <c r="AM214" s="140" t="str">
        <f>IF(AL214=0,"-",+AL214/Z214-1)</f>
        <v>-</v>
      </c>
      <c r="AN214" s="28">
        <f ca="1">+D214/Y214-1</f>
        <v>-4.8113498509303909E-2</v>
      </c>
    </row>
    <row r="215" spans="1:47" ht="16" customHeight="1" x14ac:dyDescent="0.2">
      <c r="A215" s="135"/>
      <c r="B215" s="135"/>
      <c r="C215" s="218"/>
      <c r="D215" s="322"/>
      <c r="E215" s="139"/>
      <c r="F215" s="139"/>
      <c r="G215" s="139"/>
      <c r="H215" s="139"/>
      <c r="I215" s="200"/>
      <c r="J215" s="135"/>
      <c r="K215" s="135"/>
      <c r="L215" s="152"/>
      <c r="M215" s="225"/>
      <c r="N215" s="226"/>
      <c r="O215" s="222"/>
      <c r="P215" s="222"/>
      <c r="Q215" s="228"/>
      <c r="R215" s="228"/>
      <c r="S215" s="135"/>
      <c r="T215" s="136"/>
      <c r="U215" s="215"/>
      <c r="V215" s="137"/>
      <c r="W215" s="137"/>
      <c r="X215" s="138"/>
      <c r="Y215" s="138"/>
      <c r="Z215" s="135"/>
      <c r="AA215" s="135"/>
      <c r="AB215" s="135"/>
      <c r="AC215" s="200"/>
      <c r="AD215" s="135"/>
      <c r="AE215" s="139"/>
      <c r="AF215" s="138"/>
      <c r="AG215" s="257"/>
      <c r="AH215" s="201"/>
      <c r="AI215" s="143"/>
      <c r="AJ215" s="141"/>
      <c r="AK215" s="140"/>
      <c r="AL215" s="135"/>
      <c r="AM215" s="140"/>
      <c r="AN215" s="28"/>
    </row>
    <row r="216" spans="1:47" ht="16" customHeight="1" x14ac:dyDescent="0.2">
      <c r="A216" s="135"/>
      <c r="B216" s="135"/>
      <c r="C216" s="218"/>
      <c r="D216" s="322"/>
      <c r="E216" s="139"/>
      <c r="F216" s="139"/>
      <c r="G216" s="139"/>
      <c r="H216" s="139"/>
      <c r="I216" s="200"/>
      <c r="J216" s="135"/>
      <c r="K216" s="135"/>
      <c r="L216" s="152"/>
      <c r="M216" s="225"/>
      <c r="N216" s="226"/>
      <c r="O216" s="222"/>
      <c r="P216" s="222"/>
      <c r="Q216" s="228"/>
      <c r="R216" s="228"/>
      <c r="S216" s="135"/>
      <c r="T216" s="136"/>
      <c r="U216" s="215"/>
      <c r="V216" s="137"/>
      <c r="W216" s="137"/>
      <c r="X216" s="138"/>
      <c r="Y216" s="200"/>
      <c r="Z216" s="322"/>
      <c r="AA216" s="322"/>
      <c r="AB216" s="135"/>
      <c r="AC216" s="200"/>
      <c r="AD216" s="135"/>
      <c r="AE216" s="139"/>
      <c r="AF216" s="138"/>
      <c r="AG216" s="257"/>
      <c r="AH216" s="201"/>
      <c r="AI216" s="143"/>
      <c r="AJ216" s="141"/>
      <c r="AK216" s="140"/>
      <c r="AL216" s="135"/>
      <c r="AM216" s="140"/>
      <c r="AN216" s="28"/>
    </row>
    <row r="217" spans="1:47" ht="16" customHeight="1" x14ac:dyDescent="0.2">
      <c r="A217" s="135"/>
      <c r="B217" s="135"/>
      <c r="C217" s="218"/>
      <c r="D217" s="322"/>
      <c r="E217" s="139"/>
      <c r="F217" s="139"/>
      <c r="G217" s="139"/>
      <c r="H217" s="139"/>
      <c r="I217" s="200"/>
      <c r="J217" s="135"/>
      <c r="K217" s="135"/>
      <c r="L217" s="152"/>
      <c r="M217" s="225"/>
      <c r="N217" s="226"/>
      <c r="O217" s="222"/>
      <c r="P217" s="222"/>
      <c r="Q217" s="228"/>
      <c r="R217" s="228"/>
      <c r="S217" s="135"/>
      <c r="T217" s="136"/>
      <c r="U217" s="215"/>
      <c r="V217" s="137"/>
      <c r="W217" s="137"/>
      <c r="X217" s="138"/>
      <c r="Y217" s="200"/>
      <c r="Z217" s="135"/>
      <c r="AA217" s="135"/>
      <c r="AB217" s="135"/>
      <c r="AC217" s="200"/>
      <c r="AD217" s="135"/>
      <c r="AE217" s="139"/>
      <c r="AF217" s="138"/>
      <c r="AG217" s="257"/>
      <c r="AH217" s="201"/>
      <c r="AI217" s="143"/>
      <c r="AJ217" s="141"/>
      <c r="AK217" s="140"/>
      <c r="AL217" s="135"/>
      <c r="AM217" s="140"/>
      <c r="AN217" s="28"/>
    </row>
    <row r="218" spans="1:47" ht="16" customHeight="1" x14ac:dyDescent="0.2">
      <c r="A218" s="135"/>
      <c r="B218" s="135"/>
      <c r="C218" s="218"/>
      <c r="D218" s="322"/>
      <c r="E218" s="139"/>
      <c r="F218" s="139"/>
      <c r="G218" s="139"/>
      <c r="H218" s="139"/>
      <c r="I218" s="200"/>
      <c r="J218" s="135"/>
      <c r="K218" s="135"/>
      <c r="L218" s="152"/>
      <c r="M218" s="225"/>
      <c r="N218" s="226"/>
      <c r="O218" s="222"/>
      <c r="P218" s="222"/>
      <c r="Q218" s="228"/>
      <c r="R218" s="228"/>
      <c r="S218" s="135"/>
      <c r="T218" s="136"/>
      <c r="U218" s="215"/>
      <c r="V218" s="137"/>
      <c r="W218" s="137"/>
      <c r="X218" s="138"/>
      <c r="Y218" s="200"/>
      <c r="Z218" s="135"/>
      <c r="AA218" s="135"/>
      <c r="AB218" s="135"/>
      <c r="AC218" s="200"/>
      <c r="AD218" s="135"/>
      <c r="AE218" s="139"/>
      <c r="AF218" s="138"/>
      <c r="AG218" s="257"/>
      <c r="AH218" s="201"/>
      <c r="AI218" s="143"/>
      <c r="AJ218" s="141"/>
      <c r="AK218" s="140"/>
      <c r="AL218" s="135"/>
      <c r="AM218" s="140"/>
      <c r="AN218" s="28"/>
    </row>
    <row r="219" spans="1:47" ht="16" customHeight="1" x14ac:dyDescent="0.2">
      <c r="A219" s="135"/>
      <c r="B219" s="135"/>
      <c r="C219" s="218"/>
      <c r="D219" s="322"/>
      <c r="E219" s="139"/>
      <c r="F219" s="139"/>
      <c r="G219" s="139"/>
      <c r="H219" s="139"/>
      <c r="I219" s="200"/>
      <c r="J219" s="135"/>
      <c r="K219" s="135"/>
      <c r="L219" s="149"/>
      <c r="M219" s="225"/>
      <c r="N219" s="226"/>
      <c r="O219" s="222"/>
      <c r="P219" s="222"/>
      <c r="Q219" s="228"/>
      <c r="R219" s="228"/>
      <c r="S219" s="135"/>
      <c r="T219" s="136"/>
      <c r="U219" s="215"/>
      <c r="V219" s="137"/>
      <c r="W219" s="137"/>
      <c r="X219" s="138"/>
      <c r="Y219" s="200"/>
      <c r="Z219" s="135"/>
      <c r="AA219" s="135"/>
      <c r="AB219" s="135"/>
      <c r="AC219" s="200"/>
      <c r="AD219" s="135"/>
      <c r="AE219" s="139"/>
      <c r="AF219" s="138"/>
      <c r="AG219" s="257"/>
      <c r="AH219" s="201"/>
      <c r="AI219" s="143"/>
      <c r="AJ219" s="141"/>
      <c r="AK219" s="140"/>
      <c r="AL219" s="135"/>
      <c r="AM219" s="140"/>
      <c r="AN219" s="28"/>
    </row>
    <row r="220" spans="1:47" ht="16" customHeight="1" x14ac:dyDescent="0.2">
      <c r="A220" s="135"/>
      <c r="B220" s="135"/>
      <c r="C220" s="218"/>
      <c r="D220" s="322"/>
      <c r="E220" s="139"/>
      <c r="F220" s="139"/>
      <c r="G220" s="139"/>
      <c r="H220" s="139"/>
      <c r="I220" s="200"/>
      <c r="J220" s="135"/>
      <c r="K220" s="135"/>
      <c r="L220" s="152"/>
      <c r="M220" s="225"/>
      <c r="N220" s="226"/>
      <c r="O220" s="222"/>
      <c r="P220" s="222"/>
      <c r="Q220" s="228"/>
      <c r="R220" s="228"/>
      <c r="S220" s="135"/>
      <c r="T220" s="136"/>
      <c r="U220" s="215"/>
      <c r="V220" s="137"/>
      <c r="W220" s="137"/>
      <c r="X220" s="138"/>
      <c r="Y220" s="200"/>
      <c r="Z220" s="322"/>
      <c r="AA220" s="322"/>
      <c r="AB220" s="135"/>
      <c r="AC220" s="200"/>
      <c r="AD220" s="135"/>
      <c r="AE220" s="139"/>
      <c r="AF220" s="138"/>
      <c r="AG220" s="257"/>
      <c r="AH220" s="201"/>
      <c r="AI220" s="143"/>
      <c r="AJ220" s="141"/>
      <c r="AK220" s="140"/>
      <c r="AL220" s="135"/>
      <c r="AM220" s="140"/>
      <c r="AN220" s="28"/>
    </row>
    <row r="222" spans="1:47" x14ac:dyDescent="0.2">
      <c r="A222" s="87"/>
      <c r="B222" s="87"/>
      <c r="C222" s="59"/>
      <c r="D222" s="87"/>
      <c r="E222" s="65"/>
      <c r="F222" s="65"/>
      <c r="G222" s="65"/>
      <c r="H222" s="65"/>
      <c r="I222" s="87"/>
      <c r="J222" s="87"/>
      <c r="K222" s="87"/>
      <c r="L222" s="87"/>
      <c r="M222" s="87"/>
      <c r="N222" s="87"/>
      <c r="O222" s="87"/>
      <c r="P222" s="87"/>
      <c r="Q222" s="223"/>
      <c r="R222" s="223"/>
      <c r="S222" s="87"/>
      <c r="T222" s="87"/>
      <c r="U222" s="87"/>
      <c r="V222" s="57"/>
      <c r="W222" s="57"/>
      <c r="X222" s="87"/>
      <c r="Y222" s="87"/>
      <c r="Z222" s="87"/>
      <c r="AA222" s="87"/>
      <c r="AB222" s="87"/>
      <c r="AC222" s="87"/>
      <c r="AD222" s="87"/>
      <c r="AE222" s="65"/>
      <c r="AF222" s="87"/>
      <c r="AG222" s="87"/>
      <c r="AH222" s="87"/>
      <c r="AI222" s="90"/>
      <c r="AJ222" s="240" t="s">
        <v>111</v>
      </c>
      <c r="AK222" s="240" t="s">
        <v>112</v>
      </c>
      <c r="AL222" s="150"/>
      <c r="AM222" s="59"/>
      <c r="AN222" s="148"/>
    </row>
    <row r="223" spans="1:47" ht="19" x14ac:dyDescent="0.25">
      <c r="A223" s="87"/>
      <c r="B223" s="87"/>
      <c r="C223" s="59"/>
      <c r="D223" s="87"/>
      <c r="E223" s="65"/>
      <c r="F223" s="65"/>
      <c r="G223" s="65"/>
      <c r="H223" s="65"/>
      <c r="I223" s="87"/>
      <c r="J223" s="229" t="s">
        <v>125</v>
      </c>
      <c r="K223" s="229" t="s">
        <v>126</v>
      </c>
      <c r="L223" s="229" t="s">
        <v>129</v>
      </c>
      <c r="M223" s="235" t="s">
        <v>175</v>
      </c>
      <c r="N223" s="235" t="s">
        <v>176</v>
      </c>
      <c r="O223" s="229" t="s">
        <v>130</v>
      </c>
      <c r="P223" s="229" t="s">
        <v>239</v>
      </c>
      <c r="Q223" s="227" t="s">
        <v>178</v>
      </c>
      <c r="R223" s="227" t="s">
        <v>177</v>
      </c>
      <c r="S223" s="87"/>
      <c r="T223" s="87"/>
      <c r="U223" s="87"/>
      <c r="V223" s="57"/>
      <c r="W223" s="57"/>
      <c r="X223" s="87"/>
      <c r="Y223" s="87"/>
      <c r="Z223" s="87"/>
      <c r="AA223" s="87"/>
      <c r="AB223" s="87"/>
      <c r="AC223" s="87"/>
      <c r="AD223" s="87"/>
      <c r="AE223" s="65"/>
      <c r="AF223" s="87"/>
      <c r="AG223" s="87"/>
      <c r="AH223" s="87"/>
      <c r="AI223" s="90"/>
      <c r="AJ223" s="238" t="s">
        <v>87</v>
      </c>
      <c r="AK223" s="237" t="s">
        <v>87</v>
      </c>
      <c r="AL223" s="239" t="s">
        <v>84</v>
      </c>
      <c r="AM223" s="238" t="s">
        <v>85</v>
      </c>
      <c r="AN223" s="148"/>
      <c r="AO223" s="195" t="s">
        <v>12</v>
      </c>
      <c r="AP223" s="197" t="s">
        <v>157</v>
      </c>
      <c r="AQ223" s="197" t="s">
        <v>158</v>
      </c>
      <c r="AR223" s="196" t="s">
        <v>156</v>
      </c>
      <c r="AS223" s="197" t="s">
        <v>160</v>
      </c>
      <c r="AT223" s="198" t="s">
        <v>159</v>
      </c>
    </row>
    <row r="224" spans="1:47" ht="21" x14ac:dyDescent="0.25">
      <c r="A224" s="205">
        <v>2026</v>
      </c>
      <c r="B224" s="87"/>
      <c r="C224" s="59"/>
      <c r="D224" s="87"/>
      <c r="E224" s="65"/>
      <c r="F224" s="65"/>
      <c r="G224" s="65"/>
      <c r="H224" s="65"/>
      <c r="I224" s="87"/>
      <c r="J224" s="65"/>
      <c r="K224" s="65"/>
      <c r="L224" s="65"/>
      <c r="M224" s="65"/>
      <c r="N224" s="65"/>
      <c r="O224" s="65"/>
      <c r="P224" s="65"/>
      <c r="Q224" s="65"/>
      <c r="R224" s="65"/>
      <c r="S224" s="87"/>
      <c r="T224" s="87"/>
      <c r="U224" s="87"/>
      <c r="V224" s="57"/>
      <c r="W224" s="57"/>
      <c r="X224" s="87"/>
      <c r="Y224" s="87"/>
      <c r="Z224" s="87"/>
      <c r="AA224" s="87"/>
      <c r="AB224" s="87"/>
      <c r="AC224" s="87"/>
      <c r="AD224" s="87"/>
      <c r="AE224" s="65"/>
      <c r="AF224" s="87"/>
      <c r="AG224" s="87"/>
      <c r="AH224" s="87"/>
      <c r="AI224" s="90"/>
      <c r="AJ224" s="90"/>
      <c r="AK224" s="90"/>
      <c r="AL224" s="90"/>
      <c r="AM224" s="90"/>
      <c r="AN224" s="148"/>
      <c r="AO224" s="148"/>
      <c r="AP224" s="148"/>
      <c r="AQ224" s="148"/>
      <c r="AR224" s="148"/>
      <c r="AS224" s="148"/>
      <c r="AT224" s="148"/>
    </row>
    <row r="225" spans="1:47" x14ac:dyDescent="0.2">
      <c r="A225" s="87" t="e" vm="197">
        <v>#VALUE!</v>
      </c>
      <c r="B225" s="87" t="s">
        <v>324</v>
      </c>
      <c r="C225" s="233" cm="1">
        <f t="array" aca="1" ref="C225" ca="1">_FV(A225,"Change (%)",TRUE)</f>
        <v>-1.0375000000000001E-2</v>
      </c>
      <c r="D225" s="87" cm="1">
        <f t="array" aca="1" ref="D225" ca="1">_FV(A225,"Price")</f>
        <v>248</v>
      </c>
      <c r="E225" s="65">
        <v>-1.4174252275682697E-2</v>
      </c>
      <c r="F225" s="65">
        <v>0.34593506607158497</v>
      </c>
      <c r="G225" s="65">
        <v>0.3207385143838557</v>
      </c>
      <c r="H225" s="65">
        <v>-2.2106631989596948E-2</v>
      </c>
      <c r="I225" s="87">
        <v>151.62</v>
      </c>
      <c r="J225" s="87">
        <v>156.4</v>
      </c>
      <c r="K225" s="87">
        <v>151.9</v>
      </c>
      <c r="L225" s="87">
        <v>156.4</v>
      </c>
      <c r="M225" s="230">
        <v>140.76000000000002</v>
      </c>
      <c r="N225" s="231">
        <v>148.58000000000001</v>
      </c>
      <c r="O225" s="223">
        <v>79.62</v>
      </c>
      <c r="P225" s="223">
        <v>315</v>
      </c>
      <c r="Q225" s="232">
        <v>1</v>
      </c>
      <c r="R225" s="232">
        <v>1</v>
      </c>
      <c r="S225" s="87" t="s">
        <v>75</v>
      </c>
      <c r="T225" s="87" t="s">
        <v>78</v>
      </c>
      <c r="U225" s="87" t="s">
        <v>72</v>
      </c>
      <c r="V225" s="57">
        <v>45712</v>
      </c>
      <c r="W225" s="57">
        <v>45712</v>
      </c>
      <c r="X225" s="87"/>
      <c r="Y225" s="87">
        <v>120.3</v>
      </c>
      <c r="Z225" s="87">
        <v>114.27</v>
      </c>
      <c r="AA225" s="87">
        <v>116.45</v>
      </c>
      <c r="AB225" s="87">
        <v>2.1800000000000002</v>
      </c>
      <c r="AC225" s="87">
        <v>151.62</v>
      </c>
      <c r="AD225" s="87">
        <v>153.80000000000001</v>
      </c>
      <c r="AE225" s="65">
        <v>-1.4174252275682697E-2</v>
      </c>
      <c r="AF225" s="87">
        <v>150.4</v>
      </c>
      <c r="AG225" s="87">
        <v>-2.2106631989596948E-2</v>
      </c>
      <c r="AH225" s="87">
        <v>101.36999999999999</v>
      </c>
      <c r="AI225" s="90">
        <v>-0.34089726918075436</v>
      </c>
      <c r="AJ225" s="66">
        <v>0.34593506607158497</v>
      </c>
      <c r="AK225" s="90">
        <v>0.3207385143838557</v>
      </c>
      <c r="AL225" s="150">
        <v>153.80000000000001</v>
      </c>
      <c r="AM225" s="219">
        <v>0.34593506607158497</v>
      </c>
      <c r="AN225" s="48">
        <f t="shared" ref="AN225:AN251" ca="1" si="0">+D225/AL225-1</f>
        <v>0.61248374512353698</v>
      </c>
      <c r="AO225">
        <f>+'2026'!S262</f>
        <v>100</v>
      </c>
      <c r="AP225" s="5">
        <f t="shared" ref="AP225:AP230" ca="1" si="1">+D225</f>
        <v>248</v>
      </c>
      <c r="AQ225" s="5">
        <f t="shared" ref="AQ225:AQ230" ca="1" si="2">+AO225*AP225</f>
        <v>24800</v>
      </c>
      <c r="AR225" s="75">
        <f t="shared" ref="AR225:AR230" si="3">+AL225</f>
        <v>153.80000000000001</v>
      </c>
      <c r="AS225" s="5">
        <f t="shared" ref="AS225:AS230" si="4">+AO225*AR225</f>
        <v>15380.000000000002</v>
      </c>
      <c r="AT225" s="193">
        <f t="shared" ref="AT225:AT230" ca="1" si="5">+AQ225-AS225</f>
        <v>9419.9999999999982</v>
      </c>
      <c r="AU225" s="28">
        <f ca="1">+AT225/$AT$253</f>
        <v>0.16961930908761555</v>
      </c>
    </row>
    <row r="226" spans="1:47" x14ac:dyDescent="0.2">
      <c r="A226" s="87" t="e" vm="198">
        <v>#VALUE!</v>
      </c>
      <c r="B226" s="87" t="s">
        <v>326</v>
      </c>
      <c r="C226" s="233" cm="1">
        <f t="array" aca="1" ref="C226" ca="1">_FV(A226,"Change (%)",TRUE)</f>
        <v>-5.1535000000000004E-2</v>
      </c>
      <c r="D226" s="87" cm="1">
        <f t="array" aca="1" ref="D226" ca="1">_FV(A226,"Price")</f>
        <v>44.17</v>
      </c>
      <c r="E226" s="65">
        <v>-0.25714285714285723</v>
      </c>
      <c r="F226" s="65">
        <v>0.63907953169156251</v>
      </c>
      <c r="G226" s="65">
        <v>0.48337595907928388</v>
      </c>
      <c r="H226" s="65">
        <v>9.1133004926108319E-2</v>
      </c>
      <c r="I226" s="87">
        <v>15.079999999999998</v>
      </c>
      <c r="J226" s="87">
        <v>20.63</v>
      </c>
      <c r="K226" s="87">
        <v>20</v>
      </c>
      <c r="L226" s="87">
        <v>20.63</v>
      </c>
      <c r="M226" s="230">
        <v>18.567</v>
      </c>
      <c r="N226" s="231">
        <v>19.598499999999998</v>
      </c>
      <c r="O226" s="223">
        <v>8.4499999999999993</v>
      </c>
      <c r="P226" s="223">
        <v>327</v>
      </c>
      <c r="Q226" s="232">
        <v>1</v>
      </c>
      <c r="R226" s="232">
        <v>1</v>
      </c>
      <c r="S226" s="87" t="s">
        <v>75</v>
      </c>
      <c r="T226" s="87" t="s">
        <v>78</v>
      </c>
      <c r="U226" s="87" t="s">
        <v>72</v>
      </c>
      <c r="V226" s="57">
        <v>45700</v>
      </c>
      <c r="W226" s="57">
        <v>45700</v>
      </c>
      <c r="X226" s="87" t="s">
        <v>11</v>
      </c>
      <c r="Y226" s="87">
        <v>13.78</v>
      </c>
      <c r="Z226" s="87">
        <v>12.385</v>
      </c>
      <c r="AA226" s="87">
        <v>13.685</v>
      </c>
      <c r="AB226" s="87">
        <v>1.3</v>
      </c>
      <c r="AC226" s="87">
        <v>15.079999999999998</v>
      </c>
      <c r="AD226" s="87">
        <v>16.38</v>
      </c>
      <c r="AE226" s="65">
        <v>-0.25714285714285723</v>
      </c>
      <c r="AF226" s="87">
        <v>22.15</v>
      </c>
      <c r="AG226" s="87">
        <v>9.1133004926108319E-2</v>
      </c>
      <c r="AH226" s="87">
        <v>11.18</v>
      </c>
      <c r="AI226" s="90">
        <v>-0.44926108374384244</v>
      </c>
      <c r="AJ226" s="66">
        <v>0.63907953169156251</v>
      </c>
      <c r="AK226" s="90">
        <v>0.48337595907928388</v>
      </c>
      <c r="AL226" s="150">
        <v>20.3</v>
      </c>
      <c r="AM226" s="219">
        <v>0.63907953169156251</v>
      </c>
      <c r="AN226" s="48">
        <f t="shared" ca="1" si="0"/>
        <v>1.1758620689655173</v>
      </c>
      <c r="AO226">
        <f>+'2026'!S263</f>
        <v>950</v>
      </c>
      <c r="AP226" s="5">
        <f t="shared" ca="1" si="1"/>
        <v>44.17</v>
      </c>
      <c r="AQ226" s="5">
        <f t="shared" ca="1" si="2"/>
        <v>41961.5</v>
      </c>
      <c r="AR226" s="75">
        <f t="shared" si="3"/>
        <v>20.3</v>
      </c>
      <c r="AS226" s="5">
        <f t="shared" si="4"/>
        <v>19285</v>
      </c>
      <c r="AT226" s="193">
        <f t="shared" ca="1" si="5"/>
        <v>22676.5</v>
      </c>
      <c r="AU226" s="28">
        <f ca="1">+AT226/$AT$253</f>
        <v>0.40831977309185929</v>
      </c>
    </row>
    <row r="227" spans="1:47" x14ac:dyDescent="0.2">
      <c r="A227" s="87" t="e" vm="199">
        <v>#VALUE!</v>
      </c>
      <c r="B227" s="87" t="s">
        <v>328</v>
      </c>
      <c r="C227" s="233" cm="1">
        <f t="array" aca="1" ref="C227" ca="1">_FV(A227,"Change (%)",TRUE)</f>
        <v>-5.7220000000000005E-3</v>
      </c>
      <c r="D227" s="87" cm="1">
        <f t="array" aca="1" ref="D227" ca="1">_FV(A227,"Price")</f>
        <v>69.5</v>
      </c>
      <c r="E227" s="65">
        <v>-0.13492407809110629</v>
      </c>
      <c r="F227" s="65">
        <v>0.63823738450604117</v>
      </c>
      <c r="G227" s="65">
        <v>0.63823738450604117</v>
      </c>
      <c r="H227" s="65">
        <v>2.2993492407809013E-2</v>
      </c>
      <c r="I227" s="87">
        <v>39.880000000000003</v>
      </c>
      <c r="J227" s="87">
        <v>46.44</v>
      </c>
      <c r="K227" s="87">
        <v>43.82</v>
      </c>
      <c r="L227" s="87">
        <v>55.5</v>
      </c>
      <c r="M227" s="230">
        <v>49.95</v>
      </c>
      <c r="N227" s="231">
        <v>52.724999999999994</v>
      </c>
      <c r="O227" s="223">
        <v>24</v>
      </c>
      <c r="P227" s="223">
        <v>113</v>
      </c>
      <c r="Q227" s="232">
        <v>0</v>
      </c>
      <c r="R227" s="232">
        <v>0</v>
      </c>
      <c r="S227" s="87" t="s">
        <v>75</v>
      </c>
      <c r="T227" s="87" t="s">
        <v>78</v>
      </c>
      <c r="U227" s="87" t="s">
        <v>26</v>
      </c>
      <c r="V227" s="57">
        <v>45916</v>
      </c>
      <c r="W227" s="57">
        <v>45916</v>
      </c>
      <c r="X227" s="87"/>
      <c r="Y227" s="87">
        <v>28.14</v>
      </c>
      <c r="Z227" s="87">
        <v>28.14</v>
      </c>
      <c r="AA227" s="87">
        <v>28.14</v>
      </c>
      <c r="AB227" s="87"/>
      <c r="AC227" s="87">
        <v>39.880000000000003</v>
      </c>
      <c r="AD227" s="87">
        <v>39.880000000000003</v>
      </c>
      <c r="AE227" s="65">
        <v>-0.13492407809110629</v>
      </c>
      <c r="AF227" s="87">
        <v>47.16</v>
      </c>
      <c r="AG227" s="87">
        <v>2.2993492407809013E-2</v>
      </c>
      <c r="AH227" s="87">
        <v>23.94</v>
      </c>
      <c r="AI227" s="90">
        <v>-0.48069414316702819</v>
      </c>
      <c r="AJ227" s="66">
        <v>0.63823738450604117</v>
      </c>
      <c r="AK227" s="90">
        <v>0.63823738450604117</v>
      </c>
      <c r="AL227" s="150">
        <v>46.44</v>
      </c>
      <c r="AM227" s="219">
        <v>0.65031982942430688</v>
      </c>
      <c r="AN227" s="48">
        <f t="shared" ca="1" si="0"/>
        <v>0.4965546942291128</v>
      </c>
      <c r="AO227">
        <f>+'2026'!S264</f>
        <v>500</v>
      </c>
      <c r="AP227" s="5">
        <f t="shared" ca="1" si="1"/>
        <v>69.5</v>
      </c>
      <c r="AQ227" s="5">
        <f t="shared" ca="1" si="2"/>
        <v>34750</v>
      </c>
      <c r="AR227" s="75">
        <f t="shared" si="3"/>
        <v>46.44</v>
      </c>
      <c r="AS227" s="5">
        <f t="shared" si="4"/>
        <v>23220</v>
      </c>
      <c r="AT227" s="193">
        <f t="shared" ca="1" si="5"/>
        <v>11530</v>
      </c>
      <c r="AU227" s="28">
        <f ca="1">+AT227/$AT$253</f>
        <v>0.20761259381955496</v>
      </c>
    </row>
    <row r="228" spans="1:47" x14ac:dyDescent="0.2">
      <c r="A228" s="329" t="e" vm="200">
        <v>#VALUE!</v>
      </c>
      <c r="B228" s="87" t="s">
        <v>336</v>
      </c>
      <c r="C228" s="233" cm="1">
        <f t="array" aca="1" ref="C228" ca="1">_FV(A228,"Change (%)",TRUE)</f>
        <v>1.575E-3</v>
      </c>
      <c r="D228" s="87" cm="1">
        <f t="array" aca="1" ref="D228" ca="1">_FV(A228,"Price")</f>
        <v>127.2</v>
      </c>
      <c r="E228" s="65">
        <v>-8.9651682550392131E-2</v>
      </c>
      <c r="F228" s="65">
        <v>0.30641251652710455</v>
      </c>
      <c r="G228" s="65">
        <v>0.27741865977160107</v>
      </c>
      <c r="H228" s="65">
        <v>-6.01332546175255E-2</v>
      </c>
      <c r="I228" s="87">
        <v>107.94</v>
      </c>
      <c r="J228" s="87">
        <v>119.05</v>
      </c>
      <c r="K228" s="87">
        <v>114.515</v>
      </c>
      <c r="L228" s="87">
        <v>119.21</v>
      </c>
      <c r="M228" s="230">
        <v>107.289</v>
      </c>
      <c r="N228" s="231">
        <v>113.24949999999998</v>
      </c>
      <c r="O228" s="223">
        <v>83.584500000000006</v>
      </c>
      <c r="P228" s="223">
        <v>230</v>
      </c>
      <c r="Q228" s="232">
        <v>1</v>
      </c>
      <c r="R228" s="232">
        <v>1</v>
      </c>
      <c r="S228" s="87" t="s">
        <v>75</v>
      </c>
      <c r="T228" s="87" t="s">
        <v>77</v>
      </c>
      <c r="U228" s="87" t="s">
        <v>199</v>
      </c>
      <c r="V228" s="57">
        <v>45795</v>
      </c>
      <c r="W228" s="57">
        <v>45800</v>
      </c>
      <c r="X228" s="87"/>
      <c r="Y228" s="87">
        <v>96.2</v>
      </c>
      <c r="Z228" s="87">
        <v>90.759999999999991</v>
      </c>
      <c r="AA228" s="87">
        <v>92.82</v>
      </c>
      <c r="AB228" s="87">
        <v>2.06</v>
      </c>
      <c r="AC228" s="87">
        <v>107.94</v>
      </c>
      <c r="AD228" s="87">
        <v>110</v>
      </c>
      <c r="AE228" s="65">
        <v>-8.9651682550392131E-2</v>
      </c>
      <c r="AF228" s="87">
        <v>111.44</v>
      </c>
      <c r="AG228" s="87">
        <v>-6.01332546175255E-2</v>
      </c>
      <c r="AH228" s="87">
        <v>84</v>
      </c>
      <c r="AI228" s="90">
        <v>-0.29155772961120008</v>
      </c>
      <c r="AJ228" s="66">
        <v>0.30641251652710455</v>
      </c>
      <c r="AK228" s="90">
        <v>0.27741865977160107</v>
      </c>
      <c r="AL228" s="150">
        <v>118.81</v>
      </c>
      <c r="AM228" s="219">
        <v>0.30905685323931253</v>
      </c>
      <c r="AN228" s="48">
        <f t="shared" ca="1" si="0"/>
        <v>7.0616951435064301E-2</v>
      </c>
      <c r="AO228">
        <f>+'2026'!S265</f>
        <v>105</v>
      </c>
      <c r="AP228" s="5">
        <f t="shared" ca="1" si="1"/>
        <v>127.2</v>
      </c>
      <c r="AQ228" s="5">
        <f t="shared" ca="1" si="2"/>
        <v>13356</v>
      </c>
      <c r="AR228" s="75">
        <f t="shared" si="3"/>
        <v>118.81</v>
      </c>
      <c r="AS228" s="5">
        <f t="shared" si="4"/>
        <v>12475.050000000001</v>
      </c>
      <c r="AT228" s="193">
        <f t="shared" ca="1" si="5"/>
        <v>880.94999999999891</v>
      </c>
      <c r="AU228" s="28">
        <f ca="1">+AT228/$AT$253</f>
        <v>1.5862646532986704E-2</v>
      </c>
    </row>
    <row r="229" spans="1:47" x14ac:dyDescent="0.2">
      <c r="A229" s="329" t="e" vm="201">
        <v>#VALUE!</v>
      </c>
      <c r="B229" s="87" t="s">
        <v>339</v>
      </c>
      <c r="C229" s="233" cm="1">
        <f t="array" aca="1" ref="C229" ca="1">_FV(A229,"Change (%)",TRUE)</f>
        <v>3.9281999999999997E-2</v>
      </c>
      <c r="D229" s="87" cm="1">
        <f t="array" aca="1" ref="D229" ca="1">_FV(A229,"Price")</f>
        <v>98.95</v>
      </c>
      <c r="E229" s="65">
        <v>-0.11819340739391726</v>
      </c>
      <c r="F229" s="65">
        <v>0.388369152970923</v>
      </c>
      <c r="G229" s="65">
        <v>0.388369152970923</v>
      </c>
      <c r="H229" s="65">
        <v>-2.1125478054998981E-2</v>
      </c>
      <c r="I229" s="87">
        <v>48.42</v>
      </c>
      <c r="J229" s="87">
        <v>54.98</v>
      </c>
      <c r="K229" s="87">
        <v>52.445</v>
      </c>
      <c r="L229" s="87">
        <v>54.98</v>
      </c>
      <c r="M229" s="230">
        <v>49.481999999999999</v>
      </c>
      <c r="N229" s="231">
        <v>52.230999999999995</v>
      </c>
      <c r="O229" s="223">
        <v>25.45</v>
      </c>
      <c r="P229" s="223">
        <v>416</v>
      </c>
      <c r="Q229" s="232">
        <v>1</v>
      </c>
      <c r="R229" s="232">
        <v>1</v>
      </c>
      <c r="S229" s="87" t="s">
        <v>76</v>
      </c>
      <c r="T229" s="87" t="s">
        <v>78</v>
      </c>
      <c r="U229" s="87" t="s">
        <v>26</v>
      </c>
      <c r="V229" s="57">
        <v>45618</v>
      </c>
      <c r="W229" s="57">
        <v>45618</v>
      </c>
      <c r="X229" s="87" t="s">
        <v>11</v>
      </c>
      <c r="Y229" s="87">
        <v>39.700000000000003</v>
      </c>
      <c r="Z229" s="87">
        <v>39.549999999999997</v>
      </c>
      <c r="AA229" s="87">
        <v>39.549999999999997</v>
      </c>
      <c r="AB229" s="87"/>
      <c r="AC229" s="87">
        <v>48.42</v>
      </c>
      <c r="AD229" s="87">
        <v>48.42</v>
      </c>
      <c r="AE229" s="65">
        <v>-0.11819340739391726</v>
      </c>
      <c r="AF229" s="87">
        <v>53.75</v>
      </c>
      <c r="AG229" s="87">
        <v>-2.1125478054998981E-2</v>
      </c>
      <c r="AH229" s="87">
        <v>35.340000000000003</v>
      </c>
      <c r="AI229" s="90">
        <v>-0.35640138408304489</v>
      </c>
      <c r="AJ229" s="66">
        <v>0.388369152970923</v>
      </c>
      <c r="AK229" s="90">
        <v>0.388369152970923</v>
      </c>
      <c r="AL229" s="150">
        <v>54.97</v>
      </c>
      <c r="AM229" s="219">
        <v>0.38988621997471573</v>
      </c>
      <c r="AN229" s="48">
        <f t="shared" ca="1" si="0"/>
        <v>0.80007276696379859</v>
      </c>
      <c r="AO229">
        <f>+'2026'!S266</f>
        <v>202</v>
      </c>
      <c r="AP229" s="5">
        <f t="shared" ca="1" si="1"/>
        <v>98.95</v>
      </c>
      <c r="AQ229" s="5">
        <f t="shared" ca="1" si="2"/>
        <v>19987.900000000001</v>
      </c>
      <c r="AR229" s="75">
        <f t="shared" si="3"/>
        <v>54.97</v>
      </c>
      <c r="AS229" s="5">
        <f t="shared" si="4"/>
        <v>11103.94</v>
      </c>
      <c r="AT229" s="193">
        <f t="shared" ca="1" si="5"/>
        <v>8883.9600000000009</v>
      </c>
      <c r="AU229" s="28">
        <f ca="1">+AT229/$AT$253</f>
        <v>0.15996721413609485</v>
      </c>
    </row>
    <row r="230" spans="1:47" x14ac:dyDescent="0.2">
      <c r="A230" s="329" t="e" vm="25">
        <v>#VALUE!</v>
      </c>
      <c r="B230" s="87" t="s">
        <v>351</v>
      </c>
      <c r="C230" s="233" cm="1">
        <f t="array" aca="1" ref="C230" ca="1">_FV(A230,"Change (%)",TRUE)</f>
        <v>-8.123E-3</v>
      </c>
      <c r="D230" s="87" cm="1">
        <f t="array" aca="1" ref="D230" ca="1">_FV(A230,"Price")</f>
        <v>68.38</v>
      </c>
      <c r="E230" s="65">
        <v>-1.533314747700032E-2</v>
      </c>
      <c r="F230" s="65">
        <v>0.35905531699924231</v>
      </c>
      <c r="G230" s="65">
        <v>0.34344569288389515</v>
      </c>
      <c r="H230" s="65">
        <v>-8.8281758200910998E-3</v>
      </c>
      <c r="I230" s="87">
        <v>52.98</v>
      </c>
      <c r="J230" s="87">
        <v>53.924999999999997</v>
      </c>
      <c r="K230" s="87">
        <v>52.91</v>
      </c>
      <c r="L230" s="87">
        <v>53.924999999999997</v>
      </c>
      <c r="M230" s="230">
        <v>48.532499999999999</v>
      </c>
      <c r="N230" s="231">
        <v>51.228749999999998</v>
      </c>
      <c r="O230" s="223">
        <v>33.6</v>
      </c>
      <c r="P230" s="223">
        <v>192</v>
      </c>
      <c r="Q230" s="232">
        <v>1</v>
      </c>
      <c r="R230" s="232">
        <v>1</v>
      </c>
      <c r="S230" s="87" t="s">
        <v>75</v>
      </c>
      <c r="T230" s="87" t="s">
        <v>78</v>
      </c>
      <c r="U230" s="87" t="s">
        <v>199</v>
      </c>
      <c r="V230" s="57">
        <v>45852</v>
      </c>
      <c r="W230" s="57">
        <v>45852</v>
      </c>
      <c r="X230" s="87"/>
      <c r="Y230" s="87">
        <v>41.04</v>
      </c>
      <c r="Z230" s="87">
        <v>39.589999999999996</v>
      </c>
      <c r="AA230" s="87">
        <v>40.049999999999997</v>
      </c>
      <c r="AB230" s="87">
        <v>0.46</v>
      </c>
      <c r="AC230" s="87">
        <v>52.98</v>
      </c>
      <c r="AD230" s="87">
        <v>53.44</v>
      </c>
      <c r="AE230" s="65">
        <v>-1.533314747700032E-2</v>
      </c>
      <c r="AF230" s="87">
        <v>53.33</v>
      </c>
      <c r="AG230" s="87">
        <v>-8.8281758200910998E-3</v>
      </c>
      <c r="AH230" s="87">
        <v>35.03</v>
      </c>
      <c r="AI230" s="90">
        <v>-0.34894526530991543</v>
      </c>
      <c r="AJ230" s="66">
        <v>0.35905531699924231</v>
      </c>
      <c r="AK230" s="90">
        <v>0.34344569288389515</v>
      </c>
      <c r="AL230" s="150">
        <v>53.9</v>
      </c>
      <c r="AM230" s="219">
        <v>0.36145491285678211</v>
      </c>
      <c r="AN230" s="48">
        <f t="shared" ca="1" si="0"/>
        <v>0.26864564007421143</v>
      </c>
      <c r="AO230">
        <f>+'2026'!S268</f>
        <v>205</v>
      </c>
      <c r="AP230" s="5">
        <f t="shared" ca="1" si="1"/>
        <v>68.38</v>
      </c>
      <c r="AQ230" s="5">
        <f t="shared" ca="1" si="2"/>
        <v>14017.9</v>
      </c>
      <c r="AR230" s="75">
        <f t="shared" si="3"/>
        <v>53.9</v>
      </c>
      <c r="AS230" s="5">
        <f t="shared" si="4"/>
        <v>11049.5</v>
      </c>
      <c r="AT230" s="193">
        <f t="shared" ca="1" si="5"/>
        <v>2968.3999999999996</v>
      </c>
      <c r="AU230" s="28">
        <f ca="1">+AT230/$AT$253</f>
        <v>5.3449889288288539E-2</v>
      </c>
    </row>
    <row r="231" spans="1:47" x14ac:dyDescent="0.2">
      <c r="A231" s="329" t="e" vm="203">
        <v>#VALUE!</v>
      </c>
      <c r="B231" s="87" t="s">
        <v>357</v>
      </c>
      <c r="C231" s="233" cm="1">
        <f t="array" aca="1" ref="C231" ca="1">_FV(A231,"Change (%)",TRUE)</f>
        <v>2.5000000000000001E-3</v>
      </c>
      <c r="D231" s="87" cm="1">
        <f t="array" aca="1" ref="D231" ca="1">_FV(A231,"Price")</f>
        <v>220.53</v>
      </c>
      <c r="E231" s="65">
        <v>8.6790998024191657E-2</v>
      </c>
      <c r="F231" s="65">
        <v>0.30329104383871375</v>
      </c>
      <c r="G231" s="65">
        <v>0.29937382592360673</v>
      </c>
      <c r="H231" s="65">
        <v>-0.20784540504072091</v>
      </c>
      <c r="I231" s="87">
        <v>225.52</v>
      </c>
      <c r="J231" s="87">
        <v>207.51</v>
      </c>
      <c r="K231" s="87">
        <v>189.93</v>
      </c>
      <c r="L231" s="87">
        <v>209.61</v>
      </c>
      <c r="M231" s="230">
        <v>188.64900000000003</v>
      </c>
      <c r="N231" s="231">
        <v>199.12950000000001</v>
      </c>
      <c r="O231" s="223">
        <v>126.01</v>
      </c>
      <c r="P231" s="223">
        <v>250</v>
      </c>
      <c r="Q231" s="232">
        <v>1</v>
      </c>
      <c r="R231" s="232">
        <v>1</v>
      </c>
      <c r="S231" s="87" t="s">
        <v>75</v>
      </c>
      <c r="T231" s="87" t="s">
        <v>77</v>
      </c>
      <c r="U231" s="87" t="s">
        <v>26</v>
      </c>
      <c r="V231" s="57">
        <v>45796</v>
      </c>
      <c r="W231" s="57">
        <v>45807</v>
      </c>
      <c r="X231" s="87"/>
      <c r="Y231" s="87">
        <v>170.4</v>
      </c>
      <c r="Z231" s="87">
        <v>159.22</v>
      </c>
      <c r="AA231" s="87">
        <v>159.69999999999999</v>
      </c>
      <c r="AB231" s="87">
        <v>0.48</v>
      </c>
      <c r="AC231" s="87">
        <v>225.52</v>
      </c>
      <c r="AD231" s="87">
        <v>226</v>
      </c>
      <c r="AE231" s="65">
        <v>8.6790998024191657E-2</v>
      </c>
      <c r="AF231" s="87">
        <v>164.38</v>
      </c>
      <c r="AG231" s="87">
        <v>-0.20784540504072091</v>
      </c>
      <c r="AH231" s="87">
        <v>144.52000000000001</v>
      </c>
      <c r="AI231" s="90">
        <v>-0.30355163606573166</v>
      </c>
      <c r="AJ231" s="66">
        <v>0.30329104383871375</v>
      </c>
      <c r="AK231" s="90">
        <v>0.29937382592360673</v>
      </c>
      <c r="AL231" s="150">
        <v>207</v>
      </c>
      <c r="AM231" s="219">
        <v>0.30008792865217937</v>
      </c>
      <c r="AN231" s="48">
        <f t="shared" ca="1" si="0"/>
        <v>6.5362318840579636E-2</v>
      </c>
      <c r="AO231">
        <f>+'2026'!S273</f>
        <v>75</v>
      </c>
      <c r="AP231" s="5">
        <f t="shared" ref="AP231:AP236" ca="1" si="6">+D231</f>
        <v>220.53</v>
      </c>
      <c r="AQ231" s="5">
        <f t="shared" ref="AQ231:AQ236" ca="1" si="7">+AO231*AP231</f>
        <v>16539.75</v>
      </c>
      <c r="AR231" s="75">
        <f t="shared" ref="AR231:AR236" si="8">+AL231</f>
        <v>207</v>
      </c>
      <c r="AS231" s="5">
        <f t="shared" ref="AS231:AS236" si="9">+AO231*AR231</f>
        <v>15525</v>
      </c>
      <c r="AT231" s="193">
        <f t="shared" ref="AT231:AT236" ca="1" si="10">+AQ231-AS231</f>
        <v>1014.75</v>
      </c>
      <c r="AU231" s="28">
        <f ca="1">+AT231/$AT$253</f>
        <v>1.82718889486898E-2</v>
      </c>
    </row>
    <row r="232" spans="1:47" x14ac:dyDescent="0.2">
      <c r="A232" s="329" t="e" vm="204">
        <v>#VALUE!</v>
      </c>
      <c r="B232" s="87" t="s">
        <v>360</v>
      </c>
      <c r="C232" s="233" cm="1">
        <f t="array" aca="1" ref="C232" ca="1">_FV(A232,"Change (%)",TRUE)</f>
        <v>3.5057999999999999E-2</v>
      </c>
      <c r="D232" s="87" cm="1">
        <f t="array" aca="1" ref="D232" ca="1">_FV(A232,"Price")</f>
        <v>6.2</v>
      </c>
      <c r="E232" s="65">
        <v>0.10529880535500702</v>
      </c>
      <c r="F232" s="65">
        <v>0.31925855513307999</v>
      </c>
      <c r="G232" s="65">
        <v>0.31925855513307999</v>
      </c>
      <c r="H232" s="65">
        <v>0.29551972100932367</v>
      </c>
      <c r="I232" s="87">
        <v>7.67</v>
      </c>
      <c r="J232" s="87">
        <v>6.9619999999999997</v>
      </c>
      <c r="K232" s="87">
        <v>6.21</v>
      </c>
      <c r="L232" s="87">
        <v>7.71</v>
      </c>
      <c r="M232" s="230">
        <v>6.9390000000000001</v>
      </c>
      <c r="N232" s="231">
        <v>7.3244999999999996</v>
      </c>
      <c r="O232" s="223">
        <v>3.95</v>
      </c>
      <c r="P232" s="223">
        <v>32</v>
      </c>
      <c r="Q232" s="232">
        <v>1</v>
      </c>
      <c r="R232" s="232">
        <v>0</v>
      </c>
      <c r="S232" s="87" t="s">
        <v>75</v>
      </c>
      <c r="T232" s="87" t="s">
        <v>78</v>
      </c>
      <c r="U232" s="87" t="s">
        <v>26</v>
      </c>
      <c r="V232" s="57">
        <v>46027</v>
      </c>
      <c r="W232" s="57">
        <v>46027</v>
      </c>
      <c r="X232" s="87" t="s">
        <v>325</v>
      </c>
      <c r="Y232" s="87">
        <v>5.27</v>
      </c>
      <c r="Z232" s="87">
        <v>5.26</v>
      </c>
      <c r="AA232" s="87">
        <v>5.26</v>
      </c>
      <c r="AB232" s="87"/>
      <c r="AC232" s="87">
        <v>7.67</v>
      </c>
      <c r="AD232" s="87">
        <v>7.67</v>
      </c>
      <c r="AE232" s="65">
        <v>0.10529880535500702</v>
      </c>
      <c r="AF232" s="87">
        <v>8.99</v>
      </c>
      <c r="AG232" s="87">
        <v>0.29551972100932367</v>
      </c>
      <c r="AH232" s="87">
        <v>4.3899999999999997</v>
      </c>
      <c r="AI232" s="90">
        <v>-0.36737134869511345</v>
      </c>
      <c r="AJ232" s="66">
        <v>0.31925855513307999</v>
      </c>
      <c r="AK232" s="90">
        <v>0.31925855513307999</v>
      </c>
      <c r="AL232" s="150">
        <v>6.89</v>
      </c>
      <c r="AM232" s="219">
        <v>0.30988593155893529</v>
      </c>
      <c r="AN232" s="48">
        <f t="shared" ca="1" si="0"/>
        <v>-0.10014513788098689</v>
      </c>
      <c r="AO232">
        <f>+'2026'!S274</f>
        <v>2846</v>
      </c>
      <c r="AP232" s="5">
        <f t="shared" ca="1" si="6"/>
        <v>6.2</v>
      </c>
      <c r="AQ232" s="5">
        <f t="shared" ca="1" si="7"/>
        <v>17645.2</v>
      </c>
      <c r="AR232" s="75">
        <f t="shared" si="8"/>
        <v>6.89</v>
      </c>
      <c r="AS232" s="5">
        <f t="shared" si="9"/>
        <v>19608.939999999999</v>
      </c>
      <c r="AT232" s="193">
        <f t="shared" ca="1" si="10"/>
        <v>-1963.739999999998</v>
      </c>
      <c r="AU232" s="28">
        <f ca="1">+AT232/$AT$253</f>
        <v>-3.5359683867060919E-2</v>
      </c>
    </row>
    <row r="233" spans="1:47" x14ac:dyDescent="0.2">
      <c r="A233" s="329" t="e" vm="205">
        <v>#VALUE!</v>
      </c>
      <c r="B233" s="87" t="s">
        <v>366</v>
      </c>
      <c r="C233" s="233" cm="1">
        <f t="array" aca="1" ref="C233" ca="1">_FV(A233,"Change (%)",TRUE)</f>
        <v>-3.7369999999999999E-3</v>
      </c>
      <c r="D233" s="87" cm="1">
        <f t="array" aca="1" ref="D233" ca="1">_FV(A233,"Price")</f>
        <v>45.32</v>
      </c>
      <c r="E233" s="65">
        <v>4.2324597102392225E-3</v>
      </c>
      <c r="F233" s="65">
        <v>0.26607584501236592</v>
      </c>
      <c r="G233" s="65">
        <v>0.26607584501236592</v>
      </c>
      <c r="H233" s="65">
        <v>9.8811655542894394E-2</v>
      </c>
      <c r="I233" s="87">
        <v>61.69</v>
      </c>
      <c r="J233" s="87">
        <v>61.82</v>
      </c>
      <c r="K233" s="87">
        <v>59.74</v>
      </c>
      <c r="L233" s="87">
        <v>88.07</v>
      </c>
      <c r="M233" s="230">
        <v>79.262999999999991</v>
      </c>
      <c r="N233" s="231">
        <v>83.666499999999985</v>
      </c>
      <c r="O233" s="223">
        <v>39.700000000000003</v>
      </c>
      <c r="P233" s="223">
        <v>97</v>
      </c>
      <c r="Q233" s="232">
        <v>0</v>
      </c>
      <c r="R233" s="232">
        <v>0</v>
      </c>
      <c r="S233" s="87" t="s">
        <v>166</v>
      </c>
      <c r="T233" s="87" t="s">
        <v>78</v>
      </c>
      <c r="U233" s="87" t="s">
        <v>88</v>
      </c>
      <c r="V233" s="57">
        <v>45967</v>
      </c>
      <c r="W233" s="57">
        <v>45967</v>
      </c>
      <c r="X233" s="87"/>
      <c r="Y233" s="87">
        <v>48.52</v>
      </c>
      <c r="Z233" s="87">
        <v>48.52</v>
      </c>
      <c r="AA233" s="87">
        <v>48.52</v>
      </c>
      <c r="AB233" s="87"/>
      <c r="AC233" s="87">
        <v>61.69</v>
      </c>
      <c r="AD233" s="87">
        <v>61.69</v>
      </c>
      <c r="AE233" s="65">
        <v>4.2324597102392225E-3</v>
      </c>
      <c r="AF233" s="87">
        <v>67.5</v>
      </c>
      <c r="AG233" s="87">
        <v>9.8811655542894394E-2</v>
      </c>
      <c r="AH233" s="87">
        <v>41.94</v>
      </c>
      <c r="AI233" s="90">
        <v>-0.31727169135601496</v>
      </c>
      <c r="AJ233" s="66">
        <v>0.26607584501236592</v>
      </c>
      <c r="AK233" s="90">
        <v>0.26607584501236592</v>
      </c>
      <c r="AL233" s="150">
        <v>61.58</v>
      </c>
      <c r="AM233" s="219">
        <v>0.26916735366859013</v>
      </c>
      <c r="AN233" s="48">
        <f t="shared" ca="1" si="0"/>
        <v>-0.26404676843130881</v>
      </c>
      <c r="AO233">
        <f>+'2026'!S276</f>
        <v>250</v>
      </c>
      <c r="AP233" s="5">
        <f t="shared" ca="1" si="6"/>
        <v>45.32</v>
      </c>
      <c r="AQ233" s="5">
        <f t="shared" ca="1" si="7"/>
        <v>11330</v>
      </c>
      <c r="AR233" s="75">
        <f t="shared" si="8"/>
        <v>61.58</v>
      </c>
      <c r="AS233" s="5">
        <f t="shared" si="9"/>
        <v>15395</v>
      </c>
      <c r="AT233" s="193">
        <f t="shared" ca="1" si="10"/>
        <v>-4065</v>
      </c>
      <c r="AU233" s="28">
        <f ca="1">+AT233/$AT$253</f>
        <v>-7.3195593571248121E-2</v>
      </c>
    </row>
    <row r="234" spans="1:47" x14ac:dyDescent="0.2">
      <c r="A234" s="329" t="e" vm="206">
        <v>#VALUE!</v>
      </c>
      <c r="B234" s="87" t="s">
        <v>331</v>
      </c>
      <c r="C234" s="233" cm="1">
        <f t="array" aca="1" ref="C234" ca="1">_FV(A234,"Change (%)",TRUE)</f>
        <v>5.6439999999999997E-3</v>
      </c>
      <c r="D234" s="87" cm="1">
        <f t="array" aca="1" ref="D234" ca="1">_FV(A234,"Price")</f>
        <v>128.28</v>
      </c>
      <c r="E234" s="65">
        <v>-1.5820253479567059E-3</v>
      </c>
      <c r="F234" s="65">
        <v>0.28253237278861953</v>
      </c>
      <c r="G234" s="65">
        <v>0.27694298165970599</v>
      </c>
      <c r="H234" s="65">
        <v>0.10322271006274764</v>
      </c>
      <c r="I234" s="87">
        <v>140.42000000000002</v>
      </c>
      <c r="J234" s="87">
        <v>142.65</v>
      </c>
      <c r="K234" s="87">
        <v>139.9101</v>
      </c>
      <c r="L234" s="87">
        <v>142.65</v>
      </c>
      <c r="M234" s="230">
        <v>128.38500000000002</v>
      </c>
      <c r="N234" s="231">
        <v>135.51750000000001</v>
      </c>
      <c r="O234" s="223">
        <v>88.07</v>
      </c>
      <c r="P234" s="223">
        <v>225</v>
      </c>
      <c r="Q234" s="232">
        <v>1</v>
      </c>
      <c r="R234" s="232">
        <v>1</v>
      </c>
      <c r="S234" s="87" t="s">
        <v>166</v>
      </c>
      <c r="T234" s="87" t="s">
        <v>78</v>
      </c>
      <c r="U234" s="87" t="s">
        <v>199</v>
      </c>
      <c r="V234" s="57">
        <v>45840</v>
      </c>
      <c r="W234" s="57">
        <v>45840</v>
      </c>
      <c r="X234" s="87"/>
      <c r="Y234" s="87">
        <v>110.26</v>
      </c>
      <c r="Z234" s="87">
        <v>109.66</v>
      </c>
      <c r="AA234" s="87">
        <v>110.14</v>
      </c>
      <c r="AB234" s="87">
        <v>0.48</v>
      </c>
      <c r="AC234" s="87">
        <v>140.42000000000002</v>
      </c>
      <c r="AD234" s="87">
        <v>140.9</v>
      </c>
      <c r="AE234" s="65">
        <v>-1.5820253479567059E-3</v>
      </c>
      <c r="AF234" s="87">
        <v>155.16</v>
      </c>
      <c r="AG234" s="87">
        <v>0.10322271006274764</v>
      </c>
      <c r="AH234" s="87">
        <v>94.94</v>
      </c>
      <c r="AI234" s="90">
        <v>-0.32495511669658894</v>
      </c>
      <c r="AJ234" s="66">
        <v>0.28253237278861953</v>
      </c>
      <c r="AK234" s="90">
        <v>0.27694298165970599</v>
      </c>
      <c r="AL234" s="150">
        <v>140.9</v>
      </c>
      <c r="AM234" s="219">
        <v>0.28488053985044703</v>
      </c>
      <c r="AN234" s="48">
        <f t="shared" ca="1" si="0"/>
        <v>-8.9567068843151243E-2</v>
      </c>
      <c r="AO234">
        <f>+'2026'!S277</f>
        <v>138</v>
      </c>
      <c r="AP234" s="5">
        <f t="shared" ca="1" si="6"/>
        <v>128.28</v>
      </c>
      <c r="AQ234" s="5">
        <f t="shared" ca="1" si="7"/>
        <v>17702.64</v>
      </c>
      <c r="AR234" s="75">
        <f t="shared" si="8"/>
        <v>140.9</v>
      </c>
      <c r="AS234" s="5">
        <f t="shared" si="9"/>
        <v>19444.2</v>
      </c>
      <c r="AT234" s="193">
        <f t="shared" ca="1" si="10"/>
        <v>-1741.5600000000013</v>
      </c>
      <c r="AU234" s="28">
        <f ca="1">+AT234/$AT$253</f>
        <v>-3.1359045003676013E-2</v>
      </c>
    </row>
    <row r="235" spans="1:47" x14ac:dyDescent="0.2">
      <c r="A235" s="329" t="e" vm="207">
        <v>#VALUE!</v>
      </c>
      <c r="B235" s="87" t="s">
        <v>367</v>
      </c>
      <c r="C235" s="233" cm="1">
        <f t="array" aca="1" ref="C235" ca="1">_FV(A235,"Change (%)",TRUE)</f>
        <v>-1.3431E-2</v>
      </c>
      <c r="D235" s="87" cm="1">
        <f t="array" aca="1" ref="D235" ca="1">_FV(A235,"Price")</f>
        <v>133.69</v>
      </c>
      <c r="E235" s="65">
        <v>1.3683400324979722E-3</v>
      </c>
      <c r="F235" s="65">
        <v>0.29922222222222228</v>
      </c>
      <c r="G235" s="65">
        <v>0.29922222222222228</v>
      </c>
      <c r="H235" s="65">
        <v>9.150773967330883E-3</v>
      </c>
      <c r="I235" s="87">
        <v>117.09</v>
      </c>
      <c r="J235" s="87">
        <v>118.75</v>
      </c>
      <c r="K235" s="87">
        <v>116.54</v>
      </c>
      <c r="L235" s="87">
        <v>118.75</v>
      </c>
      <c r="M235" s="230">
        <v>106.875</v>
      </c>
      <c r="N235" s="231">
        <v>112.8125</v>
      </c>
      <c r="O235" s="223">
        <v>76.010000000000005</v>
      </c>
      <c r="P235" s="223">
        <v>73</v>
      </c>
      <c r="Q235" s="232">
        <v>1</v>
      </c>
      <c r="R235" s="232">
        <v>1</v>
      </c>
      <c r="S235" s="87" t="s">
        <v>75</v>
      </c>
      <c r="T235" s="87" t="s">
        <v>78</v>
      </c>
      <c r="U235" s="87" t="s">
        <v>88</v>
      </c>
      <c r="V235" s="57">
        <v>45992</v>
      </c>
      <c r="W235" s="57">
        <v>45992</v>
      </c>
      <c r="X235" s="87" t="s">
        <v>297</v>
      </c>
      <c r="Y235" s="87">
        <v>90.07</v>
      </c>
      <c r="Z235" s="87">
        <v>90</v>
      </c>
      <c r="AA235" s="87">
        <v>90</v>
      </c>
      <c r="AB235" s="87"/>
      <c r="AC235" s="87">
        <v>117.09</v>
      </c>
      <c r="AD235" s="87">
        <v>117.09</v>
      </c>
      <c r="AE235" s="65">
        <v>1.3683400324979722E-3</v>
      </c>
      <c r="AF235" s="87">
        <v>118</v>
      </c>
      <c r="AG235" s="87">
        <v>9.150773967330883E-3</v>
      </c>
      <c r="AH235" s="87">
        <v>75.739999999999995</v>
      </c>
      <c r="AI235" s="90">
        <v>-0.3522620371162235</v>
      </c>
      <c r="AJ235" s="66">
        <v>0.29922222222222228</v>
      </c>
      <c r="AK235" s="90">
        <v>0.29922222222222228</v>
      </c>
      <c r="AL235" s="150">
        <v>117.09</v>
      </c>
      <c r="AM235" s="219">
        <v>0.30099999999999993</v>
      </c>
      <c r="AN235" s="48">
        <f t="shared" ca="1" si="0"/>
        <v>0.14177128704415409</v>
      </c>
      <c r="AO235">
        <f>+'2026'!S278</f>
        <v>130</v>
      </c>
      <c r="AP235" s="5">
        <f t="shared" ca="1" si="6"/>
        <v>133.69</v>
      </c>
      <c r="AQ235" s="5">
        <f t="shared" ca="1" si="7"/>
        <v>17379.7</v>
      </c>
      <c r="AR235" s="75">
        <f t="shared" si="8"/>
        <v>117.09</v>
      </c>
      <c r="AS235" s="5">
        <f t="shared" si="9"/>
        <v>15221.7</v>
      </c>
      <c r="AT235" s="193">
        <f t="shared" ca="1" si="10"/>
        <v>2158</v>
      </c>
      <c r="AU235" s="28">
        <f ca="1">+AT235/$AT$253</f>
        <v>3.8857586943850789E-2</v>
      </c>
    </row>
    <row r="236" spans="1:47" x14ac:dyDescent="0.2">
      <c r="A236" s="87" t="e" vm="104">
        <v>#VALUE!</v>
      </c>
      <c r="B236" s="87" t="s">
        <v>377</v>
      </c>
      <c r="C236" s="233" cm="1">
        <f t="array" aca="1" ref="C236" ca="1">_FV(A236,"Change (%)",TRUE)</f>
        <v>-4.9320000000000006E-3</v>
      </c>
      <c r="D236" s="87" cm="1">
        <f t="array" aca="1" ref="D236" ca="1">_FV(A236,"Price")</f>
        <v>80.7</v>
      </c>
      <c r="E236" s="65">
        <v>-0.33601462522851921</v>
      </c>
      <c r="F236" s="65">
        <v>0.70582120582120567</v>
      </c>
      <c r="G236" s="65">
        <v>0.70582120582120567</v>
      </c>
      <c r="H236" s="65">
        <v>-1.3284582571602699E-2</v>
      </c>
      <c r="I236" s="87">
        <v>54.48</v>
      </c>
      <c r="J236" s="87">
        <v>82.75</v>
      </c>
      <c r="K236" s="87">
        <v>77.900000000000006</v>
      </c>
      <c r="L236" s="87">
        <v>82.75</v>
      </c>
      <c r="M236" s="230">
        <v>74.475000000000009</v>
      </c>
      <c r="N236" s="231">
        <v>78.612499999999997</v>
      </c>
      <c r="O236" s="223">
        <v>45.52</v>
      </c>
      <c r="P236" s="223">
        <v>321</v>
      </c>
      <c r="Q236" s="232">
        <v>1</v>
      </c>
      <c r="R236" s="232">
        <v>1</v>
      </c>
      <c r="S236" s="87" t="s">
        <v>75</v>
      </c>
      <c r="T236" s="87" t="s">
        <v>78</v>
      </c>
      <c r="U236" s="87" t="s">
        <v>26</v>
      </c>
      <c r="V236" s="57">
        <v>45756</v>
      </c>
      <c r="W236" s="57">
        <v>45757</v>
      </c>
      <c r="X236" s="87"/>
      <c r="Y236" s="87">
        <v>48.1</v>
      </c>
      <c r="Z236" s="87">
        <v>48.1</v>
      </c>
      <c r="AA236" s="87">
        <v>48.1</v>
      </c>
      <c r="AB236" s="87"/>
      <c r="AC236" s="87">
        <v>54.48</v>
      </c>
      <c r="AD236" s="87">
        <v>54.48</v>
      </c>
      <c r="AE236" s="65">
        <v>-0.33601462522851921</v>
      </c>
      <c r="AF236" s="87">
        <v>80.959999999999994</v>
      </c>
      <c r="AG236" s="87">
        <v>-1.3284582571602699E-2</v>
      </c>
      <c r="AH236" s="87">
        <v>44.88</v>
      </c>
      <c r="AI236" s="90">
        <v>-0.45301645338208407</v>
      </c>
      <c r="AJ236" s="66">
        <v>0.70582120582120567</v>
      </c>
      <c r="AK236" s="90">
        <v>0.70582120582120567</v>
      </c>
      <c r="AL236" s="150">
        <v>79.900000000000006</v>
      </c>
      <c r="AM236" s="219">
        <v>0.66112266112266127</v>
      </c>
      <c r="AN236" s="48">
        <f t="shared" ca="1" si="0"/>
        <v>1.0012515644555631E-2</v>
      </c>
      <c r="AO236">
        <f>+'2026'!S279</f>
        <v>125</v>
      </c>
      <c r="AP236" s="5">
        <f t="shared" ca="1" si="6"/>
        <v>80.7</v>
      </c>
      <c r="AQ236" s="5">
        <f t="shared" ca="1" si="7"/>
        <v>10087.5</v>
      </c>
      <c r="AR236" s="75">
        <f t="shared" si="8"/>
        <v>79.900000000000006</v>
      </c>
      <c r="AS236" s="5">
        <f t="shared" si="9"/>
        <v>9987.5</v>
      </c>
      <c r="AT236" s="193">
        <f t="shared" ca="1" si="10"/>
        <v>100</v>
      </c>
      <c r="AU236" s="28">
        <f ca="1">+AT236/$AT$253</f>
        <v>1.8006296081487854E-3</v>
      </c>
    </row>
    <row r="237" spans="1:47" x14ac:dyDescent="0.2">
      <c r="A237" s="87" t="e" vm="4">
        <v>#VALUE!</v>
      </c>
      <c r="B237" s="87" t="s">
        <v>378</v>
      </c>
      <c r="C237" s="233" cm="1">
        <f t="array" aca="1" ref="C237" ca="1">_FV(A237,"Change (%)",TRUE)</f>
        <v>2.1079000000000001E-2</v>
      </c>
      <c r="D237" s="87" cm="1">
        <f t="array" aca="1" ref="D237" ca="1">_FV(A237,"Price")</f>
        <v>242.2</v>
      </c>
      <c r="E237" s="65">
        <v>-0.38382678764539868</v>
      </c>
      <c r="F237" s="65">
        <v>0.91219285846681109</v>
      </c>
      <c r="G237" s="65">
        <v>0.83633633633633653</v>
      </c>
      <c r="H237" s="65">
        <v>-0.14746524938675387</v>
      </c>
      <c r="I237" s="87">
        <v>150.71596774193549</v>
      </c>
      <c r="J237" s="87">
        <v>244.8</v>
      </c>
      <c r="K237" s="87">
        <v>222.4</v>
      </c>
      <c r="L237" s="87">
        <v>244.8</v>
      </c>
      <c r="M237" s="230">
        <v>220.32000000000002</v>
      </c>
      <c r="N237" s="231">
        <v>232.56</v>
      </c>
      <c r="O237" s="223">
        <v>103.2</v>
      </c>
      <c r="P237" s="223">
        <v>284</v>
      </c>
      <c r="Q237" s="232">
        <v>1</v>
      </c>
      <c r="R237" s="232">
        <v>1</v>
      </c>
      <c r="S237" s="87" t="s">
        <v>206</v>
      </c>
      <c r="T237" s="87" t="s">
        <v>78</v>
      </c>
      <c r="U237" s="87" t="s">
        <v>26</v>
      </c>
      <c r="V237" s="57">
        <v>45796</v>
      </c>
      <c r="W237" s="57">
        <v>45796</v>
      </c>
      <c r="X237" s="87"/>
      <c r="Y237" s="87">
        <v>133.9</v>
      </c>
      <c r="Z237" s="87">
        <v>127.91596774193548</v>
      </c>
      <c r="AA237" s="87">
        <v>133.19999999999999</v>
      </c>
      <c r="AB237" s="87">
        <v>5.2840322580645163</v>
      </c>
      <c r="AC237" s="87">
        <v>150.71596774193549</v>
      </c>
      <c r="AD237" s="87">
        <v>156</v>
      </c>
      <c r="AE237" s="65">
        <v>-0.38382678764539868</v>
      </c>
      <c r="AF237" s="87">
        <v>208.53</v>
      </c>
      <c r="AG237" s="87">
        <v>-0.14746524938675387</v>
      </c>
      <c r="AH237" s="87">
        <v>97.715967741935486</v>
      </c>
      <c r="AI237" s="90">
        <v>-0.60050708200353431</v>
      </c>
      <c r="AJ237" s="66">
        <v>0.91219285846681109</v>
      </c>
      <c r="AK237" s="90">
        <v>0.83633633633633653</v>
      </c>
      <c r="AL237" s="150">
        <v>249</v>
      </c>
      <c r="AM237" s="219">
        <v>0.94659044054879793</v>
      </c>
      <c r="AN237" s="48">
        <f t="shared" ca="1" si="0"/>
        <v>-2.7309236947791193E-2</v>
      </c>
      <c r="AO237">
        <f>+'2026'!S280</f>
        <v>62</v>
      </c>
      <c r="AP237" s="5">
        <f t="shared" ref="AP237:AP249" ca="1" si="11">+D237</f>
        <v>242.2</v>
      </c>
      <c r="AQ237" s="5">
        <f t="shared" ref="AQ237:AQ249" ca="1" si="12">+AO237*AP237</f>
        <v>15016.4</v>
      </c>
      <c r="AR237" s="75">
        <f t="shared" ref="AR237:AR249" si="13">+AL237</f>
        <v>249</v>
      </c>
      <c r="AS237" s="5">
        <f t="shared" ref="AS237:AS249" si="14">+AO237*AR237</f>
        <v>15438</v>
      </c>
      <c r="AT237" s="193">
        <f t="shared" ref="AT237:AT249" ca="1" si="15">+AQ237-AS237</f>
        <v>-421.60000000000036</v>
      </c>
      <c r="AU237" s="28">
        <f ca="1">+AT237/$AT$253</f>
        <v>-7.5914544279552859E-3</v>
      </c>
    </row>
    <row r="238" spans="1:47" x14ac:dyDescent="0.2">
      <c r="A238" s="329" t="e" vm="208">
        <v>#VALUE!</v>
      </c>
      <c r="B238" s="87" t="s">
        <v>379</v>
      </c>
      <c r="C238" s="233" cm="1">
        <f t="array" aca="1" ref="C238" ca="1">_FV(A238,"Change (%)",TRUE)</f>
        <v>-1.5841000000000001E-2</v>
      </c>
      <c r="D238" s="87" cm="1">
        <f t="array" aca="1" ref="D238" ca="1">_FV(A238,"Price")</f>
        <v>57.78</v>
      </c>
      <c r="E238" s="65">
        <v>-1.0952114477576158E-2</v>
      </c>
      <c r="F238" s="65">
        <v>0.34998920785668042</v>
      </c>
      <c r="G238" s="65">
        <v>0.32961309523809534</v>
      </c>
      <c r="H238" s="65">
        <v>9.9208569829722482E-2</v>
      </c>
      <c r="I238" s="87">
        <v>61.86</v>
      </c>
      <c r="J238" s="87">
        <v>62.545000000000002</v>
      </c>
      <c r="K238" s="87">
        <v>61.18</v>
      </c>
      <c r="L238" s="87">
        <v>63.33</v>
      </c>
      <c r="M238" s="230">
        <v>56.997</v>
      </c>
      <c r="N238" s="231">
        <v>60.163499999999999</v>
      </c>
      <c r="O238" s="223">
        <v>42.52</v>
      </c>
      <c r="P238" s="223">
        <v>109</v>
      </c>
      <c r="Q238" s="232">
        <v>1</v>
      </c>
      <c r="R238" s="232">
        <v>1</v>
      </c>
      <c r="S238" s="87" t="s">
        <v>75</v>
      </c>
      <c r="T238" s="87" t="s">
        <v>78</v>
      </c>
      <c r="U238" s="87" t="s">
        <v>88</v>
      </c>
      <c r="V238" s="57">
        <v>45971</v>
      </c>
      <c r="W238" s="57">
        <v>45971</v>
      </c>
      <c r="X238" s="87" t="s">
        <v>289</v>
      </c>
      <c r="Y238" s="87">
        <v>47.04</v>
      </c>
      <c r="Z238" s="87">
        <v>46.33</v>
      </c>
      <c r="AA238" s="87">
        <v>47.04</v>
      </c>
      <c r="AB238" s="87">
        <v>0.71</v>
      </c>
      <c r="AC238" s="87">
        <v>61.86</v>
      </c>
      <c r="AD238" s="87">
        <v>62.57</v>
      </c>
      <c r="AE238" s="65">
        <v>-1.0952114477576158E-2</v>
      </c>
      <c r="AF238" s="87">
        <v>68.75</v>
      </c>
      <c r="AG238" s="87">
        <v>9.9208569829722482E-2</v>
      </c>
      <c r="AH238" s="87">
        <v>41.269999999999996</v>
      </c>
      <c r="AI238" s="90">
        <v>-0.34015508833639785</v>
      </c>
      <c r="AJ238" s="66">
        <v>0.34998920785668042</v>
      </c>
      <c r="AK238" s="90">
        <v>0.32961309523809534</v>
      </c>
      <c r="AL238" s="150">
        <v>62.57</v>
      </c>
      <c r="AM238" s="219">
        <v>0.35052881502266353</v>
      </c>
      <c r="AN238" s="48">
        <f t="shared" ca="1" si="0"/>
        <v>-7.6554259229662747E-2</v>
      </c>
      <c r="AO238">
        <f>+'2026'!S281</f>
        <v>300</v>
      </c>
      <c r="AP238" s="5">
        <f t="shared" ca="1" si="11"/>
        <v>57.78</v>
      </c>
      <c r="AQ238" s="5">
        <f t="shared" ca="1" si="12"/>
        <v>17334</v>
      </c>
      <c r="AR238" s="75">
        <f t="shared" si="13"/>
        <v>62.57</v>
      </c>
      <c r="AS238" s="5">
        <f t="shared" si="14"/>
        <v>18771</v>
      </c>
      <c r="AT238" s="193">
        <f t="shared" ca="1" si="15"/>
        <v>-1437</v>
      </c>
      <c r="AU238" s="28">
        <f ca="1">+AT238/$AT$253</f>
        <v>-2.5875047469098047E-2</v>
      </c>
    </row>
    <row r="239" spans="1:47" x14ac:dyDescent="0.2">
      <c r="A239" s="87" t="e" vm="209">
        <v>#VALUE!</v>
      </c>
      <c r="B239" s="87" t="s">
        <v>386</v>
      </c>
      <c r="C239" s="233" cm="1">
        <f t="array" aca="1" ref="C239" ca="1">_FV(A239,"Change (%)",TRUE)</f>
        <v>2.3969999999999998E-3</v>
      </c>
      <c r="D239" s="87" cm="1">
        <f t="array" aca="1" ref="D239" ca="1">_FV(A239,"Price")</f>
        <v>23.004999999999999</v>
      </c>
      <c r="E239" s="65">
        <v>-0.26239419588875457</v>
      </c>
      <c r="F239" s="65">
        <v>0.55685240963855431</v>
      </c>
      <c r="G239" s="65">
        <v>0.37558216899534269</v>
      </c>
      <c r="H239" s="65">
        <v>-7.4969770253930923E-3</v>
      </c>
      <c r="I239" s="87">
        <v>15.25</v>
      </c>
      <c r="J239" s="87">
        <v>20.774999999999999</v>
      </c>
      <c r="K239" s="87">
        <v>20.46</v>
      </c>
      <c r="L239" s="87">
        <v>20.774999999999999</v>
      </c>
      <c r="M239" s="230">
        <v>18.697499999999998</v>
      </c>
      <c r="N239" s="231">
        <v>19.736249999999998</v>
      </c>
      <c r="O239" s="223">
        <v>11.01</v>
      </c>
      <c r="P239" s="223">
        <v>705</v>
      </c>
      <c r="Q239" s="232">
        <v>1</v>
      </c>
      <c r="R239" s="232">
        <v>1</v>
      </c>
      <c r="S239" s="87" t="s">
        <v>75</v>
      </c>
      <c r="T239" s="87" t="s">
        <v>77</v>
      </c>
      <c r="U239" s="87" t="s">
        <v>26</v>
      </c>
      <c r="V239" s="57">
        <v>45385</v>
      </c>
      <c r="W239" s="57">
        <v>45385</v>
      </c>
      <c r="X239" s="87"/>
      <c r="Y239" s="87">
        <v>15.03</v>
      </c>
      <c r="Z239" s="87">
        <v>13.28</v>
      </c>
      <c r="AA239" s="87">
        <v>15.03</v>
      </c>
      <c r="AB239" s="87">
        <v>1.75</v>
      </c>
      <c r="AC239" s="87">
        <v>15.25</v>
      </c>
      <c r="AD239" s="87">
        <v>17</v>
      </c>
      <c r="AE239" s="65">
        <v>-0.26239419588875457</v>
      </c>
      <c r="AF239" s="87">
        <v>20.52</v>
      </c>
      <c r="AG239" s="87">
        <v>-7.4969770253930923E-3</v>
      </c>
      <c r="AH239" s="87">
        <v>5.0940000000000003</v>
      </c>
      <c r="AI239" s="90">
        <v>-0.75361547762998793</v>
      </c>
      <c r="AJ239" s="66">
        <v>0.55685240963855431</v>
      </c>
      <c r="AK239" s="90">
        <v>0.37558216899534269</v>
      </c>
      <c r="AL239" s="150">
        <v>20.7</v>
      </c>
      <c r="AM239" s="219">
        <v>0.55873493975903621</v>
      </c>
      <c r="AN239" s="48">
        <f t="shared" ca="1" si="0"/>
        <v>0.11135265700483088</v>
      </c>
      <c r="AO239">
        <f>+'2026'!S289</f>
        <v>753</v>
      </c>
      <c r="AP239" s="5">
        <f t="shared" ca="1" si="11"/>
        <v>23.004999999999999</v>
      </c>
      <c r="AQ239" s="5">
        <f t="shared" ca="1" si="12"/>
        <v>17322.764999999999</v>
      </c>
      <c r="AR239" s="75">
        <f t="shared" si="13"/>
        <v>20.7</v>
      </c>
      <c r="AS239" s="5">
        <f t="shared" si="14"/>
        <v>15587.1</v>
      </c>
      <c r="AT239" s="193">
        <f t="shared" ca="1" si="15"/>
        <v>1735.6649999999991</v>
      </c>
      <c r="AU239" s="28">
        <f ca="1">+AT239/$AT$253</f>
        <v>3.1252897888275601E-2</v>
      </c>
    </row>
    <row r="240" spans="1:47" x14ac:dyDescent="0.2">
      <c r="A240" s="87" t="e" vm="210">
        <v>#VALUE!</v>
      </c>
      <c r="B240" s="87" t="s">
        <v>399</v>
      </c>
      <c r="C240" s="233" cm="1">
        <f t="array" aca="1" ref="C240" ca="1">_FV(A240,"Change (%)",TRUE)</f>
        <v>2.1156999999999999E-2</v>
      </c>
      <c r="D240" s="87" cm="1">
        <f t="array" aca="1" ref="D240" ca="1">_FV(A240,"Price")</f>
        <v>7.24</v>
      </c>
      <c r="E240" s="65">
        <v>-3.8381018841591064E-2</v>
      </c>
      <c r="F240" s="65">
        <v>0.30987202925045709</v>
      </c>
      <c r="G240" s="65">
        <v>0.30987202925045709</v>
      </c>
      <c r="H240" s="65">
        <v>0.25610607117934392</v>
      </c>
      <c r="I240" s="87">
        <v>6.89</v>
      </c>
      <c r="J240" s="87">
        <v>7.4</v>
      </c>
      <c r="K240" s="87">
        <v>6.95</v>
      </c>
      <c r="L240" s="87">
        <v>12.12</v>
      </c>
      <c r="M240" s="230">
        <v>10.907999999999999</v>
      </c>
      <c r="N240" s="231">
        <v>11.513999999999999</v>
      </c>
      <c r="O240" s="223">
        <v>4.75</v>
      </c>
      <c r="P240" s="223">
        <v>27</v>
      </c>
      <c r="Q240" s="232">
        <v>0</v>
      </c>
      <c r="R240" s="232">
        <v>0</v>
      </c>
      <c r="S240" s="87" t="s">
        <v>76</v>
      </c>
      <c r="T240" s="87" t="s">
        <v>78</v>
      </c>
      <c r="U240" s="87" t="s">
        <v>199</v>
      </c>
      <c r="V240" s="57">
        <v>46073</v>
      </c>
      <c r="W240" s="57">
        <v>46073</v>
      </c>
      <c r="X240" s="87"/>
      <c r="Y240" s="87">
        <v>5.61</v>
      </c>
      <c r="Z240" s="87">
        <v>5.47</v>
      </c>
      <c r="AA240" s="87">
        <v>5.47</v>
      </c>
      <c r="AB240" s="87"/>
      <c r="AC240" s="87">
        <v>6.89</v>
      </c>
      <c r="AD240" s="87">
        <v>6.89</v>
      </c>
      <c r="AE240" s="65">
        <v>-3.8381018841591064E-2</v>
      </c>
      <c r="AF240" s="87">
        <v>9</v>
      </c>
      <c r="AG240" s="87">
        <v>0.25610607117934392</v>
      </c>
      <c r="AH240" s="87">
        <v>4.96</v>
      </c>
      <c r="AI240" s="90">
        <v>-0.30774598743893933</v>
      </c>
      <c r="AJ240" s="66">
        <v>0.30987202925045709</v>
      </c>
      <c r="AK240" s="90">
        <v>0.30987202925045709</v>
      </c>
      <c r="AL240" s="150">
        <v>7.46</v>
      </c>
      <c r="AM240" s="219">
        <v>0.36380255941499096</v>
      </c>
      <c r="AN240" s="48">
        <f t="shared" ca="1" si="0"/>
        <v>-2.9490616621983934E-2</v>
      </c>
      <c r="AO240">
        <f>+'2026'!S290</f>
        <v>1475</v>
      </c>
      <c r="AP240" s="5">
        <f t="shared" ca="1" si="11"/>
        <v>7.24</v>
      </c>
      <c r="AQ240" s="5">
        <f t="shared" ca="1" si="12"/>
        <v>10679</v>
      </c>
      <c r="AR240" s="75">
        <f t="shared" si="13"/>
        <v>7.46</v>
      </c>
      <c r="AS240" s="5">
        <f t="shared" si="14"/>
        <v>11003.5</v>
      </c>
      <c r="AT240" s="193">
        <f t="shared" ca="1" si="15"/>
        <v>-324.5</v>
      </c>
      <c r="AU240" s="28">
        <f ca="1">+AT240/$AT$253</f>
        <v>-5.8430430784428087E-3</v>
      </c>
    </row>
    <row r="241" spans="1:47" x14ac:dyDescent="0.2">
      <c r="A241" s="329" t="e" vm="211">
        <v>#VALUE!</v>
      </c>
      <c r="B241" s="87" t="s">
        <v>401</v>
      </c>
      <c r="C241" s="233" cm="1">
        <f t="array" aca="1" ref="C241" ca="1">_FV(A241,"Change (%)",TRUE)</f>
        <v>-3.8469000000000003E-2</v>
      </c>
      <c r="D241" s="87" cm="1">
        <f t="array" aca="1" ref="D241" ca="1">_FV(A241,"Price")</f>
        <v>49.74</v>
      </c>
      <c r="E241" s="65">
        <v>0.35177390258568852</v>
      </c>
      <c r="F241" s="65">
        <v>0.11873528422468871</v>
      </c>
      <c r="G241" s="65">
        <v>0.11873528422468871</v>
      </c>
      <c r="H241" s="65">
        <v>7.2158749248347753E-3</v>
      </c>
      <c r="I241" s="87">
        <v>44.96</v>
      </c>
      <c r="J241" s="87">
        <v>33.31</v>
      </c>
      <c r="K241" s="87">
        <v>31.53</v>
      </c>
      <c r="L241" s="87">
        <v>35.770000000000003</v>
      </c>
      <c r="M241" s="230">
        <v>32.193000000000005</v>
      </c>
      <c r="N241" s="231">
        <v>33.981500000000004</v>
      </c>
      <c r="O241" s="223">
        <v>16.920000000000002</v>
      </c>
      <c r="P241" s="223">
        <v>461</v>
      </c>
      <c r="Q241" s="232">
        <v>1</v>
      </c>
      <c r="R241" s="232">
        <v>0</v>
      </c>
      <c r="S241" s="87" t="s">
        <v>76</v>
      </c>
      <c r="T241" s="87" t="s">
        <v>78</v>
      </c>
      <c r="U241" s="87" t="s">
        <v>88</v>
      </c>
      <c r="V241" s="57">
        <v>45644</v>
      </c>
      <c r="W241" s="57">
        <v>45644</v>
      </c>
      <c r="X241" s="87" t="s">
        <v>11</v>
      </c>
      <c r="Y241" s="87" t="s">
        <v>11</v>
      </c>
      <c r="Z241" s="87">
        <v>29.73</v>
      </c>
      <c r="AA241" s="87">
        <v>29.73</v>
      </c>
      <c r="AB241" s="87"/>
      <c r="AC241" s="87">
        <v>44.96</v>
      </c>
      <c r="AD241" s="87">
        <v>44.96</v>
      </c>
      <c r="AE241" s="65">
        <v>0.35177390258568852</v>
      </c>
      <c r="AF241" s="87">
        <v>33.5</v>
      </c>
      <c r="AG241" s="87">
        <v>7.2158749248347753E-3</v>
      </c>
      <c r="AH241" s="87">
        <v>26.69</v>
      </c>
      <c r="AI241" s="90">
        <v>-0.19753457606734803</v>
      </c>
      <c r="AJ241" s="66">
        <v>0.11873528422468871</v>
      </c>
      <c r="AK241" s="90">
        <v>0.11873528422468871</v>
      </c>
      <c r="AL241" s="150">
        <v>33.1</v>
      </c>
      <c r="AM241" s="219">
        <v>0.1133535149680458</v>
      </c>
      <c r="AN241" s="48">
        <f t="shared" ca="1" si="0"/>
        <v>0.50271903323262834</v>
      </c>
      <c r="AO241">
        <f>+'2026'!S291</f>
        <v>85</v>
      </c>
      <c r="AP241" s="5">
        <f t="shared" ca="1" si="11"/>
        <v>49.74</v>
      </c>
      <c r="AQ241" s="5">
        <f t="shared" ca="1" si="12"/>
        <v>4227.9000000000005</v>
      </c>
      <c r="AR241" s="75">
        <f t="shared" si="13"/>
        <v>33.1</v>
      </c>
      <c r="AS241" s="5">
        <f t="shared" si="14"/>
        <v>2813.5</v>
      </c>
      <c r="AT241" s="193">
        <f t="shared" ca="1" si="15"/>
        <v>1414.4000000000005</v>
      </c>
      <c r="AU241" s="28">
        <f ca="1">+AT241/$AT$253</f>
        <v>2.5468105177656429E-2</v>
      </c>
    </row>
    <row r="242" spans="1:47" x14ac:dyDescent="0.2">
      <c r="A242" s="87" t="e" vm="140">
        <v>#VALUE!</v>
      </c>
      <c r="B242" s="87" t="s">
        <v>416</v>
      </c>
      <c r="C242" s="233" cm="1">
        <f t="array" aca="1" ref="C242" ca="1">_FV(A242,"Change (%)",TRUE)</f>
        <v>1.5797000000000002E-2</v>
      </c>
      <c r="D242" s="87" cm="1">
        <f t="array" aca="1" ref="D242" ca="1">_FV(A242,"Price")</f>
        <v>21.22</v>
      </c>
      <c r="E242" s="65">
        <v>-0.78644416975690157</v>
      </c>
      <c r="F242" s="65">
        <v>21.703461178671638</v>
      </c>
      <c r="G242" s="65">
        <v>1.5318172334654703</v>
      </c>
      <c r="H242" s="65">
        <v>-0.13061392665842597</v>
      </c>
      <c r="I242" s="87">
        <v>5.1829999999999998</v>
      </c>
      <c r="J242" s="87">
        <v>24.35</v>
      </c>
      <c r="K242" s="87">
        <v>23.88</v>
      </c>
      <c r="L242" s="87">
        <v>24.9</v>
      </c>
      <c r="M242" s="230">
        <v>22.41</v>
      </c>
      <c r="N242" s="231">
        <v>23.654999999999998</v>
      </c>
      <c r="O242" s="223">
        <v>9.4139999999999997</v>
      </c>
      <c r="P242" s="223">
        <v>3407</v>
      </c>
      <c r="Q242" s="232">
        <v>1</v>
      </c>
      <c r="R242" s="232">
        <v>1</v>
      </c>
      <c r="S242" s="87" t="s">
        <v>75</v>
      </c>
      <c r="T242" s="87" t="s">
        <v>136</v>
      </c>
      <c r="U242" s="87" t="s">
        <v>72</v>
      </c>
      <c r="V242" s="57">
        <v>42705</v>
      </c>
      <c r="W242" s="57">
        <v>42705</v>
      </c>
      <c r="X242" s="87" t="s">
        <v>11</v>
      </c>
      <c r="Y242" s="87" t="s">
        <v>11</v>
      </c>
      <c r="Z242" s="87">
        <v>1.0690000000000008</v>
      </c>
      <c r="AA242" s="87">
        <v>9.5860000000000003</v>
      </c>
      <c r="AB242" s="87">
        <v>8.5169999999999995</v>
      </c>
      <c r="AC242" s="87">
        <v>5.1829999999999998</v>
      </c>
      <c r="AD242" s="87">
        <v>13.7</v>
      </c>
      <c r="AE242" s="65">
        <v>-0.78644416975690157</v>
      </c>
      <c r="AF242" s="87">
        <v>21.1</v>
      </c>
      <c r="AG242" s="87">
        <v>-0.13061392665842597</v>
      </c>
      <c r="AH242" s="87" t="s">
        <v>11</v>
      </c>
      <c r="AI242" s="90" t="e">
        <v>#VALUE!</v>
      </c>
      <c r="AJ242" s="66">
        <v>21.703461178671638</v>
      </c>
      <c r="AK242" s="90">
        <v>1.5318172334654703</v>
      </c>
      <c r="AL242" s="150">
        <v>24.3</v>
      </c>
      <c r="AM242" s="219">
        <v>21.731524789522901</v>
      </c>
      <c r="AN242" s="48">
        <f t="shared" ca="1" si="0"/>
        <v>-0.12674897119341566</v>
      </c>
      <c r="AO242">
        <f>+'2026'!S292</f>
        <v>474</v>
      </c>
      <c r="AP242" s="5">
        <f t="shared" ca="1" si="11"/>
        <v>21.22</v>
      </c>
      <c r="AQ242" s="5">
        <f t="shared" ca="1" si="12"/>
        <v>10058.279999999999</v>
      </c>
      <c r="AR242" s="75">
        <f t="shared" si="13"/>
        <v>24.3</v>
      </c>
      <c r="AS242" s="5">
        <f t="shared" si="14"/>
        <v>11518.2</v>
      </c>
      <c r="AT242" s="193">
        <f t="shared" ca="1" si="15"/>
        <v>-1459.9200000000019</v>
      </c>
      <c r="AU242" s="28">
        <f ca="1">+AT242/$AT$253</f>
        <v>-2.6287751775285782E-2</v>
      </c>
    </row>
    <row r="243" spans="1:47" x14ac:dyDescent="0.2">
      <c r="A243" s="329" t="e" vm="212">
        <v>#VALUE!</v>
      </c>
      <c r="B243" s="87" t="s">
        <v>421</v>
      </c>
      <c r="C243" s="233" cm="1">
        <f t="array" aca="1" ref="C243" ca="1">_FV(A243,"Change (%)",TRUE)</f>
        <v>2.4430000000000003E-4</v>
      </c>
      <c r="D243" s="87" cm="1">
        <f t="array" aca="1" ref="D243" ca="1">_FV(A243,"Price")</f>
        <v>40.950000000000003</v>
      </c>
      <c r="E243" s="65">
        <v>-0.3785732040765597</v>
      </c>
      <c r="F243" s="65">
        <v>1.0216080402010048</v>
      </c>
      <c r="G243" s="65">
        <v>1.0216080402010048</v>
      </c>
      <c r="H243" s="65">
        <v>1.7641063882674626</v>
      </c>
      <c r="I243" s="87">
        <v>25</v>
      </c>
      <c r="J243" s="87">
        <v>40.450000000000003</v>
      </c>
      <c r="K243" s="87">
        <v>40.22</v>
      </c>
      <c r="L243" s="87">
        <v>40.450000000000003</v>
      </c>
      <c r="M243" s="230">
        <v>36.405000000000001</v>
      </c>
      <c r="N243" s="231">
        <v>38.427500000000002</v>
      </c>
      <c r="O243" s="223">
        <v>16.100000000000001</v>
      </c>
      <c r="P243" s="223">
        <v>251</v>
      </c>
      <c r="Q243" s="232">
        <v>1</v>
      </c>
      <c r="R243" s="232">
        <v>1</v>
      </c>
      <c r="S243" s="87" t="s">
        <v>76</v>
      </c>
      <c r="T243" s="87" t="s">
        <v>78</v>
      </c>
      <c r="U243" s="87" t="s">
        <v>88</v>
      </c>
      <c r="V243" s="57">
        <v>45862</v>
      </c>
      <c r="W243" s="57">
        <v>45862</v>
      </c>
      <c r="X243" s="87" t="s">
        <v>11</v>
      </c>
      <c r="Y243" s="87" t="s">
        <v>11</v>
      </c>
      <c r="Z243" s="87">
        <v>19.899999999999999</v>
      </c>
      <c r="AA243" s="87">
        <v>19.899999999999999</v>
      </c>
      <c r="AB243" s="87"/>
      <c r="AC243" s="87">
        <v>25</v>
      </c>
      <c r="AD243" s="87">
        <v>25</v>
      </c>
      <c r="AE243" s="65">
        <v>-0.3785732040765597</v>
      </c>
      <c r="AF243" s="87">
        <v>111.2</v>
      </c>
      <c r="AG243" s="87">
        <v>1.7641063882674626</v>
      </c>
      <c r="AH243" s="87">
        <v>77</v>
      </c>
      <c r="AI243" s="90">
        <v>0.91399453144419596</v>
      </c>
      <c r="AJ243" s="66">
        <v>1.0216080402010048</v>
      </c>
      <c r="AK243" s="90">
        <v>1.0216080402010048</v>
      </c>
      <c r="AL243" s="150">
        <v>40.299999999999997</v>
      </c>
      <c r="AM243" s="219" t="s">
        <v>422</v>
      </c>
      <c r="AN243" s="48">
        <f t="shared" ca="1" si="0"/>
        <v>1.6129032258064724E-2</v>
      </c>
      <c r="AO243">
        <f>+'2026'!S293</f>
        <v>105</v>
      </c>
      <c r="AP243" s="5">
        <f t="shared" ca="1" si="11"/>
        <v>40.950000000000003</v>
      </c>
      <c r="AQ243" s="5">
        <f t="shared" ca="1" si="12"/>
        <v>4299.75</v>
      </c>
      <c r="AR243" s="75">
        <f t="shared" si="13"/>
        <v>40.299999999999997</v>
      </c>
      <c r="AS243" s="5">
        <f t="shared" si="14"/>
        <v>4231.5</v>
      </c>
      <c r="AT243" s="193">
        <f t="shared" ca="1" si="15"/>
        <v>68.25</v>
      </c>
      <c r="AU243" s="28">
        <f ca="1">+AT243/$AT$253</f>
        <v>1.2289297075615459E-3</v>
      </c>
    </row>
    <row r="244" spans="1:47" x14ac:dyDescent="0.2">
      <c r="A244" s="87" t="e" vm="213">
        <v>#VALUE!</v>
      </c>
      <c r="B244" s="87" t="s">
        <v>408</v>
      </c>
      <c r="C244" s="233" cm="1">
        <f t="array" aca="1" ref="C244" ca="1">_FV(A244,"Change (%)",TRUE)</f>
        <v>-2.2827E-2</v>
      </c>
      <c r="D244" s="87" cm="1">
        <f t="array" aca="1" ref="D244" ca="1">_FV(A244,"Price")</f>
        <v>42.38</v>
      </c>
      <c r="E244" s="65">
        <v>-1.2217923920051499E-3</v>
      </c>
      <c r="F244" s="65">
        <v>0.24893808053275146</v>
      </c>
      <c r="G244" s="65">
        <v>0.22150029533372706</v>
      </c>
      <c r="H244" s="65">
        <v>-5.7704706640876791E-2</v>
      </c>
      <c r="I244" s="87">
        <v>30.982099999999999</v>
      </c>
      <c r="J244" s="87">
        <v>31.045000000000002</v>
      </c>
      <c r="K244" s="87">
        <v>29.855</v>
      </c>
      <c r="L244" s="87">
        <v>31.045000000000002</v>
      </c>
      <c r="M244" s="230">
        <v>27.940500000000004</v>
      </c>
      <c r="N244" s="231">
        <v>29.492750000000001</v>
      </c>
      <c r="O244" s="223">
        <v>15.5</v>
      </c>
      <c r="P244" s="223">
        <v>455</v>
      </c>
      <c r="Q244" s="232">
        <v>1</v>
      </c>
      <c r="R244" s="232">
        <v>1</v>
      </c>
      <c r="S244" s="87" t="s">
        <v>75</v>
      </c>
      <c r="T244" s="87" t="s">
        <v>78</v>
      </c>
      <c r="U244" s="87" t="s">
        <v>26</v>
      </c>
      <c r="V244" s="57">
        <v>45664</v>
      </c>
      <c r="W244" s="57">
        <v>45664</v>
      </c>
      <c r="X244" s="87" t="s">
        <v>11</v>
      </c>
      <c r="Y244" s="87">
        <v>25.5</v>
      </c>
      <c r="Z244" s="87">
        <v>24.8371</v>
      </c>
      <c r="AA244" s="87">
        <v>25.395</v>
      </c>
      <c r="AB244" s="87">
        <v>0.55789999999999995</v>
      </c>
      <c r="AC244" s="87">
        <v>30.982099999999999</v>
      </c>
      <c r="AD244" s="87">
        <v>31.54</v>
      </c>
      <c r="AE244" s="65">
        <v>-1.2217923920051499E-3</v>
      </c>
      <c r="AF244" s="87">
        <v>29.23</v>
      </c>
      <c r="AG244" s="87">
        <v>-5.7704706640876791E-2</v>
      </c>
      <c r="AH244" s="87">
        <v>21.9221</v>
      </c>
      <c r="AI244" s="90">
        <v>-0.29329142488716953</v>
      </c>
      <c r="AJ244" s="66">
        <v>0.24893808053275146</v>
      </c>
      <c r="AK244" s="90">
        <v>0.22150029533372706</v>
      </c>
      <c r="AL244" s="150">
        <v>31.04</v>
      </c>
      <c r="AM244" s="219">
        <v>0.24974332752213413</v>
      </c>
      <c r="AN244" s="48">
        <f t="shared" ca="1" si="0"/>
        <v>0.36533505154639179</v>
      </c>
      <c r="AO244">
        <f>+'2026'!S299</f>
        <v>400</v>
      </c>
      <c r="AP244" s="5">
        <f t="shared" ca="1" si="11"/>
        <v>42.38</v>
      </c>
      <c r="AQ244" s="5">
        <f t="shared" ca="1" si="12"/>
        <v>16952</v>
      </c>
      <c r="AR244" s="75">
        <f t="shared" si="13"/>
        <v>31.04</v>
      </c>
      <c r="AS244" s="5">
        <f t="shared" si="14"/>
        <v>12416</v>
      </c>
      <c r="AT244" s="193">
        <f t="shared" ca="1" si="15"/>
        <v>4536</v>
      </c>
      <c r="AU244" s="28">
        <f ca="1">+AT244/$AT$253</f>
        <v>8.1676559025628911E-2</v>
      </c>
    </row>
    <row r="245" spans="1:47" x14ac:dyDescent="0.2">
      <c r="A245" s="329" t="e" vm="214">
        <v>#VALUE!</v>
      </c>
      <c r="B245" s="87" t="s">
        <v>427</v>
      </c>
      <c r="C245" s="233" cm="1">
        <f t="array" aca="1" ref="C245" ca="1">_FV(A245,"Change (%)",TRUE)</f>
        <v>2.6244E-2</v>
      </c>
      <c r="D245" s="87" cm="1">
        <f t="array" aca="1" ref="D245" ca="1">_FV(A245,"Price")</f>
        <v>26.2</v>
      </c>
      <c r="E245" s="65">
        <v>-0.16182048040455121</v>
      </c>
      <c r="F245" s="65">
        <v>1.026473099914603</v>
      </c>
      <c r="G245" s="65">
        <v>1.026473099914603</v>
      </c>
      <c r="H245" s="65">
        <v>-0.25537294563843227</v>
      </c>
      <c r="I245" s="87">
        <v>19.89</v>
      </c>
      <c r="J245" s="87">
        <v>25</v>
      </c>
      <c r="K245" s="87">
        <v>23.2</v>
      </c>
      <c r="L245" s="87">
        <v>25</v>
      </c>
      <c r="M245" s="230">
        <v>22.5</v>
      </c>
      <c r="N245" s="231">
        <v>23.75</v>
      </c>
      <c r="O245" s="223">
        <v>6.75</v>
      </c>
      <c r="P245" s="223">
        <v>184</v>
      </c>
      <c r="Q245" s="232">
        <v>1</v>
      </c>
      <c r="R245" s="232">
        <v>0</v>
      </c>
      <c r="S245" s="87" t="s">
        <v>75</v>
      </c>
      <c r="T245" s="87" t="s">
        <v>78</v>
      </c>
      <c r="U245" s="87" t="s">
        <v>26</v>
      </c>
      <c r="V245" s="57">
        <v>45936</v>
      </c>
      <c r="W245" s="57">
        <v>45936</v>
      </c>
      <c r="X245" s="87"/>
      <c r="Y245" s="87">
        <v>11.71</v>
      </c>
      <c r="Z245" s="87">
        <v>11.71</v>
      </c>
      <c r="AA245" s="87">
        <v>11.71</v>
      </c>
      <c r="AB245" s="87"/>
      <c r="AC245" s="87">
        <v>19.89</v>
      </c>
      <c r="AD245" s="87">
        <v>19.89</v>
      </c>
      <c r="AE245" s="65">
        <v>-0.16182048040455121</v>
      </c>
      <c r="AF245" s="87">
        <v>17.670000000000002</v>
      </c>
      <c r="AG245" s="87">
        <v>-0.25537294563843227</v>
      </c>
      <c r="AH245" s="87">
        <v>9.3699999999999992</v>
      </c>
      <c r="AI245" s="90">
        <v>-0.60514117151285296</v>
      </c>
      <c r="AJ245" s="66">
        <v>1.026473099914603</v>
      </c>
      <c r="AK245" s="90">
        <v>1.026473099914603</v>
      </c>
      <c r="AL245" s="150">
        <v>24.1</v>
      </c>
      <c r="AM245" s="219">
        <v>1.0580700256191289</v>
      </c>
      <c r="AN245" s="48">
        <f t="shared" ca="1" si="0"/>
        <v>8.7136929460580825E-2</v>
      </c>
      <c r="AO245">
        <f>+'2026'!S300</f>
        <v>600</v>
      </c>
      <c r="AP245" s="5">
        <f t="shared" ca="1" si="11"/>
        <v>26.2</v>
      </c>
      <c r="AQ245" s="5">
        <f t="shared" ca="1" si="12"/>
        <v>15720</v>
      </c>
      <c r="AR245" s="75">
        <f t="shared" si="13"/>
        <v>24.1</v>
      </c>
      <c r="AS245" s="5">
        <f t="shared" si="14"/>
        <v>14460</v>
      </c>
      <c r="AT245" s="193">
        <f t="shared" ca="1" si="15"/>
        <v>1260</v>
      </c>
      <c r="AU245" s="28">
        <f ca="1">+AT245/$AT$253</f>
        <v>2.2687933062674696E-2</v>
      </c>
    </row>
    <row r="246" spans="1:47" x14ac:dyDescent="0.2">
      <c r="A246" s="87" t="e" vm="209">
        <v>#VALUE!</v>
      </c>
      <c r="B246" s="87" t="s">
        <v>386</v>
      </c>
      <c r="C246" s="233" cm="1">
        <f t="array" aca="1" ref="C246" ca="1">_FV(A246,"Change (%)",TRUE)</f>
        <v>2.3969999999999998E-3</v>
      </c>
      <c r="D246" s="87" cm="1">
        <f t="array" aca="1" ref="D246" ca="1">_FV(A246,"Price")</f>
        <v>23.004999999999999</v>
      </c>
      <c r="E246" s="65">
        <v>-0.358716577540107</v>
      </c>
      <c r="F246" s="65">
        <v>0.79531490015360995</v>
      </c>
      <c r="G246" s="65">
        <v>0.55522288755821703</v>
      </c>
      <c r="H246" s="65">
        <v>-0.12213903743315513</v>
      </c>
      <c r="I246" s="87">
        <v>14.99</v>
      </c>
      <c r="J246" s="87">
        <v>23.965</v>
      </c>
      <c r="K246" s="87">
        <v>23.315000000000001</v>
      </c>
      <c r="L246" s="87">
        <v>25.02</v>
      </c>
      <c r="M246" s="230">
        <v>22.518000000000001</v>
      </c>
      <c r="N246" s="231">
        <v>23.768999999999998</v>
      </c>
      <c r="O246" s="223">
        <v>11.72</v>
      </c>
      <c r="P246" s="223">
        <v>741</v>
      </c>
      <c r="Q246" s="232">
        <v>1</v>
      </c>
      <c r="R246" s="232">
        <v>0</v>
      </c>
      <c r="S246" s="87" t="s">
        <v>75</v>
      </c>
      <c r="T246" s="87" t="s">
        <v>78</v>
      </c>
      <c r="U246" s="87" t="s">
        <v>72</v>
      </c>
      <c r="V246" s="57">
        <v>45385</v>
      </c>
      <c r="W246" s="57">
        <v>45385</v>
      </c>
      <c r="X246" s="87"/>
      <c r="Y246" s="87">
        <v>15.03</v>
      </c>
      <c r="Z246" s="87">
        <v>13.02</v>
      </c>
      <c r="AA246" s="87">
        <v>15.03</v>
      </c>
      <c r="AB246" s="87">
        <v>2.0099999999999998</v>
      </c>
      <c r="AC246" s="87">
        <v>14.99</v>
      </c>
      <c r="AD246" s="87">
        <v>17</v>
      </c>
      <c r="AE246" s="65">
        <v>-0.358716577540107</v>
      </c>
      <c r="AF246" s="87">
        <v>20.52</v>
      </c>
      <c r="AG246" s="87">
        <v>-0.12213903743315513</v>
      </c>
      <c r="AH246" s="87">
        <v>4.8340000000000005</v>
      </c>
      <c r="AI246" s="90">
        <v>-0.79319786096256684</v>
      </c>
      <c r="AJ246" s="66">
        <v>0.79531490015360995</v>
      </c>
      <c r="AK246" s="90">
        <v>0.55522288755821703</v>
      </c>
      <c r="AL246" s="150">
        <v>23.4</v>
      </c>
      <c r="AM246" s="219">
        <v>0.79723502304147464</v>
      </c>
      <c r="AN246" s="48">
        <f t="shared" ca="1" si="0"/>
        <v>-1.688034188034182E-2</v>
      </c>
      <c r="AO246">
        <f>+'2026'!S301</f>
        <v>753</v>
      </c>
      <c r="AP246" s="5">
        <f t="shared" ca="1" si="11"/>
        <v>23.004999999999999</v>
      </c>
      <c r="AQ246" s="5">
        <f t="shared" ca="1" si="12"/>
        <v>17322.764999999999</v>
      </c>
      <c r="AR246" s="75">
        <f t="shared" si="13"/>
        <v>23.4</v>
      </c>
      <c r="AS246" s="5">
        <f t="shared" si="14"/>
        <v>17620.2</v>
      </c>
      <c r="AT246" s="193">
        <f t="shared" ca="1" si="15"/>
        <v>-297.43500000000131</v>
      </c>
      <c r="AU246" s="28">
        <f ca="1">+AT246/$AT$253</f>
        <v>-5.3557026749973631E-3</v>
      </c>
    </row>
    <row r="247" spans="1:47" x14ac:dyDescent="0.2">
      <c r="A247" s="329" t="e" vm="215">
        <v>#VALUE!</v>
      </c>
      <c r="B247" s="87" t="s">
        <v>372</v>
      </c>
      <c r="C247" s="233" cm="1">
        <f t="array" aca="1" ref="C247" ca="1">_FV(A247,"Change (%)",TRUE)</f>
        <v>-5.6699999999999997E-3</v>
      </c>
      <c r="D247" s="87" cm="1">
        <f t="array" aca="1" ref="D247" ca="1">_FV(A247,"Price")</f>
        <v>84.17</v>
      </c>
      <c r="E247" s="65">
        <v>0.26844881749748084</v>
      </c>
      <c r="F247" s="65">
        <v>5.920391762933197E-2</v>
      </c>
      <c r="G247" s="65">
        <v>5.2332834331337397E-2</v>
      </c>
      <c r="H247" s="65">
        <v>0.14610870724912584</v>
      </c>
      <c r="I247" s="87">
        <v>107</v>
      </c>
      <c r="J247" s="87">
        <v>84.61</v>
      </c>
      <c r="K247" s="87">
        <v>83.2774</v>
      </c>
      <c r="L247" s="87">
        <v>99.33</v>
      </c>
      <c r="M247" s="230">
        <v>89.397000000000006</v>
      </c>
      <c r="N247" s="231">
        <v>94.363499999999988</v>
      </c>
      <c r="O247" s="223">
        <v>74.545000000000002</v>
      </c>
      <c r="P247" s="223">
        <v>95</v>
      </c>
      <c r="Q247" s="232">
        <v>0</v>
      </c>
      <c r="R247" s="232">
        <v>0</v>
      </c>
      <c r="S247" s="87" t="s">
        <v>183</v>
      </c>
      <c r="T247" s="87" t="s">
        <v>26</v>
      </c>
      <c r="U247" s="87" t="s">
        <v>199</v>
      </c>
      <c r="V247" s="57">
        <v>46031</v>
      </c>
      <c r="W247" s="57">
        <v>46031</v>
      </c>
      <c r="X247" s="87"/>
      <c r="Y247" s="87">
        <v>80.260000000000005</v>
      </c>
      <c r="Z247" s="87">
        <v>79.64</v>
      </c>
      <c r="AA247" s="87">
        <v>80.16</v>
      </c>
      <c r="AB247" s="87">
        <v>0.52</v>
      </c>
      <c r="AC247" s="87">
        <v>107</v>
      </c>
      <c r="AD247" s="87">
        <v>107.52</v>
      </c>
      <c r="AE247" s="65">
        <v>0.26844881749748084</v>
      </c>
      <c r="AF247" s="87">
        <v>96.68</v>
      </c>
      <c r="AG247" s="87">
        <v>0.14610870724912584</v>
      </c>
      <c r="AH247" s="87">
        <v>74</v>
      </c>
      <c r="AI247" s="90">
        <v>-0.12275502341295719</v>
      </c>
      <c r="AJ247" s="66">
        <v>5.920391762933197E-2</v>
      </c>
      <c r="AK247" s="90">
        <v>5.2332834331337397E-2</v>
      </c>
      <c r="AL247" s="150">
        <v>84.31</v>
      </c>
      <c r="AM247" s="219">
        <v>5.8638874937217533E-2</v>
      </c>
      <c r="AN247" s="48">
        <f t="shared" ca="1" si="0"/>
        <v>-1.6605384889100128E-3</v>
      </c>
      <c r="AO247">
        <f>+'2026'!S302</f>
        <v>150</v>
      </c>
      <c r="AP247" s="5">
        <f t="shared" ca="1" si="11"/>
        <v>84.17</v>
      </c>
      <c r="AQ247" s="5">
        <f t="shared" ca="1" si="12"/>
        <v>12625.5</v>
      </c>
      <c r="AR247" s="75">
        <f t="shared" si="13"/>
        <v>84.31</v>
      </c>
      <c r="AS247" s="5">
        <f t="shared" si="14"/>
        <v>12646.5</v>
      </c>
      <c r="AT247" s="193">
        <f t="shared" ca="1" si="15"/>
        <v>-21</v>
      </c>
      <c r="AU247" s="28">
        <f ca="1">+AT247/$AT$253</f>
        <v>-3.7813221771124491E-4</v>
      </c>
    </row>
    <row r="248" spans="1:47" x14ac:dyDescent="0.2">
      <c r="A248" s="329" t="e" vm="184">
        <v>#VALUE!</v>
      </c>
      <c r="B248" s="87" t="s">
        <v>282</v>
      </c>
      <c r="C248" s="233" cm="1">
        <f t="array" aca="1" ref="C248" ca="1">_FV(A248,"Change (%)",TRUE)</f>
        <v>-3.1840000000000002E-3</v>
      </c>
      <c r="D248" s="87" cm="1">
        <f t="array" aca="1" ref="D248" ca="1">_FV(A248,"Price")</f>
        <v>322.43</v>
      </c>
      <c r="E248" s="65">
        <v>-0.48535747648498906</v>
      </c>
      <c r="F248" s="65">
        <v>1.4917802515338345</v>
      </c>
      <c r="G248" s="65">
        <v>1.4882975312600193</v>
      </c>
      <c r="H248" s="65">
        <v>-0.15217111197010702</v>
      </c>
      <c r="I248" s="87">
        <v>159.765625</v>
      </c>
      <c r="J248" s="87">
        <v>311.01</v>
      </c>
      <c r="K248" s="87">
        <v>299.01</v>
      </c>
      <c r="L248" s="87">
        <v>311.01</v>
      </c>
      <c r="M248" s="230">
        <v>279.90899999999999</v>
      </c>
      <c r="N248" s="231">
        <v>295.45949999999999</v>
      </c>
      <c r="O248" s="223">
        <v>65.930000000000007</v>
      </c>
      <c r="P248" s="223">
        <v>463</v>
      </c>
      <c r="Q248" s="232">
        <v>1</v>
      </c>
      <c r="R248" s="232">
        <v>1</v>
      </c>
      <c r="S248" s="87" t="s">
        <v>75</v>
      </c>
      <c r="T248" s="87" t="s">
        <v>78</v>
      </c>
      <c r="U248" s="87" t="s">
        <v>26</v>
      </c>
      <c r="V248" s="57">
        <v>45663</v>
      </c>
      <c r="W248" s="57">
        <v>45663</v>
      </c>
      <c r="X248" s="87" t="s">
        <v>11</v>
      </c>
      <c r="Y248" s="87">
        <v>126.62</v>
      </c>
      <c r="Z248" s="87">
        <v>124.58562500000001</v>
      </c>
      <c r="AA248" s="87">
        <v>124.76</v>
      </c>
      <c r="AB248" s="87">
        <v>0.174375</v>
      </c>
      <c r="AC248" s="87">
        <v>159.765625</v>
      </c>
      <c r="AD248" s="87">
        <v>159.94</v>
      </c>
      <c r="AE248" s="65">
        <v>-0.48535747648498906</v>
      </c>
      <c r="AF248" s="87">
        <v>263.2</v>
      </c>
      <c r="AG248" s="87">
        <v>-0.15217111197010702</v>
      </c>
      <c r="AH248" s="87">
        <v>109.785625</v>
      </c>
      <c r="AI248" s="90">
        <v>-0.64635477064811231</v>
      </c>
      <c r="AJ248" s="66">
        <v>1.4917802515338345</v>
      </c>
      <c r="AK248" s="90">
        <v>1.4882975312600193</v>
      </c>
      <c r="AL248" s="150">
        <v>310.8</v>
      </c>
      <c r="AM248" s="219">
        <v>1.4946698304880677</v>
      </c>
      <c r="AN248" s="48">
        <f t="shared" ca="1" si="0"/>
        <v>3.7419562419562347E-2</v>
      </c>
      <c r="AO248">
        <f>+'2026'!S303</f>
        <v>32</v>
      </c>
      <c r="AP248" s="5">
        <f t="shared" ca="1" si="11"/>
        <v>322.43</v>
      </c>
      <c r="AQ248" s="5">
        <f t="shared" ca="1" si="12"/>
        <v>10317.76</v>
      </c>
      <c r="AR248" s="75">
        <f t="shared" si="13"/>
        <v>310.8</v>
      </c>
      <c r="AS248" s="5">
        <f t="shared" si="14"/>
        <v>9945.6</v>
      </c>
      <c r="AT248" s="193">
        <f t="shared" ca="1" si="15"/>
        <v>372.15999999999985</v>
      </c>
      <c r="AU248" s="28">
        <f ca="1">+AT248/$AT$253</f>
        <v>6.7012231496865167E-3</v>
      </c>
    </row>
    <row r="249" spans="1:47" x14ac:dyDescent="0.2">
      <c r="A249" s="329" t="e" vm="216">
        <v>#VALUE!</v>
      </c>
      <c r="B249" s="87" t="s">
        <v>435</v>
      </c>
      <c r="C249" s="233" cm="1">
        <f t="array" aca="1" ref="C249" ca="1">_FV(A249,"Change (%)",TRUE)</f>
        <v>3.1350000000000002E-3</v>
      </c>
      <c r="D249" s="87" cm="1">
        <f t="array" aca="1" ref="D249" ca="1">_FV(A249,"Price")</f>
        <v>3.2</v>
      </c>
      <c r="E249" s="65">
        <v>-0.48535747648498906</v>
      </c>
      <c r="F249" s="65">
        <v>1.4917802515338345</v>
      </c>
      <c r="G249" s="65">
        <v>1.4882975312600193</v>
      </c>
      <c r="H249" s="65">
        <v>-0.15217111197010702</v>
      </c>
      <c r="I249" s="87">
        <v>159.765625</v>
      </c>
      <c r="J249" s="87">
        <v>311.01</v>
      </c>
      <c r="K249" s="87">
        <v>299.01</v>
      </c>
      <c r="L249" s="87">
        <v>311.01</v>
      </c>
      <c r="M249" s="230">
        <v>279.90899999999999</v>
      </c>
      <c r="N249" s="231">
        <v>295.45949999999999</v>
      </c>
      <c r="O249" s="223">
        <v>65.930000000000007</v>
      </c>
      <c r="P249" s="223">
        <v>463</v>
      </c>
      <c r="Q249" s="232">
        <v>1</v>
      </c>
      <c r="R249" s="232">
        <v>1</v>
      </c>
      <c r="S249" s="87" t="s">
        <v>181</v>
      </c>
      <c r="T249" s="87" t="s">
        <v>78</v>
      </c>
      <c r="U249" s="87" t="s">
        <v>88</v>
      </c>
      <c r="V249" s="57">
        <v>45698</v>
      </c>
      <c r="W249" s="57">
        <v>45698</v>
      </c>
      <c r="X249" s="87" t="s">
        <v>11</v>
      </c>
      <c r="Y249" s="87">
        <v>3.29</v>
      </c>
      <c r="Z249" s="87">
        <v>3.29</v>
      </c>
      <c r="AA249" s="87">
        <v>3.29</v>
      </c>
      <c r="AB249" s="87">
        <v>0.174375</v>
      </c>
      <c r="AC249" s="87">
        <v>4.0999999999999996</v>
      </c>
      <c r="AD249" s="87">
        <v>4.0999999999999996</v>
      </c>
      <c r="AE249" s="65">
        <v>0.51464252351501105</v>
      </c>
      <c r="AF249" s="87">
        <v>263.2</v>
      </c>
      <c r="AG249" s="87">
        <v>-0.15217111197010702</v>
      </c>
      <c r="AH249" s="87">
        <v>109.785625</v>
      </c>
      <c r="AI249" s="90">
        <v>-0.64635477064811231</v>
      </c>
      <c r="AJ249" s="66">
        <v>1.4917802515338345</v>
      </c>
      <c r="AK249" s="90">
        <v>1.4882975312600193</v>
      </c>
      <c r="AL249" s="150">
        <v>5.43</v>
      </c>
      <c r="AM249" s="219">
        <v>0.64290000000000003</v>
      </c>
      <c r="AN249" s="48">
        <f t="shared" ca="1" si="0"/>
        <v>-0.41068139963167583</v>
      </c>
      <c r="AO249">
        <f>+'2026'!S304</f>
        <v>700</v>
      </c>
      <c r="AP249" s="5">
        <f t="shared" ca="1" si="11"/>
        <v>3.2</v>
      </c>
      <c r="AQ249" s="5">
        <f t="shared" ca="1" si="12"/>
        <v>2240</v>
      </c>
      <c r="AR249" s="75">
        <f t="shared" si="13"/>
        <v>5.43</v>
      </c>
      <c r="AS249" s="5">
        <f t="shared" si="14"/>
        <v>3801</v>
      </c>
      <c r="AT249" s="193">
        <f t="shared" ca="1" si="15"/>
        <v>-1561</v>
      </c>
      <c r="AU249" s="28">
        <f ca="1">+AT249/$AT$253</f>
        <v>-2.8107828183202541E-2</v>
      </c>
    </row>
    <row r="250" spans="1:47" x14ac:dyDescent="0.2">
      <c r="A250" s="329" t="e" vm="217">
        <v>#VALUE!</v>
      </c>
      <c r="B250" s="87" t="s">
        <v>439</v>
      </c>
      <c r="C250" s="233" cm="1">
        <f t="array" aca="1" ref="C250" ca="1">_FV(A250,"Change (%)",TRUE)</f>
        <v>-1.9108E-2</v>
      </c>
      <c r="D250" s="87" cm="1">
        <f t="array" aca="1" ref="D250" ca="1">_FV(A250,"Price")</f>
        <v>3.08</v>
      </c>
      <c r="E250" s="65">
        <v>0.29838709677419373</v>
      </c>
      <c r="F250" s="65">
        <v>0.27217741935483875</v>
      </c>
      <c r="G250" s="65">
        <v>0.27217741935483875</v>
      </c>
      <c r="H250" s="65">
        <v>-0.13217115689381931</v>
      </c>
      <c r="I250" s="87">
        <v>263.48</v>
      </c>
      <c r="J250" s="87">
        <v>3.26</v>
      </c>
      <c r="K250" s="87">
        <v>3.14</v>
      </c>
      <c r="L250" s="87">
        <v>4.58</v>
      </c>
      <c r="M250" s="230">
        <v>4.1219999999999999</v>
      </c>
      <c r="N250" s="231">
        <v>4.351</v>
      </c>
      <c r="O250" s="223">
        <v>0.69</v>
      </c>
      <c r="P250" s="223">
        <v>15</v>
      </c>
      <c r="Q250" s="232">
        <v>0</v>
      </c>
      <c r="R250" s="232">
        <v>0</v>
      </c>
      <c r="S250" s="87" t="s">
        <v>75</v>
      </c>
      <c r="T250" s="87" t="s">
        <v>78</v>
      </c>
      <c r="U250" s="87" t="s">
        <v>26</v>
      </c>
      <c r="V250" s="57">
        <v>46118</v>
      </c>
      <c r="W250" s="57">
        <v>46118</v>
      </c>
      <c r="X250" s="87" t="s">
        <v>423</v>
      </c>
      <c r="Y250" s="87">
        <v>2.48</v>
      </c>
      <c r="Z250" s="87">
        <v>2.48</v>
      </c>
      <c r="AA250" s="87">
        <v>2.48</v>
      </c>
      <c r="AB250" s="87"/>
      <c r="AC250" s="87">
        <v>3.22</v>
      </c>
      <c r="AD250" s="87">
        <v>3.22</v>
      </c>
      <c r="AE250" s="65">
        <v>0.29838709677419373</v>
      </c>
      <c r="AF250" s="87">
        <v>2.738</v>
      </c>
      <c r="AG250" s="87">
        <v>-0.13217115689381931</v>
      </c>
      <c r="AH250" s="87">
        <v>1.99</v>
      </c>
      <c r="AI250" s="90">
        <v>-0.36925515055467506</v>
      </c>
      <c r="AJ250" s="66">
        <v>0.27217741935483875</v>
      </c>
      <c r="AK250" s="90">
        <v>0.27217741935483875</v>
      </c>
      <c r="AL250" s="150">
        <v>3.23</v>
      </c>
      <c r="AM250" s="219">
        <v>0.30241935483870974</v>
      </c>
      <c r="AN250" s="48">
        <f t="shared" ca="1" si="0"/>
        <v>-4.6439628482972117E-2</v>
      </c>
      <c r="AO250">
        <f>+'2026'!S305</f>
        <v>3346</v>
      </c>
      <c r="AP250" s="5">
        <f t="shared" ref="AP250" ca="1" si="16">+D250</f>
        <v>3.08</v>
      </c>
      <c r="AQ250" s="5">
        <f t="shared" ref="AQ250" ca="1" si="17">+AO250*AP250</f>
        <v>10305.68</v>
      </c>
      <c r="AR250" s="75">
        <f t="shared" ref="AR250" si="18">+AL250</f>
        <v>3.23</v>
      </c>
      <c r="AS250" s="5">
        <f t="shared" ref="AS250" si="19">+AO250*AR250</f>
        <v>10807.58</v>
      </c>
      <c r="AT250" s="193">
        <f t="shared" ref="AT250" ca="1" si="20">+AQ250-AS250</f>
        <v>-501.89999999999964</v>
      </c>
      <c r="AU250" s="28">
        <f ca="1">+AT250/$AT$253</f>
        <v>-9.0373600032987479E-3</v>
      </c>
    </row>
    <row r="251" spans="1:47" x14ac:dyDescent="0.2">
      <c r="A251" s="329" t="e" vm="218">
        <v>#VALUE!</v>
      </c>
      <c r="B251" s="87" t="s">
        <v>446</v>
      </c>
      <c r="C251" s="233" cm="1">
        <f t="array" aca="1" ref="C251" ca="1">_FV(A251,"Change (%)",TRUE)</f>
        <v>7.1739999999999998E-2</v>
      </c>
      <c r="D251" s="87" cm="1">
        <f t="array" aca="1" ref="D251" ca="1">_FV(A251,"Price")</f>
        <v>51.69</v>
      </c>
      <c r="E251" s="65">
        <v>9.5332671300893956E-3</v>
      </c>
      <c r="F251" s="65">
        <v>0.12867070163640437</v>
      </c>
      <c r="G251" s="65">
        <v>0.12867070163640437</v>
      </c>
      <c r="H251" s="65">
        <v>6.2562065541211576E-2</v>
      </c>
      <c r="I251" s="87">
        <v>50.83</v>
      </c>
      <c r="J251" s="87">
        <v>50.71</v>
      </c>
      <c r="K251" s="87">
        <v>48.46</v>
      </c>
      <c r="L251" s="87">
        <v>57.5</v>
      </c>
      <c r="M251" s="230">
        <v>51.75</v>
      </c>
      <c r="N251" s="231">
        <v>54.625</v>
      </c>
      <c r="O251" s="223">
        <v>33.82</v>
      </c>
      <c r="P251" s="223">
        <v>110</v>
      </c>
      <c r="Q251" s="232">
        <v>0</v>
      </c>
      <c r="R251" s="232">
        <v>0</v>
      </c>
      <c r="S251" s="87" t="s">
        <v>166</v>
      </c>
      <c r="T251" s="87" t="s">
        <v>78</v>
      </c>
      <c r="U251" s="87" t="s">
        <v>199</v>
      </c>
      <c r="V251" s="57">
        <v>46029</v>
      </c>
      <c r="W251" s="57">
        <v>46029</v>
      </c>
      <c r="X251" s="87"/>
      <c r="Y251" s="87">
        <v>44.61</v>
      </c>
      <c r="Z251" s="87">
        <v>44.61</v>
      </c>
      <c r="AA251" s="87">
        <v>44.61</v>
      </c>
      <c r="AB251" s="87"/>
      <c r="AC251" s="87">
        <v>50.83</v>
      </c>
      <c r="AD251" s="87">
        <v>50.83</v>
      </c>
      <c r="AE251" s="65">
        <v>9.5332671300893956E-3</v>
      </c>
      <c r="AF251" s="87">
        <v>53.5</v>
      </c>
      <c r="AG251" s="87">
        <v>6.2562065541211576E-2</v>
      </c>
      <c r="AH251" s="87">
        <v>39.29</v>
      </c>
      <c r="AI251" s="90">
        <v>-0.21966236345580936</v>
      </c>
      <c r="AJ251" s="66">
        <v>0.12867070163640437</v>
      </c>
      <c r="AK251" s="90">
        <v>0.12867070163640437</v>
      </c>
      <c r="AL251" s="150">
        <v>50.24</v>
      </c>
      <c r="AM251" s="219">
        <v>0.12620488679668251</v>
      </c>
      <c r="AN251" s="48">
        <f t="shared" ca="1" si="0"/>
        <v>2.8861464968152672E-2</v>
      </c>
      <c r="AO251">
        <f>+'2026'!S306</f>
        <v>215</v>
      </c>
      <c r="AP251" s="5">
        <f t="shared" ref="AP251" ca="1" si="21">+D251</f>
        <v>51.69</v>
      </c>
      <c r="AQ251" s="5">
        <f t="shared" ref="AQ251" ca="1" si="22">+AO251*AP251</f>
        <v>11113.35</v>
      </c>
      <c r="AR251" s="75">
        <f t="shared" ref="AR251" si="23">+AL251</f>
        <v>50.24</v>
      </c>
      <c r="AS251" s="5">
        <f t="shared" ref="AS251" si="24">+AO251*AR251</f>
        <v>10801.6</v>
      </c>
      <c r="AT251" s="193">
        <f t="shared" ref="AT251" ca="1" si="25">+AQ251-AS251</f>
        <v>311.75</v>
      </c>
      <c r="AU251" s="28">
        <f ca="1">+AT251/$AT$253</f>
        <v>5.6134628034038387E-3</v>
      </c>
    </row>
    <row r="252" spans="1:47" x14ac:dyDescent="0.2">
      <c r="A252" s="87"/>
      <c r="B252" s="87"/>
      <c r="C252" s="59"/>
      <c r="D252" s="87"/>
      <c r="E252" s="65"/>
      <c r="F252" s="65"/>
      <c r="G252" s="65"/>
      <c r="H252" s="65"/>
      <c r="I252" s="87"/>
      <c r="J252" s="65"/>
      <c r="K252" s="65"/>
      <c r="L252" s="65"/>
      <c r="M252" s="65"/>
      <c r="N252" s="65"/>
      <c r="O252" s="65"/>
      <c r="P252" s="65"/>
      <c r="Q252" s="65"/>
      <c r="R252" s="65"/>
      <c r="S252" s="87"/>
      <c r="T252" s="87"/>
      <c r="U252" s="87"/>
      <c r="V252" s="57"/>
      <c r="W252" s="57"/>
      <c r="X252" s="87"/>
      <c r="Y252" s="87"/>
      <c r="Z252" s="87"/>
      <c r="AA252" s="87"/>
      <c r="AB252" s="87"/>
      <c r="AC252" s="87"/>
      <c r="AD252" s="87"/>
      <c r="AE252" s="65"/>
      <c r="AF252" s="87"/>
      <c r="AG252" s="87"/>
      <c r="AH252" s="87"/>
      <c r="AI252" s="90"/>
      <c r="AJ252" s="90"/>
      <c r="AK252" s="90"/>
      <c r="AL252" s="90"/>
      <c r="AM252" s="90"/>
      <c r="AN252" s="148"/>
      <c r="AO252" s="148"/>
      <c r="AP252" s="148"/>
      <c r="AQ252" s="148"/>
      <c r="AR252" s="148"/>
      <c r="AS252" s="148"/>
      <c r="AT252" s="75"/>
    </row>
    <row r="253" spans="1:47" x14ac:dyDescent="0.2">
      <c r="A253" s="87"/>
      <c r="B253" s="87"/>
      <c r="C253" s="59"/>
      <c r="D253" s="87"/>
      <c r="E253" s="65"/>
      <c r="F253" s="65"/>
      <c r="G253" s="65"/>
      <c r="H253" s="65"/>
      <c r="I253" s="87"/>
      <c r="J253" s="65"/>
      <c r="K253" s="65"/>
      <c r="L253" s="65"/>
      <c r="M253" s="65"/>
      <c r="N253" s="65"/>
      <c r="O253" s="65"/>
      <c r="P253" s="65"/>
      <c r="Q253" s="65"/>
      <c r="R253" s="65"/>
      <c r="S253" s="87"/>
      <c r="T253" s="87"/>
      <c r="U253" s="87"/>
      <c r="V253" s="57"/>
      <c r="W253" s="57"/>
      <c r="X253" s="87"/>
      <c r="Y253" s="87"/>
      <c r="Z253" s="87"/>
      <c r="AA253" s="87"/>
      <c r="AB253" s="87"/>
      <c r="AC253" s="87"/>
      <c r="AD253" s="87"/>
      <c r="AE253" s="65"/>
      <c r="AF253" s="87"/>
      <c r="AG253" s="87"/>
      <c r="AH253" s="87"/>
      <c r="AI253" s="90"/>
      <c r="AJ253" s="90"/>
      <c r="AK253" s="90"/>
      <c r="AL253" s="90"/>
      <c r="AM253" s="90"/>
      <c r="AN253" s="148"/>
      <c r="AO253" s="148"/>
      <c r="AP253" s="148"/>
      <c r="AQ253" s="148"/>
      <c r="AR253" s="148"/>
      <c r="AS253" s="148"/>
      <c r="AT253" s="193">
        <f ca="1">SUM(AT225:AT252)</f>
        <v>55536.13</v>
      </c>
    </row>
    <row r="254" spans="1:47" ht="21" x14ac:dyDescent="0.25">
      <c r="A254" s="205">
        <v>2025</v>
      </c>
      <c r="B254" s="87"/>
      <c r="C254" s="59"/>
      <c r="D254" s="87"/>
      <c r="E254" s="65"/>
      <c r="F254" s="65"/>
      <c r="G254" s="65"/>
      <c r="H254" s="65"/>
      <c r="I254" s="87"/>
      <c r="J254" s="65"/>
      <c r="K254" s="65"/>
      <c r="L254" s="65"/>
      <c r="M254" s="65"/>
      <c r="N254" s="65"/>
      <c r="O254" s="65"/>
      <c r="P254" s="65"/>
      <c r="Q254" s="65"/>
      <c r="R254" s="65"/>
      <c r="S254" s="87"/>
      <c r="T254" s="87"/>
      <c r="U254" s="87"/>
      <c r="V254" s="57"/>
      <c r="W254" s="57"/>
      <c r="X254" s="87"/>
      <c r="Y254" s="87"/>
      <c r="Z254" s="87"/>
      <c r="AA254" s="87"/>
      <c r="AB254" s="87"/>
      <c r="AC254" s="87"/>
      <c r="AD254" s="87"/>
      <c r="AE254" s="65"/>
      <c r="AF254" s="87"/>
      <c r="AG254" s="87"/>
      <c r="AH254" s="87"/>
      <c r="AI254" s="90"/>
      <c r="AJ254" s="90"/>
      <c r="AK254" s="90"/>
      <c r="AL254" s="90"/>
      <c r="AM254" s="90"/>
      <c r="AN254" s="148"/>
      <c r="AO254" s="148"/>
      <c r="AP254" s="148"/>
      <c r="AQ254" s="148"/>
      <c r="AR254" s="148"/>
      <c r="AS254" s="148"/>
      <c r="AT254" s="148"/>
    </row>
    <row r="255" spans="1:47" x14ac:dyDescent="0.2">
      <c r="A255" s="87" t="e" vm="244">
        <v>#VALUE!</v>
      </c>
      <c r="B255" s="87" t="str" cm="1">
        <f t="array" aca="1" ref="B255" ca="1">_FV(A255,"Ticker symbol",TRUE)</f>
        <v>U</v>
      </c>
      <c r="C255" s="233" cm="1">
        <f t="array" aca="1" ref="C255" ca="1">_FV(A255,"Change (%)",TRUE)</f>
        <v>2.4605999999999999E-2</v>
      </c>
      <c r="D255" s="87" cm="1">
        <f t="array" aca="1" ref="D255" ca="1">_FV(A255,"Price")</f>
        <v>26.65</v>
      </c>
      <c r="E255" s="65"/>
      <c r="F255" s="65"/>
      <c r="G255" s="65"/>
      <c r="H255" s="65"/>
      <c r="I255" s="87">
        <v>24.94</v>
      </c>
      <c r="J255" s="87" cm="1">
        <f t="array" aca="1" ref="J255" ca="1">_FV(A255,"High")</f>
        <v>26.83</v>
      </c>
      <c r="K255" s="87" cm="1">
        <f t="array" aca="1" ref="K255" ca="1">_FV(A255,"Low")</f>
        <v>25.62</v>
      </c>
      <c r="L255" s="87" cm="1">
        <f t="array" aca="1" ref="L255" ca="1">_FV(A255,"52 week high",TRUE)</f>
        <v>52.15</v>
      </c>
      <c r="M255" s="230">
        <f t="shared" ref="M255:M267" ca="1" si="26">+L255*0.9</f>
        <v>46.935000000000002</v>
      </c>
      <c r="N255" s="231">
        <f t="shared" ref="N255:N267" ca="1" si="27">+L255*0.95</f>
        <v>49.542499999999997</v>
      </c>
      <c r="O255" s="223" cm="1">
        <f t="array" aca="1" ref="O255" ca="1">_FV(A255,"52 week low",TRUE)</f>
        <v>16.78</v>
      </c>
      <c r="P255" s="223">
        <v>1</v>
      </c>
      <c r="Q255" s="232">
        <f t="shared" ref="Q255:Q267" ca="1" si="28">GESTEP(D255,M255)</f>
        <v>0</v>
      </c>
      <c r="R255" s="232">
        <f t="shared" ref="R255:R267" ca="1" si="29">GESTEP(D255,N255)</f>
        <v>0</v>
      </c>
      <c r="S255" s="87" t="s">
        <v>75</v>
      </c>
      <c r="T255" s="87" t="s">
        <v>78</v>
      </c>
      <c r="U255" s="87" t="s">
        <v>26</v>
      </c>
      <c r="V255" s="57">
        <v>45548</v>
      </c>
      <c r="W255" s="57">
        <v>45548</v>
      </c>
      <c r="X255" s="87" t="s">
        <v>11</v>
      </c>
      <c r="Y255" s="87">
        <v>19.39</v>
      </c>
      <c r="Z255" s="87">
        <v>19.39</v>
      </c>
      <c r="AA255" s="87">
        <v>19.39</v>
      </c>
      <c r="AB255" s="87"/>
      <c r="AC255" s="87">
        <v>24.94</v>
      </c>
      <c r="AD255" s="87">
        <f t="shared" ref="AD255:AD273" si="30">+AC255</f>
        <v>24.94</v>
      </c>
      <c r="AE255" s="65">
        <f t="shared" ref="AE255:AE260" ca="1" si="31">IF(Z255="-",+AC255/Y255-1,AC255/D255-1)</f>
        <v>-6.4165103189493311E-2</v>
      </c>
      <c r="AF255" s="87" t="s">
        <v>11</v>
      </c>
      <c r="AG255" s="87"/>
      <c r="AH255" s="87">
        <v>16.64</v>
      </c>
      <c r="AI255" s="90">
        <f t="shared" ref="AI255:AI260" ca="1" si="32">IF(Z255="-",AH255/Y255-1,+AH255/D255-1)</f>
        <v>-0.37560975609756098</v>
      </c>
      <c r="AJ255" s="66">
        <f t="shared" ref="AJ255:AJ315" si="33">IF(Z255="-","-",+(AL255/Z255)-1)</f>
        <v>0.31459515214027833</v>
      </c>
      <c r="AK255" s="90">
        <f t="shared" ref="AK255:AK315" si="34">IF(AA255="-","-",+(AL255/AA255)-1)</f>
        <v>0.31459515214027833</v>
      </c>
      <c r="AL255" s="150">
        <v>25.49</v>
      </c>
      <c r="AM255" s="219">
        <f t="shared" ref="AM255:AM272" si="35">IF(AL255=0,"-",+AL255/Z255-1)</f>
        <v>0.31459515214027833</v>
      </c>
      <c r="AN255" s="28">
        <f t="shared" ref="AN255:AN318" ca="1" si="36">+D255/AL255-1</f>
        <v>4.5508042369556634E-2</v>
      </c>
      <c r="AO255">
        <v>464</v>
      </c>
      <c r="AP255" s="5">
        <f t="shared" ref="AP255:AP277" ca="1" si="37">+D255</f>
        <v>26.65</v>
      </c>
      <c r="AQ255" s="5">
        <f t="shared" ref="AQ255:AQ260" ca="1" si="38">+AO255*AP255</f>
        <v>12365.599999999999</v>
      </c>
      <c r="AR255" s="75">
        <f t="shared" ref="AR255:AR260" si="39">+AL255</f>
        <v>25.49</v>
      </c>
      <c r="AS255" s="5">
        <f t="shared" ref="AS255:AS260" si="40">+AO255*AR255</f>
        <v>11827.359999999999</v>
      </c>
      <c r="AT255" s="193">
        <f t="shared" ref="AT255:AT260" ca="1" si="41">+AQ255-AS255</f>
        <v>538.23999999999978</v>
      </c>
      <c r="AU255" s="28">
        <f t="shared" ref="AU255:AU286" ca="1" si="42">+AT255/$AT$342</f>
        <v>1.98043451605315E-3</v>
      </c>
    </row>
    <row r="256" spans="1:47" x14ac:dyDescent="0.2">
      <c r="A256" s="87" t="e" vm="75">
        <v>#VALUE!</v>
      </c>
      <c r="B256" s="87" t="str" cm="1">
        <f t="array" aca="1" ref="B256" ca="1">_FV(A256,"Ticker symbol",TRUE)</f>
        <v>FUBO</v>
      </c>
      <c r="C256" s="233" cm="1">
        <f t="array" aca="1" ref="C256" ca="1">_FV(A256,"Change (%)",TRUE)</f>
        <v>-3.5387000000000002E-2</v>
      </c>
      <c r="D256" s="87" cm="1">
        <f t="array" aca="1" ref="D256" ca="1">_FV(A256,"Price")</f>
        <v>11.585000000000001</v>
      </c>
      <c r="E256" s="65"/>
      <c r="F256" s="65"/>
      <c r="G256" s="65"/>
      <c r="H256" s="65"/>
      <c r="I256" s="87">
        <v>2.4300000000000002</v>
      </c>
      <c r="J256" s="87" cm="1">
        <f t="array" aca="1" ref="J256" ca="1">_FV(A256,"High")</f>
        <v>12.0899</v>
      </c>
      <c r="K256" s="87" cm="1">
        <f t="array" aca="1" ref="K256" ca="1">_FV(A256,"Low")</f>
        <v>11.35</v>
      </c>
      <c r="L256" s="87" cm="1">
        <f t="array" aca="1" ref="L256" ca="1">_FV(A256,"52 week high",TRUE)</f>
        <v>56.64</v>
      </c>
      <c r="M256" s="230">
        <f t="shared" ca="1" si="26"/>
        <v>50.975999999999999</v>
      </c>
      <c r="N256" s="231">
        <f t="shared" ca="1" si="27"/>
        <v>53.808</v>
      </c>
      <c r="O256" s="223" cm="1">
        <f t="array" aca="1" ref="O256" ca="1">_FV(A256,"52 week low",TRUE)</f>
        <v>8.31</v>
      </c>
      <c r="P256" s="223">
        <f>+P255+1</f>
        <v>2</v>
      </c>
      <c r="Q256" s="232">
        <f t="shared" ca="1" si="28"/>
        <v>0</v>
      </c>
      <c r="R256" s="232">
        <f t="shared" ca="1" si="29"/>
        <v>0</v>
      </c>
      <c r="S256" s="87" t="s">
        <v>75</v>
      </c>
      <c r="T256" s="87" t="s">
        <v>78</v>
      </c>
      <c r="U256" s="87" t="s">
        <v>26</v>
      </c>
      <c r="V256" s="57">
        <v>45264</v>
      </c>
      <c r="W256" s="57">
        <v>45267</v>
      </c>
      <c r="X256" s="87"/>
      <c r="Y256" s="87"/>
      <c r="Z256" s="87">
        <v>2.4260000000000002</v>
      </c>
      <c r="AA256" s="87">
        <v>2.4260000000000002</v>
      </c>
      <c r="AB256" s="87"/>
      <c r="AC256" s="87">
        <v>2.4300000000000002</v>
      </c>
      <c r="AD256" s="87">
        <f t="shared" si="30"/>
        <v>2.4300000000000002</v>
      </c>
      <c r="AE256" s="65">
        <f t="shared" ca="1" si="31"/>
        <v>-0.79024600776866638</v>
      </c>
      <c r="AF256" s="87">
        <v>4.8899999999999997</v>
      </c>
      <c r="AG256" s="87">
        <f>IF(Z256="-",+AF256/D256-1,AF256/AC256-1)</f>
        <v>1.0123456790123453</v>
      </c>
      <c r="AH256" s="87">
        <v>2.95</v>
      </c>
      <c r="AI256" s="90">
        <f t="shared" ca="1" si="32"/>
        <v>-0.74536037980146741</v>
      </c>
      <c r="AJ256" s="66">
        <f t="shared" si="33"/>
        <v>1.4690849134377575</v>
      </c>
      <c r="AK256" s="90">
        <f t="shared" si="34"/>
        <v>1.4690849134377575</v>
      </c>
      <c r="AL256" s="150">
        <v>5.99</v>
      </c>
      <c r="AM256" s="219">
        <f t="shared" si="35"/>
        <v>1.4690849134377575</v>
      </c>
      <c r="AN256" s="28">
        <f t="shared" ca="1" si="36"/>
        <v>0.93405676126878134</v>
      </c>
      <c r="AO256">
        <v>1600</v>
      </c>
      <c r="AP256" s="5">
        <f t="shared" ca="1" si="37"/>
        <v>11.585000000000001</v>
      </c>
      <c r="AQ256" s="5">
        <f t="shared" ca="1" si="38"/>
        <v>18536</v>
      </c>
      <c r="AR256" s="75">
        <f t="shared" si="39"/>
        <v>5.99</v>
      </c>
      <c r="AS256" s="5">
        <f t="shared" si="40"/>
        <v>9584</v>
      </c>
      <c r="AT256" s="193">
        <f t="shared" ca="1" si="41"/>
        <v>8952</v>
      </c>
      <c r="AU256" s="28">
        <f t="shared" ca="1" si="42"/>
        <v>3.2938558612715156E-2</v>
      </c>
    </row>
    <row r="257" spans="1:47" x14ac:dyDescent="0.2">
      <c r="A257" s="87" t="e" vm="245">
        <v>#VALUE!</v>
      </c>
      <c r="B257" s="87" t="str" cm="1">
        <f t="array" aca="1" ref="B257" ca="1">_FV(A257,"Ticker symbol",TRUE)</f>
        <v>ITCI</v>
      </c>
      <c r="C257" s="233" cm="1">
        <f t="array" aca="1" ref="C257" ca="1">_FV(A257,"Change (%)",TRUE)</f>
        <v>0</v>
      </c>
      <c r="D257" s="87" cm="1">
        <f t="array" aca="1" ref="D257" ca="1">_FV(A257,"Price")</f>
        <v>131.87</v>
      </c>
      <c r="E257" s="65"/>
      <c r="F257" s="65"/>
      <c r="G257" s="65"/>
      <c r="H257" s="65"/>
      <c r="I257" s="87">
        <v>86.09</v>
      </c>
      <c r="J257" s="87" cm="1">
        <f t="array" aca="1" ref="J257" ca="1">_FV(A257,"High")</f>
        <v>131.97999999999999</v>
      </c>
      <c r="K257" s="87" cm="1">
        <f t="array" aca="1" ref="K257" ca="1">_FV(A257,"Low")</f>
        <v>131.63</v>
      </c>
      <c r="L257" s="87" cm="1">
        <f t="array" aca="1" ref="L257" ca="1">_FV(A257,"52 week high",TRUE)</f>
        <v>131.97999999999999</v>
      </c>
      <c r="M257" s="230">
        <f t="shared" ca="1" si="26"/>
        <v>118.782</v>
      </c>
      <c r="N257" s="231">
        <f t="shared" ca="1" si="27"/>
        <v>125.38099999999999</v>
      </c>
      <c r="O257" s="223" cm="1">
        <f t="array" aca="1" ref="O257" ca="1">_FV(A257,"52 week low",TRUE)</f>
        <v>64.09</v>
      </c>
      <c r="P257" s="223">
        <f t="shared" ref="P257:P317" si="43">+P256+1</f>
        <v>3</v>
      </c>
      <c r="Q257" s="232">
        <f t="shared" ca="1" si="28"/>
        <v>1</v>
      </c>
      <c r="R257" s="232">
        <f t="shared" ca="1" si="29"/>
        <v>1</v>
      </c>
      <c r="S257" s="87" t="s">
        <v>75</v>
      </c>
      <c r="T257" s="87" t="s">
        <v>78</v>
      </c>
      <c r="U257" s="87" t="s">
        <v>26</v>
      </c>
      <c r="V257" s="57">
        <v>45299</v>
      </c>
      <c r="W257" s="57">
        <v>45327</v>
      </c>
      <c r="X257" s="87"/>
      <c r="Y257" s="87" t="s">
        <v>11</v>
      </c>
      <c r="Z257" s="87">
        <v>67.989999999999995</v>
      </c>
      <c r="AA257" s="87">
        <v>67.989999999999995</v>
      </c>
      <c r="AB257" s="87"/>
      <c r="AC257" s="87">
        <v>86.09</v>
      </c>
      <c r="AD257" s="87">
        <f t="shared" si="30"/>
        <v>86.09</v>
      </c>
      <c r="AE257" s="65">
        <f t="shared" ca="1" si="31"/>
        <v>-0.34716008189883973</v>
      </c>
      <c r="AF257" s="87" t="s">
        <v>11</v>
      </c>
      <c r="AG257" s="87" t="s">
        <v>11</v>
      </c>
      <c r="AH257" s="87">
        <v>59.87</v>
      </c>
      <c r="AI257" s="90">
        <f t="shared" ca="1" si="32"/>
        <v>-0.54599226510957766</v>
      </c>
      <c r="AJ257" s="66">
        <f t="shared" si="33"/>
        <v>0.87968818943962357</v>
      </c>
      <c r="AK257" s="90">
        <f t="shared" si="34"/>
        <v>0.87968818943962357</v>
      </c>
      <c r="AL257" s="150">
        <v>127.8</v>
      </c>
      <c r="AM257" s="219">
        <f t="shared" si="35"/>
        <v>0.87968818943962357</v>
      </c>
      <c r="AN257" s="28">
        <f t="shared" ca="1" si="36"/>
        <v>3.1846635367762222E-2</v>
      </c>
      <c r="AO257">
        <v>116</v>
      </c>
      <c r="AP257" s="5">
        <f t="shared" ca="1" si="37"/>
        <v>131.87</v>
      </c>
      <c r="AQ257" s="5">
        <f t="shared" ca="1" si="38"/>
        <v>15296.92</v>
      </c>
      <c r="AR257" s="75">
        <f t="shared" si="39"/>
        <v>127.8</v>
      </c>
      <c r="AS257" s="5">
        <f t="shared" si="40"/>
        <v>14824.8</v>
      </c>
      <c r="AT257" s="193">
        <f t="shared" ca="1" si="41"/>
        <v>472.1200000000008</v>
      </c>
      <c r="AU257" s="28">
        <f t="shared" ca="1" si="42"/>
        <v>1.7371483793828316E-3</v>
      </c>
    </row>
    <row r="258" spans="1:47" x14ac:dyDescent="0.2">
      <c r="A258" s="87" t="e" vm="246">
        <v>#VALUE!</v>
      </c>
      <c r="B258" s="87" t="str" cm="1">
        <f t="array" aca="1" ref="B258" ca="1">_FV(A258,"Ticker symbol",TRUE)</f>
        <v>ADPT</v>
      </c>
      <c r="C258" s="233" cm="1">
        <f t="array" aca="1" ref="C258" ca="1">_FV(A258,"Change (%)",TRUE)</f>
        <v>4.9499999999999995E-3</v>
      </c>
      <c r="D258" s="87" cm="1">
        <f t="array" aca="1" ref="D258" ca="1">_FV(A258,"Price")</f>
        <v>14.21</v>
      </c>
      <c r="E258" s="65"/>
      <c r="F258" s="65"/>
      <c r="G258" s="65"/>
      <c r="H258" s="65"/>
      <c r="I258" s="87">
        <v>5.48</v>
      </c>
      <c r="J258" s="87" cm="1">
        <f t="array" aca="1" ref="J258" ca="1">_FV(A258,"High")</f>
        <v>14.36</v>
      </c>
      <c r="K258" s="87" cm="1">
        <f t="array" aca="1" ref="K258" ca="1">_FV(A258,"Low")</f>
        <v>14.03</v>
      </c>
      <c r="L258" s="87" cm="1">
        <f t="array" aca="1" ref="L258" ca="1">_FV(A258,"52 week high",TRUE)</f>
        <v>20.76</v>
      </c>
      <c r="M258" s="230">
        <f t="shared" ca="1" si="26"/>
        <v>18.684000000000001</v>
      </c>
      <c r="N258" s="231">
        <f t="shared" ca="1" si="27"/>
        <v>19.722000000000001</v>
      </c>
      <c r="O258" s="223" cm="1">
        <f t="array" aca="1" ref="O258" ca="1">_FV(A258,"52 week low",TRUE)</f>
        <v>7.16</v>
      </c>
      <c r="P258" s="223">
        <f t="shared" si="43"/>
        <v>4</v>
      </c>
      <c r="Q258" s="232">
        <f t="shared" ca="1" si="28"/>
        <v>0</v>
      </c>
      <c r="R258" s="232">
        <f t="shared" ca="1" si="29"/>
        <v>0</v>
      </c>
      <c r="S258" s="87" t="s">
        <v>76</v>
      </c>
      <c r="T258" s="87" t="s">
        <v>78</v>
      </c>
      <c r="U258" s="87" t="s">
        <v>88</v>
      </c>
      <c r="V258" s="57">
        <v>45491</v>
      </c>
      <c r="W258" s="57">
        <v>45491</v>
      </c>
      <c r="X258" s="87" t="s">
        <v>11</v>
      </c>
      <c r="Y258" s="87">
        <v>4.3899999999999997</v>
      </c>
      <c r="Z258" s="87">
        <v>4.3499999999999996</v>
      </c>
      <c r="AA258" s="87">
        <v>4.3499999999999996</v>
      </c>
      <c r="AB258" s="87"/>
      <c r="AC258" s="87">
        <v>5.48</v>
      </c>
      <c r="AD258" s="87">
        <f t="shared" si="30"/>
        <v>5.48</v>
      </c>
      <c r="AE258" s="65">
        <f t="shared" ca="1" si="31"/>
        <v>-0.61435608726249114</v>
      </c>
      <c r="AF258" s="87">
        <v>7.25</v>
      </c>
      <c r="AG258" s="87">
        <f>IF(Z258="-",+AF258/D258-1,AF258/AC258-1)</f>
        <v>0.32299270072992692</v>
      </c>
      <c r="AH258" s="87">
        <v>3.89</v>
      </c>
      <c r="AI258" s="90">
        <f t="shared" ca="1" si="32"/>
        <v>-0.72624912033779032</v>
      </c>
      <c r="AJ258" s="66">
        <f t="shared" si="33"/>
        <v>0.65747126436781622</v>
      </c>
      <c r="AK258" s="90">
        <f t="shared" si="34"/>
        <v>0.65747126436781622</v>
      </c>
      <c r="AL258" s="150">
        <v>7.21</v>
      </c>
      <c r="AM258" s="219">
        <f t="shared" si="35"/>
        <v>0.65747126436781622</v>
      </c>
      <c r="AN258" s="28">
        <f t="shared" ca="1" si="36"/>
        <v>0.97087378640776723</v>
      </c>
      <c r="AO258">
        <v>1000</v>
      </c>
      <c r="AP258" s="5">
        <f t="shared" ca="1" si="37"/>
        <v>14.21</v>
      </c>
      <c r="AQ258" s="5">
        <f t="shared" ca="1" si="38"/>
        <v>14210</v>
      </c>
      <c r="AR258" s="75">
        <f t="shared" si="39"/>
        <v>7.21</v>
      </c>
      <c r="AS258" s="5">
        <f t="shared" si="40"/>
        <v>7210</v>
      </c>
      <c r="AT258" s="193">
        <f t="shared" ca="1" si="41"/>
        <v>7000</v>
      </c>
      <c r="AU258" s="28">
        <f t="shared" ca="1" si="42"/>
        <v>2.5756245564008726E-2</v>
      </c>
    </row>
    <row r="259" spans="1:47" x14ac:dyDescent="0.2">
      <c r="A259" s="87" t="e" vm="247">
        <v>#VALUE!</v>
      </c>
      <c r="B259" s="87" t="str" cm="1">
        <f t="array" aca="1" ref="B259" ca="1">_FV(A259,"Ticker symbol",TRUE)</f>
        <v>FLOW</v>
      </c>
      <c r="C259" s="233" cm="1">
        <f t="array" aca="1" ref="C259" ca="1">_FV(A259,"Change (%)",TRUE)</f>
        <v>2.1260000000000003E-3</v>
      </c>
      <c r="D259" s="87" cm="1">
        <f t="array" aca="1" ref="D259" ca="1">_FV(A259,"Price")</f>
        <v>28.28</v>
      </c>
      <c r="E259" s="65"/>
      <c r="F259" s="65"/>
      <c r="G259" s="65"/>
      <c r="H259" s="65"/>
      <c r="I259" s="87">
        <f>23.62-H259</f>
        <v>23.62</v>
      </c>
      <c r="J259" s="87" cm="1">
        <f t="array" aca="1" ref="J259" ca="1">_FV(A259,"High")</f>
        <v>28.28</v>
      </c>
      <c r="K259" s="87" cm="1">
        <f t="array" aca="1" ref="K259" ca="1">_FV(A259,"Low")</f>
        <v>26.96</v>
      </c>
      <c r="L259" s="87" cm="1">
        <f t="array" aca="1" ref="L259" ca="1">_FV(A259,"52 week high",TRUE)</f>
        <v>30.06</v>
      </c>
      <c r="M259" s="230">
        <f t="shared" ca="1" si="26"/>
        <v>27.053999999999998</v>
      </c>
      <c r="N259" s="231">
        <f t="shared" ca="1" si="27"/>
        <v>28.556999999999999</v>
      </c>
      <c r="O259" s="223" cm="1">
        <f t="array" aca="1" ref="O259" ca="1">_FV(A259,"52 week low",TRUE)</f>
        <v>22.1</v>
      </c>
      <c r="P259" s="223">
        <f t="shared" si="43"/>
        <v>5</v>
      </c>
      <c r="Q259" s="232">
        <f t="shared" ca="1" si="28"/>
        <v>1</v>
      </c>
      <c r="R259" s="232">
        <f t="shared" ca="1" si="29"/>
        <v>0</v>
      </c>
      <c r="S259" s="87" t="s">
        <v>76</v>
      </c>
      <c r="T259" s="87" t="s">
        <v>78</v>
      </c>
      <c r="U259" s="87" t="s">
        <v>72</v>
      </c>
      <c r="V259" s="57">
        <v>45404</v>
      </c>
      <c r="W259" s="57">
        <v>45133</v>
      </c>
      <c r="X259" s="87" t="s">
        <v>11</v>
      </c>
      <c r="Y259" s="87">
        <v>19.7</v>
      </c>
      <c r="Z259" s="87">
        <f>+Y259-AB259</f>
        <v>19.55</v>
      </c>
      <c r="AA259" s="87">
        <v>19.7</v>
      </c>
      <c r="AB259" s="87">
        <v>0.15</v>
      </c>
      <c r="AC259" s="87">
        <f>23.62-AB259</f>
        <v>23.470000000000002</v>
      </c>
      <c r="AD259" s="87">
        <f>+AC259+AB259</f>
        <v>23.62</v>
      </c>
      <c r="AE259" s="65">
        <f t="shared" ca="1" si="31"/>
        <v>-0.17008486562942005</v>
      </c>
      <c r="AF259" s="87" t="s">
        <v>11</v>
      </c>
      <c r="AG259" s="87" t="s">
        <v>11</v>
      </c>
      <c r="AH259" s="87">
        <f>17.74-AB259</f>
        <v>17.59</v>
      </c>
      <c r="AI259" s="90">
        <f t="shared" ca="1" si="32"/>
        <v>-0.37800565770862804</v>
      </c>
      <c r="AJ259" s="66">
        <f t="shared" si="33"/>
        <v>0.20818414322250645</v>
      </c>
      <c r="AK259" s="90">
        <f t="shared" si="34"/>
        <v>0.19898477157360417</v>
      </c>
      <c r="AL259" s="150">
        <v>23.62</v>
      </c>
      <c r="AM259" s="219">
        <f t="shared" si="35"/>
        <v>0.20818414322250645</v>
      </c>
      <c r="AN259" s="28">
        <f t="shared" ca="1" si="36"/>
        <v>0.19729043183742601</v>
      </c>
      <c r="AO259">
        <v>508</v>
      </c>
      <c r="AP259" s="5">
        <f t="shared" ca="1" si="37"/>
        <v>28.28</v>
      </c>
      <c r="AQ259" s="5">
        <f t="shared" ca="1" si="38"/>
        <v>14366.24</v>
      </c>
      <c r="AR259" s="75">
        <f t="shared" si="39"/>
        <v>23.62</v>
      </c>
      <c r="AS259" s="5">
        <f t="shared" si="40"/>
        <v>11998.960000000001</v>
      </c>
      <c r="AT259" s="193">
        <f t="shared" ca="1" si="41"/>
        <v>2367.2799999999988</v>
      </c>
      <c r="AU259" s="28">
        <f t="shared" ca="1" si="42"/>
        <v>8.7103207141095065E-3</v>
      </c>
    </row>
    <row r="260" spans="1:47" x14ac:dyDescent="0.2">
      <c r="A260" s="87" t="e" vm="248">
        <v>#VALUE!</v>
      </c>
      <c r="B260" s="87" t="str" cm="1">
        <f t="array" aca="1" ref="B260" ca="1">_FV(A260,"Ticker symbol",TRUE)</f>
        <v>CEG</v>
      </c>
      <c r="C260" s="233" cm="1">
        <f t="array" aca="1" ref="C260" ca="1">_FV(A260,"Change (%)",TRUE)</f>
        <v>5.2310000000000004E-3</v>
      </c>
      <c r="D260" s="87" cm="1">
        <f t="array" aca="1" ref="D260" ca="1">_FV(A260,"Price")</f>
        <v>315.17</v>
      </c>
      <c r="E260" s="65"/>
      <c r="F260" s="65"/>
      <c r="G260" s="65"/>
      <c r="H260" s="65"/>
      <c r="I260" s="87">
        <v>318.7</v>
      </c>
      <c r="J260" s="87" cm="1">
        <f t="array" aca="1" ref="J260" ca="1">_FV(A260,"High")</f>
        <v>318.5</v>
      </c>
      <c r="K260" s="87" cm="1">
        <f t="array" aca="1" ref="K260" ca="1">_FV(A260,"Low")</f>
        <v>304.12</v>
      </c>
      <c r="L260" s="87" cm="1">
        <f t="array" aca="1" ref="L260" ca="1">_FV(A260,"52 week high",TRUE)</f>
        <v>412.7</v>
      </c>
      <c r="M260" s="230">
        <f t="shared" ca="1" si="26"/>
        <v>371.43</v>
      </c>
      <c r="N260" s="231">
        <f t="shared" ca="1" si="27"/>
        <v>392.065</v>
      </c>
      <c r="O260" s="223" cm="1">
        <f t="array" aca="1" ref="O260" ca="1">_FV(A260,"52 week low",TRUE)</f>
        <v>216.75</v>
      </c>
      <c r="P260" s="223">
        <f t="shared" si="43"/>
        <v>6</v>
      </c>
      <c r="Q260" s="232">
        <f t="shared" ca="1" si="28"/>
        <v>0</v>
      </c>
      <c r="R260" s="232">
        <f t="shared" ca="1" si="29"/>
        <v>0</v>
      </c>
      <c r="S260" s="87" t="s">
        <v>76</v>
      </c>
      <c r="T260" s="87" t="s">
        <v>78</v>
      </c>
      <c r="U260" s="87" t="s">
        <v>88</v>
      </c>
      <c r="V260" s="57">
        <v>45618</v>
      </c>
      <c r="W260" s="57">
        <v>45618</v>
      </c>
      <c r="X260" s="87"/>
      <c r="Y260" s="87">
        <v>252.2</v>
      </c>
      <c r="Z260" s="87">
        <v>251.21</v>
      </c>
      <c r="AA260" s="87">
        <v>251.21</v>
      </c>
      <c r="AB260" s="87"/>
      <c r="AC260" s="87">
        <v>318.7</v>
      </c>
      <c r="AD260" s="87">
        <f t="shared" si="30"/>
        <v>318.7</v>
      </c>
      <c r="AE260" s="65">
        <f t="shared" ca="1" si="31"/>
        <v>1.120030459751864E-2</v>
      </c>
      <c r="AF260" s="87" t="s">
        <v>11</v>
      </c>
      <c r="AG260" s="87" t="e">
        <f>IF(Z260="-",+AF260/D260-1,AF260/AC260-1)</f>
        <v>#VALUE!</v>
      </c>
      <c r="AH260" s="87">
        <v>218.95</v>
      </c>
      <c r="AI260" s="90">
        <f t="shared" ca="1" si="32"/>
        <v>-0.30529555477996007</v>
      </c>
      <c r="AJ260" s="66">
        <f t="shared" si="33"/>
        <v>0.27383464034075078</v>
      </c>
      <c r="AK260" s="90">
        <f t="shared" si="34"/>
        <v>0.27383464034075078</v>
      </c>
      <c r="AL260" s="150">
        <v>320</v>
      </c>
      <c r="AM260" s="219">
        <f t="shared" si="35"/>
        <v>0.27383464034075078</v>
      </c>
      <c r="AN260" s="28">
        <f t="shared" ca="1" si="36"/>
        <v>-1.5093749999999906E-2</v>
      </c>
      <c r="AO260">
        <v>45.77</v>
      </c>
      <c r="AP260" s="5">
        <f t="shared" ca="1" si="37"/>
        <v>315.17</v>
      </c>
      <c r="AQ260" s="5">
        <f t="shared" ca="1" si="38"/>
        <v>14425.330900000001</v>
      </c>
      <c r="AR260" s="75">
        <f t="shared" si="39"/>
        <v>320</v>
      </c>
      <c r="AS260" s="5">
        <f t="shared" si="40"/>
        <v>14646.400000000001</v>
      </c>
      <c r="AT260" s="193">
        <f t="shared" ca="1" si="41"/>
        <v>-221.06910000000062</v>
      </c>
      <c r="AU260" s="28">
        <f t="shared" ca="1" si="42"/>
        <v>-8.13415718030631E-4</v>
      </c>
    </row>
    <row r="261" spans="1:47" x14ac:dyDescent="0.2">
      <c r="A261" s="87" t="e" vm="214">
        <v>#VALUE!</v>
      </c>
      <c r="B261" s="87" t="str" cm="1">
        <f t="array" aca="1" ref="B261" ca="1">_FV(A261,"Ticker symbol",TRUE)</f>
        <v>LUNR</v>
      </c>
      <c r="C261" s="233" cm="1">
        <f t="array" aca="1" ref="C261" ca="1">_FV(A261,"Change (%)",TRUE)</f>
        <v>2.6244E-2</v>
      </c>
      <c r="D261" s="87" cm="1">
        <f t="array" aca="1" ref="D261" ca="1">_FV(A261,"Price")</f>
        <v>26.2</v>
      </c>
      <c r="E261" s="65"/>
      <c r="F261" s="65"/>
      <c r="G261" s="65"/>
      <c r="H261" s="65"/>
      <c r="I261" s="87">
        <v>21.14</v>
      </c>
      <c r="J261" s="87" cm="1">
        <f t="array" aca="1" ref="J261" ca="1">_FV(A261,"High")</f>
        <v>26.4</v>
      </c>
      <c r="K261" s="87" cm="1">
        <f t="array" aca="1" ref="K261" ca="1">_FV(A261,"Low")</f>
        <v>24.64</v>
      </c>
      <c r="L261" s="87" cm="1">
        <f t="array" aca="1" ref="L261" ca="1">_FV(A261,"52 week high",TRUE)</f>
        <v>31.15</v>
      </c>
      <c r="M261" s="230">
        <f t="shared" ca="1" si="26"/>
        <v>28.035</v>
      </c>
      <c r="N261" s="231">
        <f t="shared" ca="1" si="27"/>
        <v>29.592499999999998</v>
      </c>
      <c r="O261" s="223" cm="1">
        <f t="array" aca="1" ref="O261" ca="1">_FV(A261,"52 week low",TRUE)</f>
        <v>7.78</v>
      </c>
      <c r="P261" s="223">
        <f t="shared" si="43"/>
        <v>7</v>
      </c>
      <c r="Q261" s="232">
        <f t="shared" ca="1" si="28"/>
        <v>0</v>
      </c>
      <c r="R261" s="232">
        <f t="shared" ca="1" si="29"/>
        <v>0</v>
      </c>
      <c r="S261" s="87" t="s">
        <v>76</v>
      </c>
      <c r="T261" s="87" t="s">
        <v>78</v>
      </c>
      <c r="U261" s="87" t="s">
        <v>88</v>
      </c>
      <c r="V261" s="57">
        <v>45643</v>
      </c>
      <c r="W261" s="57" t="s">
        <v>179</v>
      </c>
      <c r="X261" s="87" t="s">
        <v>11</v>
      </c>
      <c r="Y261" s="87">
        <v>13.4</v>
      </c>
      <c r="Z261" s="87">
        <v>13.68</v>
      </c>
      <c r="AA261" s="87">
        <v>13.68</v>
      </c>
      <c r="AB261" s="87"/>
      <c r="AC261" s="87">
        <v>21.14</v>
      </c>
      <c r="AD261" s="87">
        <f t="shared" si="30"/>
        <v>21.14</v>
      </c>
      <c r="AE261" s="65">
        <f t="shared" ref="AE261:AE266" ca="1" si="44">IF(Z261="-",+AC261/Y261-1,AC261/D261-1)</f>
        <v>-0.19312977099236639</v>
      </c>
      <c r="AF261" s="87">
        <v>70.44</v>
      </c>
      <c r="AG261" s="87">
        <f>IF(Z261="-",+AF261/D261-1,AF261/AC261-1)</f>
        <v>2.3320719016083253</v>
      </c>
      <c r="AH261" s="87">
        <v>13</v>
      </c>
      <c r="AI261" s="90">
        <f t="shared" ref="AI261:AI266" ca="1" si="45">IF(Z261="-",AH261/Y261-1,+AH261/D261-1)</f>
        <v>-0.50381679389312972</v>
      </c>
      <c r="AJ261" s="66">
        <f t="shared" si="33"/>
        <v>0.65716374269005873</v>
      </c>
      <c r="AK261" s="90">
        <f t="shared" si="34"/>
        <v>0.65716374269005873</v>
      </c>
      <c r="AL261" s="150">
        <v>22.67</v>
      </c>
      <c r="AM261" s="219">
        <f t="shared" si="35"/>
        <v>0.65716374269005873</v>
      </c>
      <c r="AN261" s="28">
        <f t="shared" ca="1" si="36"/>
        <v>0.15571239523599467</v>
      </c>
      <c r="AO261">
        <v>145</v>
      </c>
      <c r="AP261" s="5">
        <f t="shared" ca="1" si="37"/>
        <v>26.2</v>
      </c>
      <c r="AQ261" s="5">
        <f t="shared" ref="AQ261:AQ267" ca="1" si="46">+AO261*AP261</f>
        <v>3799</v>
      </c>
      <c r="AR261" s="75">
        <f t="shared" ref="AR261:AR267" si="47">+AL261</f>
        <v>22.67</v>
      </c>
      <c r="AS261" s="5">
        <f t="shared" ref="AS261:AS267" si="48">+AO261*AR261</f>
        <v>3287.15</v>
      </c>
      <c r="AT261" s="193">
        <f t="shared" ref="AT261:AT267" ca="1" si="49">+AQ261-AS261</f>
        <v>511.84999999999991</v>
      </c>
      <c r="AU261" s="28">
        <f t="shared" ca="1" si="42"/>
        <v>1.8833334702768377E-3</v>
      </c>
    </row>
    <row r="262" spans="1:47" x14ac:dyDescent="0.2">
      <c r="A262" s="87" t="e" vm="249">
        <v>#VALUE!</v>
      </c>
      <c r="B262" s="87" t="str" cm="1">
        <f t="array" aca="1" ref="B262" ca="1">_FV(A262,"Ticker symbol",TRUE)</f>
        <v>LTBR</v>
      </c>
      <c r="C262" s="233" cm="1">
        <f t="array" aca="1" ref="C262" ca="1">_FV(A262,"Change (%)",TRUE)</f>
        <v>4.1237000000000003E-2</v>
      </c>
      <c r="D262" s="87" cm="1">
        <f t="array" aca="1" ref="D262" ca="1">_FV(A262,"Price")</f>
        <v>13.13</v>
      </c>
      <c r="E262" s="65"/>
      <c r="F262" s="65"/>
      <c r="G262" s="65"/>
      <c r="H262" s="65"/>
      <c r="I262" s="87">
        <v>7.39</v>
      </c>
      <c r="J262" s="87" cm="1">
        <f t="array" aca="1" ref="J262" ca="1">_FV(A262,"High")</f>
        <v>13.29</v>
      </c>
      <c r="K262" s="87" cm="1">
        <f t="array" aca="1" ref="K262" ca="1">_FV(A262,"Low")</f>
        <v>12.59</v>
      </c>
      <c r="L262" s="87" cm="1">
        <f t="array" aca="1" ref="L262" ca="1">_FV(A262,"52 week high",TRUE)</f>
        <v>31.335000000000001</v>
      </c>
      <c r="M262" s="230">
        <f t="shared" ca="1" si="26"/>
        <v>28.201500000000003</v>
      </c>
      <c r="N262" s="231">
        <f t="shared" ca="1" si="27"/>
        <v>29.768249999999998</v>
      </c>
      <c r="O262" s="223" cm="1">
        <f t="array" aca="1" ref="O262" ca="1">_FV(A262,"52 week low",TRUE)</f>
        <v>8.52</v>
      </c>
      <c r="P262" s="223">
        <f t="shared" si="43"/>
        <v>8</v>
      </c>
      <c r="Q262" s="232">
        <f t="shared" ca="1" si="28"/>
        <v>0</v>
      </c>
      <c r="R262" s="232">
        <f t="shared" ca="1" si="29"/>
        <v>0</v>
      </c>
      <c r="S262" s="87" t="s">
        <v>166</v>
      </c>
      <c r="T262" s="87" t="s">
        <v>78</v>
      </c>
      <c r="U262" s="87" t="s">
        <v>88</v>
      </c>
      <c r="V262" s="57">
        <v>45653</v>
      </c>
      <c r="W262" s="57">
        <v>45653</v>
      </c>
      <c r="X262" s="87" t="s">
        <v>11</v>
      </c>
      <c r="Y262" s="87">
        <v>5.71</v>
      </c>
      <c r="Z262" s="87">
        <v>5.45</v>
      </c>
      <c r="AA262" s="87">
        <v>5.45</v>
      </c>
      <c r="AB262" s="87"/>
      <c r="AC262" s="87">
        <v>7.39</v>
      </c>
      <c r="AD262" s="87">
        <f t="shared" si="30"/>
        <v>7.39</v>
      </c>
      <c r="AE262" s="65">
        <f t="shared" ca="1" si="44"/>
        <v>-0.43716679360243726</v>
      </c>
      <c r="AF262" s="87" t="s">
        <v>11</v>
      </c>
      <c r="AG262" s="87" t="e">
        <f>IF(Z262="-",+AF262/D262-1,AF262/AC262-1)</f>
        <v>#VALUE!</v>
      </c>
      <c r="AH262" s="87">
        <v>4.88</v>
      </c>
      <c r="AI262" s="90">
        <f t="shared" ca="1" si="45"/>
        <v>-0.62833206397562835</v>
      </c>
      <c r="AJ262" s="66">
        <f t="shared" si="33"/>
        <v>0.35596330275229349</v>
      </c>
      <c r="AK262" s="90">
        <f t="shared" si="34"/>
        <v>0.35596330275229349</v>
      </c>
      <c r="AL262" s="150">
        <v>7.39</v>
      </c>
      <c r="AM262" s="219">
        <f t="shared" si="35"/>
        <v>0.35596330275229349</v>
      </c>
      <c r="AN262" s="28">
        <f ca="1">+D262/AL262-1</f>
        <v>0.77672530446549404</v>
      </c>
      <c r="AO262">
        <v>400</v>
      </c>
      <c r="AP262" s="5">
        <f t="shared" ca="1" si="37"/>
        <v>13.13</v>
      </c>
      <c r="AQ262" s="5">
        <f t="shared" ca="1" si="46"/>
        <v>5252</v>
      </c>
      <c r="AR262" s="75">
        <f t="shared" si="47"/>
        <v>7.39</v>
      </c>
      <c r="AS262" s="5">
        <f t="shared" si="48"/>
        <v>2956</v>
      </c>
      <c r="AT262" s="193">
        <f t="shared" ca="1" si="49"/>
        <v>2296</v>
      </c>
      <c r="AU262" s="28">
        <f t="shared" ca="1" si="42"/>
        <v>8.4480485449948614E-3</v>
      </c>
    </row>
    <row r="263" spans="1:47" x14ac:dyDescent="0.2">
      <c r="A263" s="87" t="e" vm="250">
        <v>#VALUE!</v>
      </c>
      <c r="B263" s="87" t="str" cm="1">
        <f t="array" aca="1" ref="B263" ca="1">_FV(A263,"Ticker symbol",TRUE)</f>
        <v>KVYO</v>
      </c>
      <c r="C263" s="233" cm="1">
        <f t="array" aca="1" ref="C263" ca="1">_FV(A263,"Change (%)",TRUE)</f>
        <v>5.1409999999999997E-4</v>
      </c>
      <c r="D263" s="87" cm="1">
        <f t="array" aca="1" ref="D263" ca="1">_FV(A263,"Price")</f>
        <v>19.46</v>
      </c>
      <c r="E263" s="65"/>
      <c r="F263" s="65"/>
      <c r="G263" s="65"/>
      <c r="H263" s="65"/>
      <c r="I263" s="87">
        <v>42.88</v>
      </c>
      <c r="J263" s="87" cm="1">
        <f t="array" aca="1" ref="J263" ca="1">_FV(A263,"High")</f>
        <v>20.149999999999999</v>
      </c>
      <c r="K263" s="87" cm="1">
        <f t="array" aca="1" ref="K263" ca="1">_FV(A263,"Low")</f>
        <v>19.155000000000001</v>
      </c>
      <c r="L263" s="87" cm="1">
        <f t="array" aca="1" ref="L263" ca="1">_FV(A263,"52 week high",TRUE)</f>
        <v>37.79</v>
      </c>
      <c r="M263" s="230">
        <f t="shared" ca="1" si="26"/>
        <v>34.011000000000003</v>
      </c>
      <c r="N263" s="231">
        <f t="shared" ca="1" si="27"/>
        <v>35.900500000000001</v>
      </c>
      <c r="O263" s="223" cm="1">
        <f t="array" aca="1" ref="O263" ca="1">_FV(A263,"52 week low",TRUE)</f>
        <v>15.53</v>
      </c>
      <c r="P263" s="223">
        <f t="shared" si="43"/>
        <v>9</v>
      </c>
      <c r="Q263" s="232">
        <f t="shared" ca="1" si="28"/>
        <v>0</v>
      </c>
      <c r="R263" s="232">
        <f t="shared" ca="1" si="29"/>
        <v>0</v>
      </c>
      <c r="S263" s="87" t="s">
        <v>76</v>
      </c>
      <c r="T263" s="87" t="s">
        <v>78</v>
      </c>
      <c r="U263" s="87" t="s">
        <v>26</v>
      </c>
      <c r="V263" s="57">
        <v>45554</v>
      </c>
      <c r="W263" s="57">
        <v>45554</v>
      </c>
      <c r="X263" s="87" t="s">
        <v>145</v>
      </c>
      <c r="Y263" s="87">
        <v>33.76</v>
      </c>
      <c r="Z263" s="87">
        <v>33.76</v>
      </c>
      <c r="AA263" s="87">
        <v>33.76</v>
      </c>
      <c r="AB263" s="87"/>
      <c r="AC263" s="87">
        <v>42.88</v>
      </c>
      <c r="AD263" s="87">
        <f t="shared" si="30"/>
        <v>42.88</v>
      </c>
      <c r="AE263" s="65">
        <f t="shared" ca="1" si="44"/>
        <v>1.2034943473792397</v>
      </c>
      <c r="AF263" s="87" t="s">
        <v>11</v>
      </c>
      <c r="AG263" s="87" t="s">
        <v>11</v>
      </c>
      <c r="AH263" s="87">
        <v>29.28</v>
      </c>
      <c r="AI263" s="90">
        <f t="shared" ca="1" si="45"/>
        <v>0.50462487153134639</v>
      </c>
      <c r="AJ263" s="66">
        <f t="shared" si="33"/>
        <v>0.27014218009478697</v>
      </c>
      <c r="AK263" s="90">
        <f t="shared" si="34"/>
        <v>0.27014218009478697</v>
      </c>
      <c r="AL263" s="150">
        <v>42.88</v>
      </c>
      <c r="AM263" s="219">
        <f t="shared" si="35"/>
        <v>0.27014218009478697</v>
      </c>
      <c r="AN263" s="28">
        <f t="shared" ca="1" si="36"/>
        <v>-0.5461753731343284</v>
      </c>
      <c r="AO263">
        <v>250</v>
      </c>
      <c r="AP263" s="5">
        <f t="shared" ca="1" si="37"/>
        <v>19.46</v>
      </c>
      <c r="AQ263" s="5">
        <f t="shared" ca="1" si="46"/>
        <v>4865</v>
      </c>
      <c r="AR263" s="75">
        <f t="shared" si="47"/>
        <v>42.88</v>
      </c>
      <c r="AS263" s="5">
        <f t="shared" si="48"/>
        <v>10720</v>
      </c>
      <c r="AT263" s="193">
        <f t="shared" ca="1" si="49"/>
        <v>-5855</v>
      </c>
      <c r="AU263" s="28">
        <f t="shared" ca="1" si="42"/>
        <v>-2.15432596824673E-2</v>
      </c>
    </row>
    <row r="264" spans="1:47" x14ac:dyDescent="0.2">
      <c r="A264" s="87" t="e" vm="251">
        <v>#VALUE!</v>
      </c>
      <c r="B264" s="87" t="str" cm="1">
        <f t="array" aca="1" ref="B264" ca="1">_FV(A264,"Ticker symbol",TRUE)</f>
        <v>AMZN</v>
      </c>
      <c r="C264" s="233" cm="1">
        <f t="array" aca="1" ref="C264" ca="1">_FV(A264,"Change (%)",TRUE)</f>
        <v>-1.1061000000000001E-2</v>
      </c>
      <c r="D264" s="87" cm="1">
        <f t="array" aca="1" ref="D264" ca="1">_FV(A264,"Price")</f>
        <v>261.07</v>
      </c>
      <c r="E264" s="65"/>
      <c r="F264" s="65"/>
      <c r="G264" s="65"/>
      <c r="H264" s="65"/>
      <c r="I264" s="87">
        <v>235.88</v>
      </c>
      <c r="J264" s="87" cm="1">
        <f t="array" aca="1" ref="J264" ca="1">_FV(A264,"High")</f>
        <v>264.14999999999998</v>
      </c>
      <c r="K264" s="87" cm="1">
        <f t="array" aca="1" ref="K264" ca="1">_FV(A264,"Low")</f>
        <v>260.33999999999997</v>
      </c>
      <c r="L264" s="87" cm="1">
        <f t="array" aca="1" ref="L264" ca="1">_FV(A264,"52 week high",TRUE)</f>
        <v>264.5</v>
      </c>
      <c r="M264" s="230">
        <f t="shared" ca="1" si="26"/>
        <v>238.05</v>
      </c>
      <c r="N264" s="231">
        <f t="shared" ca="1" si="27"/>
        <v>251.27499999999998</v>
      </c>
      <c r="O264" s="223" cm="1">
        <f t="array" aca="1" ref="O264" ca="1">_FV(A264,"52 week low",TRUE)</f>
        <v>178.85</v>
      </c>
      <c r="P264" s="223">
        <f t="shared" si="43"/>
        <v>10</v>
      </c>
      <c r="Q264" s="232">
        <f t="shared" ca="1" si="28"/>
        <v>1</v>
      </c>
      <c r="R264" s="232">
        <f t="shared" ca="1" si="29"/>
        <v>1</v>
      </c>
      <c r="S264" s="87" t="s">
        <v>75</v>
      </c>
      <c r="T264" s="87" t="s">
        <v>78</v>
      </c>
      <c r="U264" s="87" t="s">
        <v>26</v>
      </c>
      <c r="V264" s="57">
        <v>45551</v>
      </c>
      <c r="W264" s="57">
        <v>45551</v>
      </c>
      <c r="X264" s="87" t="s">
        <v>11</v>
      </c>
      <c r="Y264" s="87">
        <v>188.51</v>
      </c>
      <c r="Z264" s="87">
        <v>183.8</v>
      </c>
      <c r="AA264" s="87">
        <v>183.8</v>
      </c>
      <c r="AB264" s="87"/>
      <c r="AC264" s="87">
        <v>235.88</v>
      </c>
      <c r="AD264" s="87">
        <f t="shared" si="30"/>
        <v>235.88</v>
      </c>
      <c r="AE264" s="65">
        <f t="shared" ca="1" si="44"/>
        <v>-9.6487532079518878E-2</v>
      </c>
      <c r="AF264" s="87">
        <v>259.94</v>
      </c>
      <c r="AG264" s="87">
        <f t="shared" ref="AG264:AG272" si="50">IF(Z264="-",+AF264/D264-1,AF264/AC264-1)</f>
        <v>0.10200101746650847</v>
      </c>
      <c r="AH264" s="87">
        <v>164.96</v>
      </c>
      <c r="AI264" s="90">
        <f t="shared" ca="1" si="45"/>
        <v>-0.36813881334507981</v>
      </c>
      <c r="AJ264" s="66">
        <f t="shared" si="33"/>
        <v>0.27791077257889008</v>
      </c>
      <c r="AK264" s="90">
        <f t="shared" si="34"/>
        <v>0.27791077257889008</v>
      </c>
      <c r="AL264" s="150">
        <v>234.88</v>
      </c>
      <c r="AM264" s="219">
        <f t="shared" si="35"/>
        <v>0.27791077257889008</v>
      </c>
      <c r="AN264" s="28">
        <f t="shared" ca="1" si="36"/>
        <v>0.11150374659400542</v>
      </c>
      <c r="AO264">
        <v>48</v>
      </c>
      <c r="AP264" s="5">
        <f t="shared" ca="1" si="37"/>
        <v>261.07</v>
      </c>
      <c r="AQ264" s="5">
        <f t="shared" ca="1" si="46"/>
        <v>12531.36</v>
      </c>
      <c r="AR264" s="75">
        <f t="shared" si="47"/>
        <v>234.88</v>
      </c>
      <c r="AS264" s="5">
        <f t="shared" si="48"/>
        <v>11274.24</v>
      </c>
      <c r="AT264" s="193">
        <f t="shared" ca="1" si="49"/>
        <v>1257.1200000000008</v>
      </c>
      <c r="AU264" s="28">
        <f t="shared" ca="1" si="42"/>
        <v>4.6255273462038103E-3</v>
      </c>
    </row>
    <row r="265" spans="1:47" x14ac:dyDescent="0.2">
      <c r="A265" s="87" t="e" vm="252">
        <v>#VALUE!</v>
      </c>
      <c r="B265" s="87" t="str" cm="1">
        <f t="array" aca="1" ref="B265" ca="1">_FV(A265,"Ticker symbol",TRUE)</f>
        <v>KOPN</v>
      </c>
      <c r="C265" s="233" cm="1">
        <f t="array" aca="1" ref="C265" ca="1">_FV(A265,"Change (%)",TRUE)</f>
        <v>2.7029999999999997E-3</v>
      </c>
      <c r="D265" s="87" cm="1">
        <f t="array" aca="1" ref="D265" ca="1">_FV(A265,"Price")</f>
        <v>3.71</v>
      </c>
      <c r="E265" s="65"/>
      <c r="F265" s="65"/>
      <c r="G265" s="65"/>
      <c r="H265" s="65"/>
      <c r="I265" s="87">
        <v>1.91</v>
      </c>
      <c r="J265" s="87" cm="1">
        <f t="array" aca="1" ref="J265" ca="1">_FV(A265,"High")</f>
        <v>3.95</v>
      </c>
      <c r="K265" s="87" cm="1">
        <f t="array" aca="1" ref="K265" ca="1">_FV(A265,"Low")</f>
        <v>3.56</v>
      </c>
      <c r="L265" s="87" cm="1">
        <f t="array" aca="1" ref="L265" ca="1">_FV(A265,"52 week high",TRUE)</f>
        <v>4.16</v>
      </c>
      <c r="M265" s="230">
        <f t="shared" ca="1" si="26"/>
        <v>3.7440000000000002</v>
      </c>
      <c r="N265" s="231">
        <f t="shared" ca="1" si="27"/>
        <v>3.952</v>
      </c>
      <c r="O265" s="223" cm="1">
        <f t="array" aca="1" ref="O265" ca="1">_FV(A265,"52 week low",TRUE)</f>
        <v>1.18</v>
      </c>
      <c r="P265" s="223">
        <f t="shared" si="43"/>
        <v>11</v>
      </c>
      <c r="Q265" s="232">
        <f t="shared" ca="1" si="28"/>
        <v>0</v>
      </c>
      <c r="R265" s="232">
        <f t="shared" ca="1" si="29"/>
        <v>0</v>
      </c>
      <c r="S265" s="87" t="s">
        <v>76</v>
      </c>
      <c r="T265" s="87" t="s">
        <v>78</v>
      </c>
      <c r="U265" s="87" t="s">
        <v>88</v>
      </c>
      <c r="V265" s="57">
        <v>45644</v>
      </c>
      <c r="W265" s="57">
        <v>45644</v>
      </c>
      <c r="X265" s="87" t="s">
        <v>11</v>
      </c>
      <c r="Y265" s="87" t="s">
        <v>11</v>
      </c>
      <c r="Z265" s="87">
        <v>1.33</v>
      </c>
      <c r="AA265" s="87">
        <v>1.33</v>
      </c>
      <c r="AB265" s="87"/>
      <c r="AC265" s="87">
        <v>1.91</v>
      </c>
      <c r="AD265" s="87">
        <f t="shared" si="30"/>
        <v>1.91</v>
      </c>
      <c r="AE265" s="65">
        <f t="shared" ca="1" si="44"/>
        <v>-0.48517520215633425</v>
      </c>
      <c r="AF265" s="87">
        <v>2</v>
      </c>
      <c r="AG265" s="87">
        <f t="shared" si="50"/>
        <v>4.7120418848167533E-2</v>
      </c>
      <c r="AH265" s="87" t="s">
        <v>11</v>
      </c>
      <c r="AI265" s="90" t="e">
        <f t="shared" ca="1" si="45"/>
        <v>#VALUE!</v>
      </c>
      <c r="AJ265" s="66">
        <f t="shared" si="33"/>
        <v>0.54135338345864636</v>
      </c>
      <c r="AK265" s="90">
        <f t="shared" si="34"/>
        <v>0.54135338345864636</v>
      </c>
      <c r="AL265" s="150">
        <v>2.0499999999999998</v>
      </c>
      <c r="AM265" s="219">
        <f t="shared" si="35"/>
        <v>0.54135338345864636</v>
      </c>
      <c r="AN265" s="28">
        <f t="shared" ca="1" si="36"/>
        <v>0.80975609756097566</v>
      </c>
      <c r="AO265">
        <v>2300</v>
      </c>
      <c r="AP265" s="5">
        <f t="shared" ca="1" si="37"/>
        <v>3.71</v>
      </c>
      <c r="AQ265" s="5">
        <f t="shared" ca="1" si="46"/>
        <v>8533</v>
      </c>
      <c r="AR265" s="75">
        <f t="shared" si="47"/>
        <v>2.0499999999999998</v>
      </c>
      <c r="AS265" s="5">
        <f t="shared" si="48"/>
        <v>4715</v>
      </c>
      <c r="AT265" s="193">
        <f t="shared" ca="1" si="49"/>
        <v>3818</v>
      </c>
      <c r="AU265" s="28">
        <f t="shared" ca="1" si="42"/>
        <v>1.404819222334076E-2</v>
      </c>
    </row>
    <row r="266" spans="1:47" x14ac:dyDescent="0.2">
      <c r="A266" s="87" t="e" vm="253">
        <v>#VALUE!</v>
      </c>
      <c r="B266" s="87" t="str" cm="1">
        <f t="array" aca="1" ref="B266" ca="1">_FV(A266,"Ticker symbol",TRUE)</f>
        <v>SMR</v>
      </c>
      <c r="C266" s="233" cm="1">
        <f t="array" aca="1" ref="C266" ca="1">_FV(A266,"Change (%)",TRUE)</f>
        <v>5.602E-2</v>
      </c>
      <c r="D266" s="87" cm="1">
        <f t="array" aca="1" ref="D266" ca="1">_FV(A266,"Price")</f>
        <v>12.63</v>
      </c>
      <c r="E266" s="65"/>
      <c r="F266" s="65"/>
      <c r="G266" s="65"/>
      <c r="H266" s="65"/>
      <c r="I266" s="87">
        <v>29.14</v>
      </c>
      <c r="J266" s="87" cm="1">
        <f t="array" aca="1" ref="J266" ca="1">_FV(A266,"High")</f>
        <v>12.74</v>
      </c>
      <c r="K266" s="87" cm="1">
        <f t="array" aca="1" ref="K266" ca="1">_FV(A266,"Low")</f>
        <v>11.7</v>
      </c>
      <c r="L266" s="87" cm="1">
        <f t="array" aca="1" ref="L266" ca="1">_FV(A266,"52 week high",TRUE)</f>
        <v>57.42</v>
      </c>
      <c r="M266" s="230">
        <f t="shared" ca="1" si="26"/>
        <v>51.678000000000004</v>
      </c>
      <c r="N266" s="231">
        <f t="shared" ca="1" si="27"/>
        <v>54.548999999999999</v>
      </c>
      <c r="O266" s="223" cm="1">
        <f t="array" aca="1" ref="O266" ca="1">_FV(A266,"52 week low",TRUE)</f>
        <v>8.85</v>
      </c>
      <c r="P266" s="223">
        <f t="shared" si="43"/>
        <v>12</v>
      </c>
      <c r="Q266" s="232">
        <f t="shared" ca="1" si="28"/>
        <v>0</v>
      </c>
      <c r="R266" s="232">
        <f t="shared" ca="1" si="29"/>
        <v>0</v>
      </c>
      <c r="S266" s="87" t="s">
        <v>75</v>
      </c>
      <c r="T266" s="87" t="s">
        <v>78</v>
      </c>
      <c r="U266" s="87" t="s">
        <v>26</v>
      </c>
      <c r="V266" s="57">
        <v>45664</v>
      </c>
      <c r="W266" s="57">
        <v>45664</v>
      </c>
      <c r="X266" s="87" t="s">
        <v>11</v>
      </c>
      <c r="Y266" s="87">
        <v>22.41</v>
      </c>
      <c r="Z266" s="87">
        <v>22.41</v>
      </c>
      <c r="AA266" s="87">
        <v>22.41</v>
      </c>
      <c r="AB266" s="87"/>
      <c r="AC266" s="87">
        <v>29.14</v>
      </c>
      <c r="AD266" s="87">
        <f t="shared" si="30"/>
        <v>29.14</v>
      </c>
      <c r="AE266" s="65">
        <f t="shared" ca="1" si="44"/>
        <v>1.307205067300079</v>
      </c>
      <c r="AF266" s="87" t="s">
        <v>11</v>
      </c>
      <c r="AG266" s="87" t="e">
        <f t="shared" si="50"/>
        <v>#VALUE!</v>
      </c>
      <c r="AH266" s="87">
        <v>19.05</v>
      </c>
      <c r="AI266" s="90">
        <f t="shared" ca="1" si="45"/>
        <v>0.50831353919239897</v>
      </c>
      <c r="AJ266" s="66">
        <f t="shared" si="33"/>
        <v>0.30031236055332444</v>
      </c>
      <c r="AK266" s="90">
        <f t="shared" si="34"/>
        <v>0.30031236055332444</v>
      </c>
      <c r="AL266" s="150">
        <v>29.14</v>
      </c>
      <c r="AM266" s="219">
        <f t="shared" si="35"/>
        <v>0.30031236055332444</v>
      </c>
      <c r="AN266" s="28">
        <f t="shared" ca="1" si="36"/>
        <v>-0.56657515442690465</v>
      </c>
      <c r="AO266">
        <v>446</v>
      </c>
      <c r="AP266" s="5">
        <f t="shared" ca="1" si="37"/>
        <v>12.63</v>
      </c>
      <c r="AQ266" s="5">
        <f t="shared" ca="1" si="46"/>
        <v>5632.9800000000005</v>
      </c>
      <c r="AR266" s="75">
        <f t="shared" si="47"/>
        <v>29.14</v>
      </c>
      <c r="AS266" s="5">
        <f t="shared" si="48"/>
        <v>12996.44</v>
      </c>
      <c r="AT266" s="193">
        <f t="shared" ca="1" si="49"/>
        <v>-7363.46</v>
      </c>
      <c r="AU266" s="28">
        <f t="shared" ca="1" si="42"/>
        <v>-2.7093583422965098E-2</v>
      </c>
    </row>
    <row r="267" spans="1:47" x14ac:dyDescent="0.2">
      <c r="A267" s="87" t="e" vm="254">
        <v>#VALUE!</v>
      </c>
      <c r="B267" s="87" t="str" cm="1">
        <f t="array" aca="1" ref="B267" ca="1">_FV(A267,"Ticker symbol",TRUE)</f>
        <v>LYV</v>
      </c>
      <c r="C267" s="233" cm="1">
        <f t="array" aca="1" ref="C267" ca="1">_FV(A267,"Change (%)",TRUE)</f>
        <v>-1.2770000000000001E-4</v>
      </c>
      <c r="D267" s="87" cm="1">
        <f t="array" aca="1" ref="D267" ca="1">_FV(A267,"Price")</f>
        <v>156.62</v>
      </c>
      <c r="E267" s="65"/>
      <c r="F267" s="65"/>
      <c r="G267" s="65"/>
      <c r="H267" s="65"/>
      <c r="I267" s="87">
        <v>95.44</v>
      </c>
      <c r="J267" s="87" cm="1">
        <f t="array" aca="1" ref="J267" ca="1">_FV(A267,"High")</f>
        <v>158</v>
      </c>
      <c r="K267" s="87" cm="1">
        <f t="array" aca="1" ref="K267" ca="1">_FV(A267,"Low")</f>
        <v>154.54</v>
      </c>
      <c r="L267" s="87" cm="1">
        <f t="array" aca="1" ref="L267" ca="1">_FV(A267,"52 week high",TRUE)</f>
        <v>175.25</v>
      </c>
      <c r="M267" s="230">
        <f t="shared" ca="1" si="26"/>
        <v>157.72499999999999</v>
      </c>
      <c r="N267" s="231">
        <f t="shared" ca="1" si="27"/>
        <v>166.48749999999998</v>
      </c>
      <c r="O267" s="223" cm="1">
        <f t="array" aca="1" ref="O267" ca="1">_FV(A267,"52 week low",TRUE)</f>
        <v>125.34</v>
      </c>
      <c r="P267" s="223">
        <f t="shared" si="43"/>
        <v>13</v>
      </c>
      <c r="Q267" s="232">
        <f t="shared" ca="1" si="28"/>
        <v>0</v>
      </c>
      <c r="R267" s="232">
        <f t="shared" ca="1" si="29"/>
        <v>0</v>
      </c>
      <c r="S267" s="87" t="s">
        <v>75</v>
      </c>
      <c r="T267" s="87" t="s">
        <v>78</v>
      </c>
      <c r="U267" s="87" t="s">
        <v>26</v>
      </c>
      <c r="V267" s="57">
        <v>45181</v>
      </c>
      <c r="W267" s="57">
        <v>45181</v>
      </c>
      <c r="X267" s="87" t="s">
        <v>11</v>
      </c>
      <c r="Y267" s="87">
        <v>82.58</v>
      </c>
      <c r="Z267" s="87">
        <v>81.66</v>
      </c>
      <c r="AA267" s="87">
        <v>81.66</v>
      </c>
      <c r="AB267" s="87"/>
      <c r="AC267" s="87">
        <v>95.44</v>
      </c>
      <c r="AD267" s="87">
        <f t="shared" si="30"/>
        <v>95.44</v>
      </c>
      <c r="AE267" s="65">
        <f t="shared" ref="AE267:AE272" ca="1" si="51">IF(Z267="-",+AC267/Y267-1,AC267/D267-1)</f>
        <v>-0.3906269952751884</v>
      </c>
      <c r="AF267" s="87">
        <v>99.89</v>
      </c>
      <c r="AG267" s="87">
        <f t="shared" si="50"/>
        <v>4.6626152556580092E-2</v>
      </c>
      <c r="AH267" s="87">
        <v>76.290000000000006</v>
      </c>
      <c r="AI267" s="90">
        <f t="shared" ref="AI267:AI272" ca="1" si="52">IF(Z267="-",AH267/Y267-1,+AH267/D267-1)</f>
        <v>-0.51289745881752014</v>
      </c>
      <c r="AJ267" s="66">
        <f t="shared" si="33"/>
        <v>0.76647073230467799</v>
      </c>
      <c r="AK267" s="90">
        <f t="shared" si="34"/>
        <v>0.76647073230467799</v>
      </c>
      <c r="AL267" s="150">
        <v>144.25</v>
      </c>
      <c r="AM267" s="219">
        <f t="shared" si="35"/>
        <v>0.76647073230467799</v>
      </c>
      <c r="AN267" s="28">
        <f t="shared" ca="1" si="36"/>
        <v>8.5753899480069284E-2</v>
      </c>
      <c r="AO267">
        <v>47</v>
      </c>
      <c r="AP267" s="5">
        <f t="shared" ca="1" si="37"/>
        <v>156.62</v>
      </c>
      <c r="AQ267" s="5">
        <f t="shared" ca="1" si="46"/>
        <v>7361.14</v>
      </c>
      <c r="AR267" s="75">
        <f t="shared" si="47"/>
        <v>144.25</v>
      </c>
      <c r="AS267" s="5">
        <f t="shared" si="48"/>
        <v>6779.75</v>
      </c>
      <c r="AT267" s="193">
        <f t="shared" ca="1" si="49"/>
        <v>581.39000000000033</v>
      </c>
      <c r="AU267" s="28">
        <f t="shared" ca="1" si="42"/>
        <v>2.139203372637006E-3</v>
      </c>
    </row>
    <row r="268" spans="1:47" x14ac:dyDescent="0.2">
      <c r="A268" s="87" t="e" vm="255">
        <v>#VALUE!</v>
      </c>
      <c r="B268" s="87" t="str" cm="1">
        <f t="array" aca="1" ref="B268" ca="1">_FV(A268,"Ticker symbol",TRUE)</f>
        <v>PL</v>
      </c>
      <c r="C268" s="233" cm="1">
        <f t="array" aca="1" ref="C268" ca="1">_FV(A268,"Change (%)",TRUE)</f>
        <v>1.4109999999999999E-4</v>
      </c>
      <c r="D268" s="87" cm="1">
        <f t="array" aca="1" ref="D268" ca="1">_FV(A268,"Price")</f>
        <v>35.445</v>
      </c>
      <c r="E268" s="65"/>
      <c r="F268" s="65"/>
      <c r="G268" s="65"/>
      <c r="H268" s="65"/>
      <c r="I268" s="87">
        <v>5.77</v>
      </c>
      <c r="J268" s="87" cm="1">
        <f t="array" aca="1" ref="J268" ca="1">_FV(A268,"High")</f>
        <v>36.229999999999997</v>
      </c>
      <c r="K268" s="87" cm="1">
        <f t="array" aca="1" ref="K268" ca="1">_FV(A268,"Low")</f>
        <v>33.630000000000003</v>
      </c>
      <c r="L268" s="87" cm="1">
        <f t="array" aca="1" ref="L268" ca="1">_FV(A268,"52 week high",TRUE)</f>
        <v>41.71</v>
      </c>
      <c r="M268" s="230">
        <f t="shared" ref="M268:M273" ca="1" si="53">+L268*0.9</f>
        <v>37.539000000000001</v>
      </c>
      <c r="N268" s="231">
        <f t="shared" ref="N268:N273" ca="1" si="54">+L268*0.95</f>
        <v>39.624499999999998</v>
      </c>
      <c r="O268" s="223" cm="1">
        <f t="array" aca="1" ref="O268" ca="1">_FV(A268,"52 week low",TRUE)</f>
        <v>3.17</v>
      </c>
      <c r="P268" s="223">
        <f t="shared" si="43"/>
        <v>14</v>
      </c>
      <c r="Q268" s="232">
        <f t="shared" ref="Q268:Q273" ca="1" si="55">GESTEP(D268,M268)</f>
        <v>0</v>
      </c>
      <c r="R268" s="232">
        <f t="shared" ref="R268:R273" ca="1" si="56">GESTEP(D268,N268)</f>
        <v>0</v>
      </c>
      <c r="S268" s="87" t="s">
        <v>181</v>
      </c>
      <c r="T268" s="87" t="s">
        <v>78</v>
      </c>
      <c r="U268" s="87" t="s">
        <v>88</v>
      </c>
      <c r="V268" s="57">
        <v>45680</v>
      </c>
      <c r="W268" s="57">
        <v>45680</v>
      </c>
      <c r="X268" s="87"/>
      <c r="Y268" s="87">
        <v>4.3600000000000003</v>
      </c>
      <c r="Z268" s="87">
        <v>4.3</v>
      </c>
      <c r="AA268" s="87">
        <v>4.3</v>
      </c>
      <c r="AB268" s="87"/>
      <c r="AC268" s="87">
        <v>5.77</v>
      </c>
      <c r="AD268" s="87">
        <f t="shared" si="30"/>
        <v>5.77</v>
      </c>
      <c r="AE268" s="65">
        <f t="shared" ca="1" si="51"/>
        <v>-0.83721258287487654</v>
      </c>
      <c r="AF268" s="87"/>
      <c r="AG268" s="87">
        <f t="shared" si="50"/>
        <v>-1</v>
      </c>
      <c r="AH268" s="87">
        <v>3.6</v>
      </c>
      <c r="AI268" s="90">
        <f t="shared" ca="1" si="52"/>
        <v>-0.89843419382141343</v>
      </c>
      <c r="AJ268" s="66">
        <f t="shared" si="33"/>
        <v>0.5</v>
      </c>
      <c r="AK268" s="90">
        <f t="shared" si="34"/>
        <v>0.5</v>
      </c>
      <c r="AL268" s="150">
        <v>6.45</v>
      </c>
      <c r="AM268" s="219">
        <f t="shared" si="35"/>
        <v>0.5</v>
      </c>
      <c r="AN268" s="28">
        <f t="shared" ca="1" si="36"/>
        <v>4.4953488372093018</v>
      </c>
      <c r="AO268">
        <v>700</v>
      </c>
      <c r="AP268" s="5">
        <f t="shared" ca="1" si="37"/>
        <v>35.445</v>
      </c>
      <c r="AQ268" s="5">
        <f t="shared" ref="AQ268:AQ275" ca="1" si="57">+AO268*AP268</f>
        <v>24811.5</v>
      </c>
      <c r="AR268" s="75">
        <f t="shared" ref="AR268:AR275" si="58">+AL268</f>
        <v>6.45</v>
      </c>
      <c r="AS268" s="5">
        <f t="shared" ref="AS268:AS275" si="59">+AO268*AR268</f>
        <v>4515</v>
      </c>
      <c r="AT268" s="193">
        <f t="shared" ref="AT268:AT275" ca="1" si="60">+AQ268-AS268</f>
        <v>20296.5</v>
      </c>
      <c r="AU268" s="28">
        <f t="shared" ca="1" si="42"/>
        <v>7.4680234012843308E-2</v>
      </c>
    </row>
    <row r="269" spans="1:47" x14ac:dyDescent="0.2">
      <c r="A269" s="87" t="e" vm="256">
        <v>#VALUE!</v>
      </c>
      <c r="B269" s="87" t="str" cm="1">
        <f t="array" aca="1" ref="B269" ca="1">_FV(A269,"Ticker symbol",TRUE)</f>
        <v>VK</v>
      </c>
      <c r="C269" s="233" cm="1">
        <f t="array" aca="1" ref="C269" ca="1">_FV(A269,"Change (%)",TRUE)</f>
        <v>0</v>
      </c>
      <c r="D269" s="87" cm="1">
        <f t="array" aca="1" ref="D269" ca="1">_FV(A269,"Price")</f>
        <v>25.17</v>
      </c>
      <c r="E269" s="65"/>
      <c r="F269" s="65"/>
      <c r="G269" s="65"/>
      <c r="H269" s="65"/>
      <c r="I269" s="87">
        <v>17.11</v>
      </c>
      <c r="J269" s="87" cm="1">
        <f t="array" aca="1" ref="J269" ca="1">_FV(A269,"High")</f>
        <v>25.67</v>
      </c>
      <c r="K269" s="87" cm="1">
        <f t="array" aca="1" ref="K269" ca="1">_FV(A269,"Low")</f>
        <v>25.11</v>
      </c>
      <c r="L269" s="87" cm="1">
        <f t="array" aca="1" ref="L269" ca="1">_FV(A269,"52 week high",TRUE)</f>
        <v>25.67</v>
      </c>
      <c r="M269" s="230">
        <f t="shared" ca="1" si="53"/>
        <v>23.103000000000002</v>
      </c>
      <c r="N269" s="231">
        <f t="shared" ca="1" si="54"/>
        <v>24.386500000000002</v>
      </c>
      <c r="O269" s="223" cm="1">
        <f t="array" aca="1" ref="O269" ca="1">_FV(A269,"52 week low",TRUE)</f>
        <v>14.56</v>
      </c>
      <c r="P269" s="223">
        <f t="shared" si="43"/>
        <v>15</v>
      </c>
      <c r="Q269" s="232">
        <f t="shared" ca="1" si="55"/>
        <v>1</v>
      </c>
      <c r="R269" s="232">
        <f t="shared" ca="1" si="56"/>
        <v>1</v>
      </c>
      <c r="S269" s="87" t="s">
        <v>75</v>
      </c>
      <c r="T269" s="87" t="s">
        <v>78</v>
      </c>
      <c r="U269" s="87" t="s">
        <v>26</v>
      </c>
      <c r="V269" s="57">
        <v>45339</v>
      </c>
      <c r="W269" s="57">
        <v>45362</v>
      </c>
      <c r="X269" s="87">
        <v>14.56</v>
      </c>
      <c r="Y269" s="87">
        <v>14.73</v>
      </c>
      <c r="Z269" s="87">
        <v>14.65</v>
      </c>
      <c r="AA269" s="87">
        <v>14.65</v>
      </c>
      <c r="AB269" s="87"/>
      <c r="AC269" s="87">
        <v>17.11</v>
      </c>
      <c r="AD269" s="87">
        <f t="shared" si="30"/>
        <v>17.11</v>
      </c>
      <c r="AE269" s="65">
        <f t="shared" ca="1" si="51"/>
        <v>-0.32022248708780299</v>
      </c>
      <c r="AF269" s="87">
        <v>20.48</v>
      </c>
      <c r="AG269" s="87">
        <f t="shared" si="50"/>
        <v>0.19696084161309191</v>
      </c>
      <c r="AH269" s="87">
        <v>12.744999999999999</v>
      </c>
      <c r="AI269" s="90">
        <f t="shared" ca="1" si="52"/>
        <v>-0.49364322606277322</v>
      </c>
      <c r="AJ269" s="66">
        <f t="shared" si="33"/>
        <v>0.31638225255972685</v>
      </c>
      <c r="AK269" s="90">
        <f t="shared" si="34"/>
        <v>0.31638225255972685</v>
      </c>
      <c r="AL269" s="150">
        <v>19.285</v>
      </c>
      <c r="AM269" s="219">
        <f t="shared" si="35"/>
        <v>0.31638225255972685</v>
      </c>
      <c r="AN269" s="28">
        <f t="shared" ca="1" si="36"/>
        <v>0.30515945035001302</v>
      </c>
      <c r="AO269">
        <v>688</v>
      </c>
      <c r="AP269" s="5">
        <f t="shared" ca="1" si="37"/>
        <v>25.17</v>
      </c>
      <c r="AQ269" s="5">
        <f t="shared" ca="1" si="57"/>
        <v>17316.960000000003</v>
      </c>
      <c r="AR269" s="75">
        <f t="shared" si="58"/>
        <v>19.285</v>
      </c>
      <c r="AS269" s="5">
        <f t="shared" si="59"/>
        <v>13268.08</v>
      </c>
      <c r="AT269" s="193">
        <f t="shared" ca="1" si="60"/>
        <v>4048.8800000000028</v>
      </c>
      <c r="AU269" s="28">
        <f t="shared" ca="1" si="42"/>
        <v>1.4897706791314818E-2</v>
      </c>
    </row>
    <row r="270" spans="1:47" x14ac:dyDescent="0.2">
      <c r="A270" s="87" t="e" vm="257">
        <v>#VALUE!</v>
      </c>
      <c r="B270" s="87" t="str" cm="1">
        <f t="array" aca="1" ref="B270" ca="1">_FV(A270,"Ticker symbol",TRUE)</f>
        <v>SATL</v>
      </c>
      <c r="C270" s="233" cm="1">
        <f t="array" aca="1" ref="C270" ca="1">_FV(A270,"Change (%)",TRUE)</f>
        <v>1.5397000000000001E-2</v>
      </c>
      <c r="D270" s="87" cm="1">
        <f t="array" aca="1" ref="D270" ca="1">_FV(A270,"Price")</f>
        <v>6.2649999999999997</v>
      </c>
      <c r="E270" s="65"/>
      <c r="F270" s="65"/>
      <c r="G270" s="65"/>
      <c r="H270" s="65"/>
      <c r="I270" s="87">
        <v>4.05</v>
      </c>
      <c r="J270" s="87" cm="1">
        <f t="array" aca="1" ref="J270" ca="1">_FV(A270,"High")</f>
        <v>6.28</v>
      </c>
      <c r="K270" s="87" cm="1">
        <f t="array" aca="1" ref="K270" ca="1">_FV(A270,"Low")</f>
        <v>5.93</v>
      </c>
      <c r="L270" s="87" cm="1">
        <f t="array" aca="1" ref="L270" ca="1">_FV(A270,"52 week high",TRUE)</f>
        <v>8.35</v>
      </c>
      <c r="M270" s="230">
        <f t="shared" ca="1" si="53"/>
        <v>7.5149999999999997</v>
      </c>
      <c r="N270" s="231">
        <f t="shared" ca="1" si="54"/>
        <v>7.9324999999999992</v>
      </c>
      <c r="O270" s="223" cm="1">
        <f t="array" aca="1" ref="O270" ca="1">_FV(A270,"52 week low",TRUE)</f>
        <v>1.2549999999999999</v>
      </c>
      <c r="P270" s="223">
        <f t="shared" si="43"/>
        <v>16</v>
      </c>
      <c r="Q270" s="232">
        <f t="shared" ca="1" si="55"/>
        <v>0</v>
      </c>
      <c r="R270" s="232">
        <f t="shared" ca="1" si="56"/>
        <v>0</v>
      </c>
      <c r="S270" s="87" t="s">
        <v>182</v>
      </c>
      <c r="T270" s="87" t="s">
        <v>78</v>
      </c>
      <c r="U270" s="87" t="s">
        <v>88</v>
      </c>
      <c r="V270" s="57">
        <v>45681</v>
      </c>
      <c r="W270" s="57">
        <v>45681</v>
      </c>
      <c r="X270" s="87" t="s">
        <v>11</v>
      </c>
      <c r="Y270" s="87">
        <v>3.12</v>
      </c>
      <c r="Z270" s="87">
        <v>3.07</v>
      </c>
      <c r="AA270" s="87">
        <v>3.07</v>
      </c>
      <c r="AB270" s="87"/>
      <c r="AC270" s="87">
        <v>4.05</v>
      </c>
      <c r="AD270" s="87">
        <f t="shared" si="30"/>
        <v>4.05</v>
      </c>
      <c r="AE270" s="65">
        <f t="shared" ca="1" si="51"/>
        <v>-0.35355147645650442</v>
      </c>
      <c r="AF270" s="87" t="s">
        <v>11</v>
      </c>
      <c r="AG270" s="87" t="e">
        <f t="shared" si="50"/>
        <v>#VALUE!</v>
      </c>
      <c r="AH270" s="87" t="s">
        <v>11</v>
      </c>
      <c r="AI270" s="90" t="e">
        <f t="shared" ca="1" si="52"/>
        <v>#VALUE!</v>
      </c>
      <c r="AJ270" s="66">
        <f t="shared" si="33"/>
        <v>0.40065146579804556</v>
      </c>
      <c r="AK270" s="90">
        <f t="shared" si="34"/>
        <v>0.40065146579804556</v>
      </c>
      <c r="AL270" s="150">
        <v>4.3</v>
      </c>
      <c r="AM270" s="219">
        <f t="shared" si="35"/>
        <v>0.40065146579804556</v>
      </c>
      <c r="AN270" s="28">
        <f t="shared" ca="1" si="36"/>
        <v>0.45697674418604639</v>
      </c>
      <c r="AO270">
        <v>900</v>
      </c>
      <c r="AP270" s="5">
        <f t="shared" ca="1" si="37"/>
        <v>6.2649999999999997</v>
      </c>
      <c r="AQ270" s="5">
        <f t="shared" ca="1" si="57"/>
        <v>5638.5</v>
      </c>
      <c r="AR270" s="75">
        <f t="shared" si="58"/>
        <v>4.3</v>
      </c>
      <c r="AS270" s="5">
        <f t="shared" si="59"/>
        <v>3870</v>
      </c>
      <c r="AT270" s="193">
        <f t="shared" ca="1" si="60"/>
        <v>1768.5</v>
      </c>
      <c r="AU270" s="28">
        <f t="shared" ca="1" si="42"/>
        <v>6.507131468564205E-3</v>
      </c>
    </row>
    <row r="271" spans="1:47" x14ac:dyDescent="0.2">
      <c r="A271" s="87" t="e" vm="258">
        <v>#VALUE!</v>
      </c>
      <c r="B271" s="87" t="str" cm="1">
        <f t="array" aca="1" ref="B271" ca="1">_FV(A271,"Ticker symbol",TRUE)</f>
        <v>POET</v>
      </c>
      <c r="C271" s="233" cm="1">
        <f t="array" aca="1" ref="C271" ca="1">_FV(A271,"Change (%)",TRUE)</f>
        <v>-0.47350999999999999</v>
      </c>
      <c r="D271" s="87" cm="1">
        <f t="array" aca="1" ref="D271" ca="1">_FV(A271,"Price")</f>
        <v>7.95</v>
      </c>
      <c r="E271" s="65"/>
      <c r="F271" s="65"/>
      <c r="G271" s="65"/>
      <c r="H271" s="65"/>
      <c r="I271" s="87">
        <v>5.35</v>
      </c>
      <c r="J271" s="87" cm="1">
        <f t="array" aca="1" ref="J271" ca="1">_FV(A271,"High")</f>
        <v>10.42</v>
      </c>
      <c r="K271" s="87" cm="1">
        <f t="array" aca="1" ref="K271" ca="1">_FV(A271,"Low")</f>
        <v>7.5</v>
      </c>
      <c r="L271" s="87" cm="1">
        <f t="array" aca="1" ref="L271" ca="1">_FV(A271,"52 week high",TRUE)</f>
        <v>15.5</v>
      </c>
      <c r="M271" s="230">
        <f t="shared" ca="1" si="53"/>
        <v>13.950000000000001</v>
      </c>
      <c r="N271" s="231">
        <f t="shared" ca="1" si="54"/>
        <v>14.725</v>
      </c>
      <c r="O271" s="223" cm="1">
        <f t="array" aca="1" ref="O271" ca="1">_FV(A271,"52 week low",TRUE)</f>
        <v>3.78</v>
      </c>
      <c r="P271" s="223">
        <f t="shared" si="43"/>
        <v>17</v>
      </c>
      <c r="Q271" s="232">
        <f t="shared" ca="1" si="55"/>
        <v>0</v>
      </c>
      <c r="R271" s="232">
        <f t="shared" ca="1" si="56"/>
        <v>0</v>
      </c>
      <c r="S271" s="87" t="s">
        <v>76</v>
      </c>
      <c r="T271" s="87" t="s">
        <v>78</v>
      </c>
      <c r="U271" s="87" t="s">
        <v>88</v>
      </c>
      <c r="V271" s="57">
        <v>45607</v>
      </c>
      <c r="W271" s="57">
        <v>45607</v>
      </c>
      <c r="X271" s="87" t="s">
        <v>11</v>
      </c>
      <c r="Y271" s="87">
        <v>4</v>
      </c>
      <c r="Z271" s="87">
        <v>3.86</v>
      </c>
      <c r="AA271" s="87">
        <v>3.86</v>
      </c>
      <c r="AB271" s="87"/>
      <c r="AC271" s="87">
        <v>5.35</v>
      </c>
      <c r="AD271" s="87">
        <f t="shared" si="30"/>
        <v>5.35</v>
      </c>
      <c r="AE271" s="65">
        <f t="shared" ca="1" si="51"/>
        <v>-0.32704402515723274</v>
      </c>
      <c r="AF271" s="87" t="s">
        <v>11</v>
      </c>
      <c r="AG271" s="87" t="e">
        <f t="shared" si="50"/>
        <v>#VALUE!</v>
      </c>
      <c r="AH271" s="87">
        <v>3.77</v>
      </c>
      <c r="AI271" s="90">
        <f t="shared" ca="1" si="52"/>
        <v>-0.52578616352201257</v>
      </c>
      <c r="AJ271" s="66">
        <f t="shared" si="33"/>
        <v>0.38601036269430056</v>
      </c>
      <c r="AK271" s="90">
        <f t="shared" si="34"/>
        <v>0.38601036269430056</v>
      </c>
      <c r="AL271" s="150">
        <v>5.35</v>
      </c>
      <c r="AM271" s="219">
        <f t="shared" si="35"/>
        <v>0.38601036269430056</v>
      </c>
      <c r="AN271" s="28">
        <f t="shared" ca="1" si="36"/>
        <v>0.48598130841121501</v>
      </c>
      <c r="AO271">
        <v>800</v>
      </c>
      <c r="AP271" s="5">
        <f t="shared" ca="1" si="37"/>
        <v>7.95</v>
      </c>
      <c r="AQ271" s="5">
        <f t="shared" ca="1" si="57"/>
        <v>6360</v>
      </c>
      <c r="AR271" s="75">
        <f t="shared" si="58"/>
        <v>5.35</v>
      </c>
      <c r="AS271" s="5">
        <f t="shared" si="59"/>
        <v>4280</v>
      </c>
      <c r="AT271" s="193">
        <f t="shared" ca="1" si="60"/>
        <v>2080</v>
      </c>
      <c r="AU271" s="28">
        <f t="shared" ca="1" si="42"/>
        <v>7.653284396162593E-3</v>
      </c>
    </row>
    <row r="272" spans="1:47" x14ac:dyDescent="0.2">
      <c r="A272" s="87" t="e" vm="259">
        <v>#VALUE!</v>
      </c>
      <c r="B272" s="87" t="str" cm="1">
        <f t="array" aca="1" ref="B272" ca="1">_FV(A272,"Ticker symbol",TRUE)</f>
        <v>IVG</v>
      </c>
      <c r="C272" s="233" cm="1">
        <f t="array" aca="1" ref="C272" ca="1">_FV(A272,"Change (%)",TRUE)</f>
        <v>1.0730000000000002E-3</v>
      </c>
      <c r="D272" s="87" cm="1">
        <f t="array" aca="1" ref="D272" ca="1">_FV(A272,"Price")</f>
        <v>13.99</v>
      </c>
      <c r="E272" s="65"/>
      <c r="F272" s="65"/>
      <c r="G272" s="65"/>
      <c r="H272" s="65"/>
      <c r="I272" s="87">
        <v>13.29</v>
      </c>
      <c r="J272" s="87" cm="1">
        <f t="array" aca="1" ref="J272" ca="1">_FV(A272,"High")</f>
        <v>14.015000000000001</v>
      </c>
      <c r="K272" s="87" cm="1">
        <f t="array" aca="1" ref="K272" ca="1">_FV(A272,"Low")</f>
        <v>13.98</v>
      </c>
      <c r="L272" s="87" cm="1">
        <f t="array" aca="1" ref="L272" ca="1">_FV(A272,"52 week high",TRUE)</f>
        <v>14.04</v>
      </c>
      <c r="M272" s="230">
        <f t="shared" ca="1" si="53"/>
        <v>12.635999999999999</v>
      </c>
      <c r="N272" s="231">
        <f t="shared" ca="1" si="54"/>
        <v>13.337999999999999</v>
      </c>
      <c r="O272" s="223" cm="1">
        <f t="array" aca="1" ref="O272" ca="1">_FV(A272,"52 week low",TRUE)</f>
        <v>9.7200000000000006</v>
      </c>
      <c r="P272" s="223">
        <f t="shared" si="43"/>
        <v>18</v>
      </c>
      <c r="Q272" s="232">
        <f t="shared" ca="1" si="55"/>
        <v>1</v>
      </c>
      <c r="R272" s="232">
        <f t="shared" ca="1" si="56"/>
        <v>1</v>
      </c>
      <c r="S272" s="87" t="s">
        <v>75</v>
      </c>
      <c r="T272" s="87" t="s">
        <v>78</v>
      </c>
      <c r="U272" s="87" t="s">
        <v>72</v>
      </c>
      <c r="V272" s="57">
        <v>45454</v>
      </c>
      <c r="W272" s="57">
        <v>45454</v>
      </c>
      <c r="X272" s="87"/>
      <c r="Y272" s="87">
        <v>11.71</v>
      </c>
      <c r="Z272" s="87">
        <v>11.71</v>
      </c>
      <c r="AA272" s="87">
        <f>+Z272</f>
        <v>11.71</v>
      </c>
      <c r="AB272" s="87"/>
      <c r="AC272" s="87">
        <v>13.29</v>
      </c>
      <c r="AD272" s="87">
        <f t="shared" si="30"/>
        <v>13.29</v>
      </c>
      <c r="AE272" s="65">
        <f t="shared" ca="1" si="51"/>
        <v>-5.0035739814152991E-2</v>
      </c>
      <c r="AF272" s="87">
        <v>14.47</v>
      </c>
      <c r="AG272" s="87">
        <f t="shared" si="50"/>
        <v>8.8788562829194895E-2</v>
      </c>
      <c r="AH272" s="87">
        <v>10.94</v>
      </c>
      <c r="AI272" s="90">
        <f t="shared" ca="1" si="52"/>
        <v>-0.21801286633309513</v>
      </c>
      <c r="AJ272" s="66">
        <f t="shared" si="33"/>
        <v>0.2561912894961571</v>
      </c>
      <c r="AK272" s="90">
        <f t="shared" si="34"/>
        <v>0.2561912894961571</v>
      </c>
      <c r="AL272" s="150">
        <v>14.71</v>
      </c>
      <c r="AM272" s="219">
        <f t="shared" si="35"/>
        <v>0.2561912894961571</v>
      </c>
      <c r="AN272" s="28">
        <f t="shared" ca="1" si="36"/>
        <v>-4.8946295037389564E-2</v>
      </c>
      <c r="AO272">
        <v>1000</v>
      </c>
      <c r="AP272" s="5">
        <f t="shared" ca="1" si="37"/>
        <v>13.99</v>
      </c>
      <c r="AQ272" s="5">
        <f t="shared" ca="1" si="57"/>
        <v>13990</v>
      </c>
      <c r="AR272" s="75">
        <f t="shared" si="58"/>
        <v>14.71</v>
      </c>
      <c r="AS272" s="5">
        <f t="shared" si="59"/>
        <v>14710</v>
      </c>
      <c r="AT272" s="193">
        <f t="shared" ca="1" si="60"/>
        <v>-720</v>
      </c>
      <c r="AU272" s="28">
        <f t="shared" ca="1" si="42"/>
        <v>-2.6492138294408976E-3</v>
      </c>
    </row>
    <row r="273" spans="1:47" x14ac:dyDescent="0.2">
      <c r="A273" s="87" t="e" vm="37">
        <v>#VALUE!</v>
      </c>
      <c r="B273" s="87" t="str" cm="1">
        <f t="array" aca="1" ref="B273" ca="1">_FV(A273,"Ticker symbol",TRUE)</f>
        <v>CABK</v>
      </c>
      <c r="C273" s="233" cm="1">
        <f t="array" aca="1" ref="C273" ca="1">_FV(A273,"Change (%)",TRUE)</f>
        <v>-9.6429999999999997E-4</v>
      </c>
      <c r="D273" s="87" cm="1">
        <f t="array" aca="1" ref="D273" ca="1">_FV(A273,"Price")</f>
        <v>10.36</v>
      </c>
      <c r="E273" s="65"/>
      <c r="F273" s="65"/>
      <c r="G273" s="65"/>
      <c r="H273" s="65"/>
      <c r="I273" s="87">
        <f>4.954-H273</f>
        <v>4.9539999999999997</v>
      </c>
      <c r="J273" s="87" cm="1">
        <f t="array" aca="1" ref="J273" ca="1">_FV(A273,"High")</f>
        <v>10.445</v>
      </c>
      <c r="K273" s="87" cm="1">
        <f t="array" aca="1" ref="K273" ca="1">_FV(A273,"Low")</f>
        <v>10.324999999999999</v>
      </c>
      <c r="L273" s="87" cm="1">
        <f t="array" aca="1" ref="L273" ca="1">_FV(A273,"52 week high",TRUE)</f>
        <v>11.574999999999999</v>
      </c>
      <c r="M273" s="230">
        <f t="shared" ca="1" si="53"/>
        <v>10.4175</v>
      </c>
      <c r="N273" s="231">
        <f t="shared" ca="1" si="54"/>
        <v>10.996249999999998</v>
      </c>
      <c r="O273" s="223" cm="1">
        <f t="array" aca="1" ref="O273" ca="1">_FV(A273,"52 week low",TRUE)</f>
        <v>6.56</v>
      </c>
      <c r="P273" s="223">
        <f t="shared" si="43"/>
        <v>19</v>
      </c>
      <c r="Q273" s="232">
        <f t="shared" ca="1" si="55"/>
        <v>0</v>
      </c>
      <c r="R273" s="232">
        <f t="shared" ca="1" si="56"/>
        <v>0</v>
      </c>
      <c r="S273" s="87" t="s">
        <v>75</v>
      </c>
      <c r="T273" s="87" t="s">
        <v>78</v>
      </c>
      <c r="U273" s="87" t="s">
        <v>72</v>
      </c>
      <c r="V273" s="57">
        <v>45616</v>
      </c>
      <c r="W273" s="57">
        <v>45616</v>
      </c>
      <c r="X273" s="87"/>
      <c r="Y273" s="87">
        <f>4.05</f>
        <v>4.05</v>
      </c>
      <c r="Z273" s="87">
        <f>3.986-AB273</f>
        <v>3.4452000000000003</v>
      </c>
      <c r="AA273" s="87">
        <v>3.9860000000000002</v>
      </c>
      <c r="AB273" s="87">
        <v>0.54079999999999995</v>
      </c>
      <c r="AC273" s="87">
        <f>4.954-AB273</f>
        <v>4.4131999999999998</v>
      </c>
      <c r="AD273" s="87">
        <f t="shared" si="30"/>
        <v>4.4131999999999998</v>
      </c>
      <c r="AE273" s="65">
        <f t="shared" ref="AE273:AE278" ca="1" si="61">IF(Z273="-",+AC273/Y273-1,AC273/D273-1)</f>
        <v>-0.57401544401544402</v>
      </c>
      <c r="AF273" s="87" t="s">
        <v>11</v>
      </c>
      <c r="AG273" s="87" t="s">
        <v>11</v>
      </c>
      <c r="AH273" s="87">
        <f>3.598-AB273</f>
        <v>3.0571999999999999</v>
      </c>
      <c r="AI273" s="90">
        <f t="shared" ref="AI273:AI278" ca="1" si="62">IF(Z273="-",AH273/Y273-1,+AH273/D273-1)</f>
        <v>-0.70490347490347482</v>
      </c>
      <c r="AJ273" s="66">
        <f t="shared" si="33"/>
        <v>0.89306861720654807</v>
      </c>
      <c r="AK273" s="90">
        <f t="shared" si="34"/>
        <v>0.63622679377822378</v>
      </c>
      <c r="AL273" s="150">
        <v>6.5220000000000002</v>
      </c>
      <c r="AM273" s="219">
        <f t="shared" ref="AM273:AM337" si="63">IF(AL273=0,"-",+AL273/Z273-1)</f>
        <v>0.89306861720654807</v>
      </c>
      <c r="AN273" s="28">
        <f t="shared" ca="1" si="36"/>
        <v>0.58846979454155157</v>
      </c>
      <c r="AO273">
        <v>3000</v>
      </c>
      <c r="AP273" s="5">
        <f t="shared" ca="1" si="37"/>
        <v>10.36</v>
      </c>
      <c r="AQ273" s="5">
        <f t="shared" ca="1" si="57"/>
        <v>31080</v>
      </c>
      <c r="AR273" s="75">
        <f t="shared" si="58"/>
        <v>6.5220000000000002</v>
      </c>
      <c r="AS273" s="5">
        <f t="shared" si="59"/>
        <v>19566</v>
      </c>
      <c r="AT273" s="193">
        <f t="shared" ca="1" si="60"/>
        <v>11514</v>
      </c>
      <c r="AU273" s="28">
        <f t="shared" ca="1" si="42"/>
        <v>4.2365344489142351E-2</v>
      </c>
    </row>
    <row r="274" spans="1:47" x14ac:dyDescent="0.2">
      <c r="A274" s="87" t="e" vm="260">
        <v>#VALUE!</v>
      </c>
      <c r="B274" s="87" t="str" cm="1">
        <f t="array" aca="1" ref="B274" ca="1">_FV(A274,"Ticker symbol",TRUE)</f>
        <v>IDR</v>
      </c>
      <c r="C274" s="233" cm="1">
        <f t="array" aca="1" ref="C274" ca="1">_FV(A274,"Change (%)",TRUE)</f>
        <v>5.0335999999999999E-2</v>
      </c>
      <c r="D274" s="87" cm="1">
        <f t="array" aca="1" ref="D274" ca="1">_FV(A274,"Price")</f>
        <v>50.08</v>
      </c>
      <c r="E274" s="65"/>
      <c r="F274" s="65"/>
      <c r="G274" s="65"/>
      <c r="H274" s="65"/>
      <c r="I274" s="87">
        <v>19.29</v>
      </c>
      <c r="J274" s="87" cm="1">
        <f t="array" aca="1" ref="J274" ca="1">_FV(A274,"High")</f>
        <v>50.26</v>
      </c>
      <c r="K274" s="87" cm="1">
        <f t="array" aca="1" ref="K274" ca="1">_FV(A274,"Low")</f>
        <v>47.79</v>
      </c>
      <c r="L274" s="87" cm="1">
        <f t="array" aca="1" ref="L274" ca="1">_FV(A274,"52 week high",TRUE)</f>
        <v>66.150000000000006</v>
      </c>
      <c r="M274" s="230">
        <f t="shared" ref="M274:M280" ca="1" si="64">+L274*0.9</f>
        <v>59.535000000000004</v>
      </c>
      <c r="N274" s="231">
        <f t="shared" ref="N274:N280" ca="1" si="65">+L274*0.95</f>
        <v>62.842500000000001</v>
      </c>
      <c r="O274" s="223" cm="1">
        <f t="array" aca="1" ref="O274" ca="1">_FV(A274,"52 week low",TRUE)</f>
        <v>26.82</v>
      </c>
      <c r="P274" s="223">
        <f t="shared" si="43"/>
        <v>20</v>
      </c>
      <c r="Q274" s="232">
        <f t="shared" ref="Q274:Q280" ca="1" si="66">GESTEP(D274,M274)</f>
        <v>0</v>
      </c>
      <c r="R274" s="232">
        <f t="shared" ref="R274:R280" ca="1" si="67">GESTEP(D274,N274)</f>
        <v>0</v>
      </c>
      <c r="S274" s="87" t="s">
        <v>75</v>
      </c>
      <c r="T274" s="87" t="s">
        <v>78</v>
      </c>
      <c r="U274" s="87" t="s">
        <v>72</v>
      </c>
      <c r="V274" s="57">
        <v>45572</v>
      </c>
      <c r="W274" s="57">
        <v>45572</v>
      </c>
      <c r="X274" s="87" t="s">
        <v>11</v>
      </c>
      <c r="Y274" s="87">
        <v>17.21</v>
      </c>
      <c r="Z274" s="87">
        <v>17.21</v>
      </c>
      <c r="AA274" s="87">
        <v>17.21</v>
      </c>
      <c r="AB274" s="87"/>
      <c r="AC274" s="87">
        <v>19.29</v>
      </c>
      <c r="AD274" s="87">
        <f t="shared" ref="AD274:AD279" si="68">+AC274</f>
        <v>19.29</v>
      </c>
      <c r="AE274" s="65">
        <f t="shared" ca="1" si="61"/>
        <v>-0.61481629392971249</v>
      </c>
      <c r="AF274" s="87" t="s">
        <v>11</v>
      </c>
      <c r="AG274" s="87" t="e">
        <f>IF(Z274="-",+AF274/D274-1,AF274/AC274-1)</f>
        <v>#VALUE!</v>
      </c>
      <c r="AH274" s="87">
        <v>16.18</v>
      </c>
      <c r="AI274" s="90">
        <f t="shared" ca="1" si="62"/>
        <v>-0.67691693290734822</v>
      </c>
      <c r="AJ274" s="66">
        <f t="shared" si="33"/>
        <v>0.39453805926786756</v>
      </c>
      <c r="AK274" s="90">
        <f t="shared" si="34"/>
        <v>0.39453805926786756</v>
      </c>
      <c r="AL274" s="150">
        <v>24</v>
      </c>
      <c r="AM274" s="219">
        <f t="shared" si="63"/>
        <v>0.39453805926786756</v>
      </c>
      <c r="AN274" s="28">
        <f t="shared" ca="1" si="36"/>
        <v>1.0866666666666664</v>
      </c>
      <c r="AO274">
        <v>667</v>
      </c>
      <c r="AP274" s="5">
        <f t="shared" ca="1" si="37"/>
        <v>50.08</v>
      </c>
      <c r="AQ274" s="5">
        <f t="shared" ca="1" si="57"/>
        <v>33403.360000000001</v>
      </c>
      <c r="AR274" s="75">
        <f t="shared" si="58"/>
        <v>24</v>
      </c>
      <c r="AS274" s="5">
        <f t="shared" si="59"/>
        <v>16008</v>
      </c>
      <c r="AT274" s="193">
        <f t="shared" ca="1" si="60"/>
        <v>17395.36</v>
      </c>
      <c r="AU274" s="28">
        <f t="shared" ca="1" si="42"/>
        <v>6.4005594833476412E-2</v>
      </c>
    </row>
    <row r="275" spans="1:47" x14ac:dyDescent="0.2">
      <c r="A275" s="87" t="e" vm="261">
        <v>#VALUE!</v>
      </c>
      <c r="B275" s="87" t="str" cm="1">
        <f t="array" aca="1" ref="B275" ca="1">_FV(A275,"Ticker symbol",TRUE)</f>
        <v>R3NK</v>
      </c>
      <c r="C275" s="233" cm="1">
        <f t="array" aca="1" ref="C275" ca="1">_FV(A275,"Change (%)",TRUE)</f>
        <v>1.9109000000000001E-2</v>
      </c>
      <c r="D275" s="87" cm="1">
        <f t="array" aca="1" ref="D275" ca="1">_FV(A275,"Price")</f>
        <v>54.93</v>
      </c>
      <c r="E275" s="65"/>
      <c r="F275" s="65"/>
      <c r="G275" s="65"/>
      <c r="H275" s="65"/>
      <c r="I275" s="87">
        <f>38.08-H275</f>
        <v>38.08</v>
      </c>
      <c r="J275" s="87" cm="1">
        <f t="array" aca="1" ref="J275" ca="1">_FV(A275,"High")</f>
        <v>55.65</v>
      </c>
      <c r="K275" s="87" cm="1">
        <f t="array" aca="1" ref="K275" ca="1">_FV(A275,"Low")</f>
        <v>54.09</v>
      </c>
      <c r="L275" s="87" cm="1">
        <f t="array" aca="1" ref="L275" ca="1">_FV(A275,"52 week high",TRUE)</f>
        <v>90.34</v>
      </c>
      <c r="M275" s="230">
        <f t="shared" ca="1" si="64"/>
        <v>81.306000000000012</v>
      </c>
      <c r="N275" s="231">
        <f t="shared" ca="1" si="65"/>
        <v>85.822999999999993</v>
      </c>
      <c r="O275" s="223" cm="1">
        <f t="array" aca="1" ref="O275" ca="1">_FV(A275,"52 week low",TRUE)</f>
        <v>45.97</v>
      </c>
      <c r="P275" s="223">
        <f t="shared" si="43"/>
        <v>21</v>
      </c>
      <c r="Q275" s="232">
        <f t="shared" ca="1" si="66"/>
        <v>0</v>
      </c>
      <c r="R275" s="232">
        <f t="shared" ca="1" si="67"/>
        <v>0</v>
      </c>
      <c r="S275" s="87" t="s">
        <v>75</v>
      </c>
      <c r="T275" s="87" t="s">
        <v>78</v>
      </c>
      <c r="U275" s="87" t="s">
        <v>26</v>
      </c>
      <c r="V275" s="57">
        <v>45377</v>
      </c>
      <c r="W275" s="57">
        <v>45391</v>
      </c>
      <c r="X275" s="87"/>
      <c r="Y275" s="87">
        <v>30.26</v>
      </c>
      <c r="Z275" s="87">
        <f>+AA275-AB275</f>
        <v>29.7</v>
      </c>
      <c r="AA275" s="87">
        <v>30</v>
      </c>
      <c r="AB275" s="87">
        <v>0.3</v>
      </c>
      <c r="AC275" s="87">
        <f>38.08-AB275</f>
        <v>37.78</v>
      </c>
      <c r="AD275" s="87">
        <f t="shared" si="68"/>
        <v>37.78</v>
      </c>
      <c r="AE275" s="65">
        <f t="shared" ca="1" si="61"/>
        <v>-0.3122155470598944</v>
      </c>
      <c r="AF275" s="87"/>
      <c r="AG275" s="87"/>
      <c r="AH275" s="87">
        <v>26.08</v>
      </c>
      <c r="AI275" s="90">
        <f t="shared" ca="1" si="62"/>
        <v>-0.52521390861095951</v>
      </c>
      <c r="AJ275" s="66">
        <f t="shared" si="33"/>
        <v>0.27946127946127941</v>
      </c>
      <c r="AK275" s="90">
        <f t="shared" si="34"/>
        <v>0.26666666666666661</v>
      </c>
      <c r="AL275" s="150">
        <v>38</v>
      </c>
      <c r="AM275" s="219">
        <f t="shared" si="63"/>
        <v>0.27946127946127941</v>
      </c>
      <c r="AN275" s="28">
        <f t="shared" ca="1" si="36"/>
        <v>0.44552631578947377</v>
      </c>
      <c r="AO275">
        <v>350</v>
      </c>
      <c r="AP275" s="5">
        <f t="shared" ca="1" si="37"/>
        <v>54.93</v>
      </c>
      <c r="AQ275" s="5">
        <f t="shared" ca="1" si="57"/>
        <v>19225.5</v>
      </c>
      <c r="AR275" s="75">
        <f t="shared" si="58"/>
        <v>38</v>
      </c>
      <c r="AS275" s="5">
        <f t="shared" si="59"/>
        <v>13300</v>
      </c>
      <c r="AT275" s="193">
        <f t="shared" ca="1" si="60"/>
        <v>5925.5</v>
      </c>
      <c r="AU275" s="28">
        <f t="shared" ca="1" si="42"/>
        <v>2.1802661869933387E-2</v>
      </c>
    </row>
    <row r="276" spans="1:47" x14ac:dyDescent="0.2">
      <c r="A276" s="87" t="e" vm="191">
        <v>#VALUE!</v>
      </c>
      <c r="B276" s="87" t="str" cm="1">
        <f t="array" aca="1" ref="B276" ca="1">_FV(A276,"Ticker symbol",TRUE)</f>
        <v>XERS</v>
      </c>
      <c r="C276" s="233" cm="1">
        <f t="array" aca="1" ref="C276" ca="1">_FV(A276,"Change (%)",TRUE)</f>
        <v>1.157E-2</v>
      </c>
      <c r="D276" s="87" cm="1">
        <f t="array" aca="1" ref="D276" ca="1">_FV(A276,"Price")</f>
        <v>6.12</v>
      </c>
      <c r="E276" s="65"/>
      <c r="F276" s="65"/>
      <c r="G276" s="65"/>
      <c r="H276" s="65"/>
      <c r="I276" s="87">
        <v>4.25</v>
      </c>
      <c r="J276" s="87" cm="1">
        <f t="array" aca="1" ref="J276" ca="1">_FV(A276,"High")</f>
        <v>6.1749999999999998</v>
      </c>
      <c r="K276" s="87" cm="1">
        <f t="array" aca="1" ref="K276" ca="1">_FV(A276,"Low")</f>
        <v>6.02</v>
      </c>
      <c r="L276" s="87" cm="1">
        <f t="array" aca="1" ref="L276" ca="1">_FV(A276,"52 week high",TRUE)</f>
        <v>10.08</v>
      </c>
      <c r="M276" s="230">
        <f t="shared" ca="1" si="64"/>
        <v>9.072000000000001</v>
      </c>
      <c r="N276" s="231">
        <f t="shared" ca="1" si="65"/>
        <v>9.5759999999999987</v>
      </c>
      <c r="O276" s="223" cm="1">
        <f t="array" aca="1" ref="O276" ca="1">_FV(A276,"52 week low",TRUE)</f>
        <v>4.2549999999999999</v>
      </c>
      <c r="P276" s="223">
        <f t="shared" si="43"/>
        <v>22</v>
      </c>
      <c r="Q276" s="232">
        <f t="shared" ca="1" si="66"/>
        <v>0</v>
      </c>
      <c r="R276" s="232">
        <f t="shared" ca="1" si="67"/>
        <v>0</v>
      </c>
      <c r="S276" s="87" t="s">
        <v>76</v>
      </c>
      <c r="T276" s="87" t="s">
        <v>78</v>
      </c>
      <c r="U276" s="87" t="s">
        <v>26</v>
      </c>
      <c r="V276" s="57">
        <v>45342</v>
      </c>
      <c r="W276" s="57">
        <v>45342</v>
      </c>
      <c r="X276" s="87">
        <v>3.2</v>
      </c>
      <c r="Y276" s="87">
        <v>3.31</v>
      </c>
      <c r="Z276" s="87">
        <v>3.19</v>
      </c>
      <c r="AA276" s="87">
        <v>3.19</v>
      </c>
      <c r="AB276" s="87"/>
      <c r="AC276" s="87">
        <v>4.25</v>
      </c>
      <c r="AD276" s="87">
        <f t="shared" si="68"/>
        <v>4.25</v>
      </c>
      <c r="AE276" s="65">
        <f t="shared" ca="1" si="61"/>
        <v>-0.30555555555555558</v>
      </c>
      <c r="AF276" s="87">
        <v>4.25</v>
      </c>
      <c r="AG276" s="87">
        <f>IF(Z276="-",+AF276/D276-1,AF276/AC276-1)</f>
        <v>0</v>
      </c>
      <c r="AH276" s="87">
        <v>2.84</v>
      </c>
      <c r="AI276" s="90">
        <f t="shared" ca="1" si="62"/>
        <v>-0.53594771241830075</v>
      </c>
      <c r="AJ276" s="66">
        <f t="shared" si="33"/>
        <v>0.63322884012539182</v>
      </c>
      <c r="AK276" s="90">
        <f t="shared" si="34"/>
        <v>0.63322884012539182</v>
      </c>
      <c r="AL276" s="150">
        <v>5.21</v>
      </c>
      <c r="AM276" s="219">
        <f t="shared" si="63"/>
        <v>0.63322884012539182</v>
      </c>
      <c r="AN276" s="28">
        <f t="shared" ca="1" si="36"/>
        <v>0.17466410748560457</v>
      </c>
      <c r="AO276">
        <v>1562</v>
      </c>
      <c r="AP276" s="5">
        <f t="shared" ca="1" si="37"/>
        <v>6.12</v>
      </c>
      <c r="AQ276" s="5">
        <f t="shared" ref="AQ276:AQ283" ca="1" si="69">+AO276*AP276</f>
        <v>9559.44</v>
      </c>
      <c r="AR276" s="75">
        <f t="shared" ref="AR276:AR283" si="70">+AL276</f>
        <v>5.21</v>
      </c>
      <c r="AS276" s="5">
        <f t="shared" ref="AS276:AS283" si="71">+AO276*AR276</f>
        <v>8138.0199999999995</v>
      </c>
      <c r="AT276" s="193">
        <f t="shared" ref="AT276:AT283" ca="1" si="72">+AQ276-AS276</f>
        <v>1421.420000000001</v>
      </c>
      <c r="AU276" s="28">
        <f t="shared" ca="1" si="42"/>
        <v>5.2300632242276157E-3</v>
      </c>
    </row>
    <row r="277" spans="1:47" x14ac:dyDescent="0.2">
      <c r="A277" s="87" t="e" vm="262">
        <v>#VALUE!</v>
      </c>
      <c r="B277" s="87" t="str" cm="1">
        <f t="array" aca="1" ref="B277" ca="1">_FV(A277,"Ticker symbol",TRUE)</f>
        <v>AYV</v>
      </c>
      <c r="C277" s="233" cm="1">
        <f t="array" aca="1" ref="C277" ca="1">_FV(A277,"Change (%)",TRUE)</f>
        <v>-7.2989999999999999E-3</v>
      </c>
      <c r="D277" s="87" cm="1">
        <f t="array" aca="1" ref="D277" ca="1">_FV(A277,"Price")</f>
        <v>10.88</v>
      </c>
      <c r="E277" s="65"/>
      <c r="F277" s="65"/>
      <c r="G277" s="65"/>
      <c r="H277" s="65"/>
      <c r="I277" s="87">
        <v>8.4499999999999993</v>
      </c>
      <c r="J277" s="87" cm="1">
        <f t="array" aca="1" ref="J277" ca="1">_FV(A277,"High")</f>
        <v>11.07</v>
      </c>
      <c r="K277" s="87" cm="1">
        <f t="array" aca="1" ref="K277" ca="1">_FV(A277,"Low")</f>
        <v>10.87</v>
      </c>
      <c r="L277" s="87" cm="1">
        <f t="array" aca="1" ref="L277" ca="1">_FV(A277,"52 week high",TRUE)</f>
        <v>12.64</v>
      </c>
      <c r="M277" s="230">
        <f t="shared" ca="1" si="64"/>
        <v>11.376000000000001</v>
      </c>
      <c r="N277" s="231">
        <f t="shared" ca="1" si="65"/>
        <v>12.007999999999999</v>
      </c>
      <c r="O277" s="223" cm="1">
        <f t="array" aca="1" ref="O277" ca="1">_FV(A277,"52 week low",TRUE)</f>
        <v>8.57</v>
      </c>
      <c r="P277" s="223">
        <f t="shared" si="43"/>
        <v>23</v>
      </c>
      <c r="Q277" s="232">
        <f t="shared" ca="1" si="66"/>
        <v>0</v>
      </c>
      <c r="R277" s="232">
        <f t="shared" ca="1" si="67"/>
        <v>0</v>
      </c>
      <c r="S277" s="87" t="s">
        <v>75</v>
      </c>
      <c r="T277" s="87" t="s">
        <v>78</v>
      </c>
      <c r="U277" s="87" t="s">
        <v>26</v>
      </c>
      <c r="V277" s="57">
        <v>45418</v>
      </c>
      <c r="W277" s="57">
        <v>45420</v>
      </c>
      <c r="X277" s="87"/>
      <c r="Y277" s="87">
        <v>6.88</v>
      </c>
      <c r="Z277" s="87">
        <f>6.94-AB277</f>
        <v>6.4700000000000006</v>
      </c>
      <c r="AA277" s="87">
        <v>6.94</v>
      </c>
      <c r="AB277" s="87">
        <v>0.47</v>
      </c>
      <c r="AC277" s="87">
        <v>8.4499999999999993</v>
      </c>
      <c r="AD277" s="87">
        <f t="shared" si="68"/>
        <v>8.4499999999999993</v>
      </c>
      <c r="AE277" s="65">
        <f t="shared" ca="1" si="61"/>
        <v>-0.22334558823529427</v>
      </c>
      <c r="AF277" s="87" t="e">
        <f>9.94-Tabla2[[#This Row],[Div.]]</f>
        <v>#VALUE!</v>
      </c>
      <c r="AG277" s="87" t="e">
        <f>IF(Z277="-",+AF277/D277-1,AF277/AC277-1)</f>
        <v>#VALUE!</v>
      </c>
      <c r="AH277" s="87" t="e">
        <f>5.86-Tabla2[[#This Row],[Div.]]</f>
        <v>#VALUE!</v>
      </c>
      <c r="AI277" s="90" t="e">
        <f t="shared" ca="1" si="62"/>
        <v>#VALUE!</v>
      </c>
      <c r="AJ277" s="66">
        <f t="shared" si="33"/>
        <v>0.32148377125193206</v>
      </c>
      <c r="AK277" s="90">
        <f t="shared" si="34"/>
        <v>0.23198847262247835</v>
      </c>
      <c r="AL277" s="150">
        <v>8.5500000000000007</v>
      </c>
      <c r="AM277" s="219">
        <f t="shared" si="63"/>
        <v>0.32148377125193206</v>
      </c>
      <c r="AN277" s="28">
        <f t="shared" ca="1" si="36"/>
        <v>0.27251461988304082</v>
      </c>
      <c r="AO277">
        <v>1800</v>
      </c>
      <c r="AP277" s="5">
        <f t="shared" ca="1" si="37"/>
        <v>10.88</v>
      </c>
      <c r="AQ277" s="5">
        <f t="shared" ca="1" si="69"/>
        <v>19584</v>
      </c>
      <c r="AR277" s="75">
        <f t="shared" si="70"/>
        <v>8.5500000000000007</v>
      </c>
      <c r="AS277" s="5">
        <f t="shared" si="71"/>
        <v>15390.000000000002</v>
      </c>
      <c r="AT277" s="193">
        <f t="shared" ca="1" si="72"/>
        <v>4193.9999999999982</v>
      </c>
      <c r="AU277" s="28">
        <f t="shared" ca="1" si="42"/>
        <v>1.5431670556493221E-2</v>
      </c>
    </row>
    <row r="278" spans="1:47" x14ac:dyDescent="0.2">
      <c r="A278" s="87" t="e" vm="263">
        <v>#VALUE!</v>
      </c>
      <c r="B278" s="87" t="str" cm="1">
        <f t="array" aca="1" ref="B278" ca="1">_FV(A278,"Ticker symbol",TRUE)</f>
        <v>OKTA</v>
      </c>
      <c r="C278" s="233" cm="1">
        <f t="array" aca="1" ref="C278" ca="1">_FV(A278,"Change (%)",TRUE)</f>
        <v>2.1060000000000002E-3</v>
      </c>
      <c r="D278" s="87" cm="1">
        <f t="array" aca="1" ref="D278" ca="1">_FV(A278,"Price")</f>
        <v>76.14</v>
      </c>
      <c r="E278" s="65"/>
      <c r="F278" s="65"/>
      <c r="G278" s="65"/>
      <c r="H278" s="65"/>
      <c r="I278" s="87">
        <v>84.89</v>
      </c>
      <c r="J278" s="87" cm="1">
        <f t="array" aca="1" ref="J278" ca="1">_FV(A278,"High")</f>
        <v>76.56</v>
      </c>
      <c r="K278" s="87" cm="1">
        <f t="array" aca="1" ref="K278" ca="1">_FV(A278,"Low")</f>
        <v>74.69</v>
      </c>
      <c r="L278" s="87" cm="1">
        <f t="array" aca="1" ref="L278" ca="1">_FV(A278,"52 week high",TRUE)</f>
        <v>127.56699999999999</v>
      </c>
      <c r="M278" s="230">
        <f t="shared" ca="1" si="64"/>
        <v>114.8103</v>
      </c>
      <c r="N278" s="231">
        <f t="shared" ca="1" si="65"/>
        <v>121.18864999999998</v>
      </c>
      <c r="O278" s="223" cm="1">
        <f t="array" aca="1" ref="O278" ca="1">_FV(A278,"52 week low",TRUE)</f>
        <v>62.66</v>
      </c>
      <c r="P278" s="223">
        <f t="shared" si="43"/>
        <v>24</v>
      </c>
      <c r="Q278" s="232">
        <f t="shared" ca="1" si="66"/>
        <v>0</v>
      </c>
      <c r="R278" s="232">
        <f t="shared" ca="1" si="67"/>
        <v>0</v>
      </c>
      <c r="S278" s="87" t="s">
        <v>75</v>
      </c>
      <c r="T278" s="87" t="s">
        <v>78</v>
      </c>
      <c r="U278" s="87" t="s">
        <v>26</v>
      </c>
      <c r="V278" s="57">
        <v>45121</v>
      </c>
      <c r="W278" s="57">
        <v>45121</v>
      </c>
      <c r="X278" s="87" t="s">
        <v>11</v>
      </c>
      <c r="Y278" s="87">
        <v>73.03</v>
      </c>
      <c r="Z278" s="87">
        <v>71.3</v>
      </c>
      <c r="AA278" s="87">
        <v>71.3</v>
      </c>
      <c r="AB278" s="87"/>
      <c r="AC278" s="87">
        <v>84.89</v>
      </c>
      <c r="AD278" s="87">
        <f t="shared" si="68"/>
        <v>84.89</v>
      </c>
      <c r="AE278" s="65">
        <f t="shared" ca="1" si="61"/>
        <v>0.11491988442343049</v>
      </c>
      <c r="AF278" s="87">
        <v>119.42</v>
      </c>
      <c r="AG278" s="87">
        <f t="shared" ref="AG278:AG283" ca="1" si="73">IF(Z278="-",+AF278/D278-1,AF278/D278-1)</f>
        <v>0.56842658261097978</v>
      </c>
      <c r="AH278" s="87">
        <v>66.790000000000006</v>
      </c>
      <c r="AI278" s="90">
        <f t="shared" ca="1" si="62"/>
        <v>-0.12280010506960859</v>
      </c>
      <c r="AJ278" s="66">
        <f t="shared" si="33"/>
        <v>0.568022440392707</v>
      </c>
      <c r="AK278" s="90">
        <f t="shared" si="34"/>
        <v>0.568022440392707</v>
      </c>
      <c r="AL278" s="150">
        <v>111.8</v>
      </c>
      <c r="AM278" s="219">
        <f t="shared" si="63"/>
        <v>0.568022440392707</v>
      </c>
      <c r="AN278" s="28">
        <f t="shared" ca="1" si="36"/>
        <v>-0.3189624329159213</v>
      </c>
      <c r="AO278">
        <v>130</v>
      </c>
      <c r="AP278" s="5">
        <f t="shared" ref="AP278:AP283" ca="1" si="74">+D278</f>
        <v>76.14</v>
      </c>
      <c r="AQ278" s="5">
        <f t="shared" ca="1" si="69"/>
        <v>9898.2000000000007</v>
      </c>
      <c r="AR278" s="75">
        <f t="shared" si="70"/>
        <v>111.8</v>
      </c>
      <c r="AS278" s="5">
        <f t="shared" si="71"/>
        <v>14534</v>
      </c>
      <c r="AT278" s="193">
        <f t="shared" ca="1" si="72"/>
        <v>-4635.7999999999993</v>
      </c>
      <c r="AU278" s="28">
        <f t="shared" ca="1" si="42"/>
        <v>-1.7057257597947375E-2</v>
      </c>
    </row>
    <row r="279" spans="1:47" x14ac:dyDescent="0.2">
      <c r="A279" s="87" t="e" vm="264">
        <v>#VALUE!</v>
      </c>
      <c r="B279" s="87" t="str" cm="1">
        <f t="array" aca="1" ref="B279" ca="1">_FV(A279,"Ticker symbol",TRUE)</f>
        <v>GBF</v>
      </c>
      <c r="C279" s="233" cm="1">
        <f t="array" aca="1" ref="C279" ca="1">_FV(A279,"Change (%)",TRUE)</f>
        <v>-1.011E-3</v>
      </c>
      <c r="D279" s="87" cm="1">
        <f t="array" aca="1" ref="D279" ca="1">_FV(A279,"Price")</f>
        <v>98.8</v>
      </c>
      <c r="E279" s="65"/>
      <c r="F279" s="65"/>
      <c r="G279" s="65"/>
      <c r="H279" s="65"/>
      <c r="I279" s="87">
        <v>59.75</v>
      </c>
      <c r="J279" s="87" cm="1">
        <f t="array" aca="1" ref="J279" ca="1">_FV(A279,"High")</f>
        <v>99.35</v>
      </c>
      <c r="K279" s="87" cm="1">
        <f t="array" aca="1" ref="K279" ca="1">_FV(A279,"Low")</f>
        <v>98.2</v>
      </c>
      <c r="L279" s="87" cm="1">
        <f t="array" aca="1" ref="L279" ca="1">_FV(A279,"52 week high",TRUE)</f>
        <v>129.30000000000001</v>
      </c>
      <c r="M279" s="230">
        <f t="shared" ca="1" si="64"/>
        <v>116.37000000000002</v>
      </c>
      <c r="N279" s="231">
        <f t="shared" ca="1" si="65"/>
        <v>122.83500000000001</v>
      </c>
      <c r="O279" s="223" cm="1">
        <f t="array" aca="1" ref="O279" ca="1">_FV(A279,"52 week low",TRUE)</f>
        <v>70.099999999999994</v>
      </c>
      <c r="P279" s="223">
        <f t="shared" si="43"/>
        <v>25</v>
      </c>
      <c r="Q279" s="232">
        <f t="shared" ca="1" si="66"/>
        <v>0</v>
      </c>
      <c r="R279" s="232">
        <f t="shared" ca="1" si="67"/>
        <v>0</v>
      </c>
      <c r="S279" s="87" t="s">
        <v>75</v>
      </c>
      <c r="T279" s="87" t="s">
        <v>78</v>
      </c>
      <c r="U279" s="87" t="s">
        <v>72</v>
      </c>
      <c r="V279" s="57" t="s">
        <v>11</v>
      </c>
      <c r="W279" s="57">
        <v>43371</v>
      </c>
      <c r="X279" s="87"/>
      <c r="Y279" s="87" t="s">
        <v>11</v>
      </c>
      <c r="Z279" s="87">
        <v>44</v>
      </c>
      <c r="AA279" s="87">
        <v>44</v>
      </c>
      <c r="AB279" s="87"/>
      <c r="AC279" s="87">
        <v>59.75</v>
      </c>
      <c r="AD279" s="87">
        <f t="shared" si="68"/>
        <v>59.75</v>
      </c>
      <c r="AE279" s="65">
        <f t="shared" ref="AE279:AE284" ca="1" si="75">IF(Z279="-",+AC279/Y279-1,AC279/D279-1)</f>
        <v>-0.39524291497975705</v>
      </c>
      <c r="AF279" s="87">
        <v>87.81</v>
      </c>
      <c r="AG279" s="87">
        <f t="shared" ca="1" si="73"/>
        <v>-0.1112348178137651</v>
      </c>
      <c r="AH279" s="87" t="s">
        <v>11</v>
      </c>
      <c r="AI279" s="90" t="e">
        <f t="shared" ref="AI279:AI284" ca="1" si="76">IF(Z279="-",AH279/Y279-1,+AH279/D279-1)</f>
        <v>#VALUE!</v>
      </c>
      <c r="AJ279" s="66">
        <f t="shared" si="33"/>
        <v>0.7261363636363638</v>
      </c>
      <c r="AK279" s="90">
        <f t="shared" si="34"/>
        <v>0.7261363636363638</v>
      </c>
      <c r="AL279" s="150">
        <v>75.95</v>
      </c>
      <c r="AM279" s="219">
        <f t="shared" si="63"/>
        <v>0.7261363636363638</v>
      </c>
      <c r="AN279" s="28">
        <f t="shared" ca="1" si="36"/>
        <v>0.30085582620144824</v>
      </c>
      <c r="AO279">
        <v>390</v>
      </c>
      <c r="AP279" s="5">
        <f t="shared" ca="1" si="74"/>
        <v>98.8</v>
      </c>
      <c r="AQ279" s="5">
        <f t="shared" ca="1" si="69"/>
        <v>38532</v>
      </c>
      <c r="AR279" s="75">
        <f t="shared" si="70"/>
        <v>75.95</v>
      </c>
      <c r="AS279" s="5">
        <f t="shared" si="71"/>
        <v>29620.5</v>
      </c>
      <c r="AT279" s="193">
        <f t="shared" ca="1" si="72"/>
        <v>8911.5</v>
      </c>
      <c r="AU279" s="28">
        <f t="shared" ca="1" si="42"/>
        <v>3.278954033480911E-2</v>
      </c>
    </row>
    <row r="280" spans="1:47" x14ac:dyDescent="0.2">
      <c r="A280" s="87" t="e" vm="265">
        <v>#VALUE!</v>
      </c>
      <c r="B280" s="87" t="str" cm="1">
        <f t="array" aca="1" ref="B280" ca="1">_FV(A280,"Ticker symbol",TRUE)</f>
        <v>ELE</v>
      </c>
      <c r="C280" s="233" cm="1">
        <f t="array" aca="1" ref="C280" ca="1">_FV(A280,"Change (%)",TRUE)</f>
        <v>-9.3629999999999998E-3</v>
      </c>
      <c r="D280" s="87" cm="1">
        <f t="array" aca="1" ref="D280" ca="1">_FV(A280,"Price")</f>
        <v>38.090000000000003</v>
      </c>
      <c r="E280" s="65"/>
      <c r="F280" s="65"/>
      <c r="G280" s="65"/>
      <c r="H280" s="65"/>
      <c r="I280" s="87">
        <f>20-H280</f>
        <v>20</v>
      </c>
      <c r="J280" s="87" cm="1">
        <f t="array" aca="1" ref="J280" ca="1">_FV(A280,"High")</f>
        <v>38.450000000000003</v>
      </c>
      <c r="K280" s="87" cm="1">
        <f t="array" aca="1" ref="K280" ca="1">_FV(A280,"Low")</f>
        <v>38.08</v>
      </c>
      <c r="L280" s="87" cm="1">
        <f t="array" aca="1" ref="L280" ca="1">_FV(A280,"52 week high",TRUE)</f>
        <v>38.729999999999997</v>
      </c>
      <c r="M280" s="230">
        <f t="shared" ca="1" si="64"/>
        <v>34.856999999999999</v>
      </c>
      <c r="N280" s="231">
        <f t="shared" ca="1" si="65"/>
        <v>36.793499999999995</v>
      </c>
      <c r="O280" s="223" cm="1">
        <f t="array" aca="1" ref="O280" ca="1">_FV(A280,"52 week low",TRUE)</f>
        <v>23.76</v>
      </c>
      <c r="P280" s="223">
        <f t="shared" si="43"/>
        <v>26</v>
      </c>
      <c r="Q280" s="232">
        <f t="shared" ca="1" si="66"/>
        <v>1</v>
      </c>
      <c r="R280" s="232">
        <f t="shared" ca="1" si="67"/>
        <v>1</v>
      </c>
      <c r="S280" s="87" t="s">
        <v>75</v>
      </c>
      <c r="T280" s="87" t="s">
        <v>78</v>
      </c>
      <c r="U280" s="87" t="s">
        <v>26</v>
      </c>
      <c r="V280" s="57">
        <v>45224</v>
      </c>
      <c r="W280" s="57">
        <v>45224</v>
      </c>
      <c r="X280" s="87"/>
      <c r="Y280" s="87" t="s">
        <v>11</v>
      </c>
      <c r="Z280" s="87">
        <v>19.440000000000001</v>
      </c>
      <c r="AA280" s="87">
        <v>19.440000000000001</v>
      </c>
      <c r="AB280" s="87">
        <f>0.5+'dividendos 26'!E346</f>
        <v>0.5</v>
      </c>
      <c r="AC280" s="87">
        <f>20-AB280</f>
        <v>19.5</v>
      </c>
      <c r="AD280" s="87">
        <f>+AC280+AB280</f>
        <v>20</v>
      </c>
      <c r="AE280" s="65">
        <f t="shared" ca="1" si="75"/>
        <v>-0.48805460750853247</v>
      </c>
      <c r="AF280" s="87">
        <v>31.37</v>
      </c>
      <c r="AG280" s="87">
        <f t="shared" ca="1" si="73"/>
        <v>-0.17642425833552122</v>
      </c>
      <c r="AH280" s="87" t="e">
        <f>11.98-Tabla2[[#This Row],[Div.]]</f>
        <v>#VALUE!</v>
      </c>
      <c r="AI280" s="90" t="e">
        <f t="shared" ca="1" si="76"/>
        <v>#VALUE!</v>
      </c>
      <c r="AJ280" s="66">
        <f t="shared" si="33"/>
        <v>0.35596707818930029</v>
      </c>
      <c r="AK280" s="90">
        <f t="shared" si="34"/>
        <v>0.35596707818930029</v>
      </c>
      <c r="AL280" s="150">
        <v>26.36</v>
      </c>
      <c r="AM280" s="219">
        <f t="shared" si="63"/>
        <v>0.35596707818930029</v>
      </c>
      <c r="AN280" s="28">
        <f t="shared" ca="1" si="36"/>
        <v>0.44499241274658585</v>
      </c>
      <c r="AO280">
        <v>405</v>
      </c>
      <c r="AP280" s="5">
        <f t="shared" ca="1" si="74"/>
        <v>38.090000000000003</v>
      </c>
      <c r="AQ280" s="5">
        <f t="shared" ca="1" si="69"/>
        <v>15426.45</v>
      </c>
      <c r="AR280" s="75">
        <f t="shared" si="70"/>
        <v>26.36</v>
      </c>
      <c r="AS280" s="5">
        <f t="shared" si="71"/>
        <v>10675.8</v>
      </c>
      <c r="AT280" s="193">
        <f t="shared" ca="1" si="72"/>
        <v>4750.6500000000015</v>
      </c>
      <c r="AU280" s="28">
        <f t="shared" ca="1" si="42"/>
        <v>1.7479843998379728E-2</v>
      </c>
    </row>
    <row r="281" spans="1:47" x14ac:dyDescent="0.2">
      <c r="A281" s="87" t="e" vm="23">
        <v>#VALUE!</v>
      </c>
      <c r="B281" s="87" t="str" cm="1">
        <f t="array" aca="1" ref="B281" ca="1">_FV(A281,"Ticker symbol",TRUE)</f>
        <v>A3M</v>
      </c>
      <c r="C281" s="233" cm="1">
        <f t="array" aca="1" ref="C281" ca="1">_FV(A281,"Change (%)",TRUE)</f>
        <v>7.7520000000000002E-3</v>
      </c>
      <c r="D281" s="87" cm="1">
        <f t="array" aca="1" ref="D281" ca="1">_FV(A281,"Price")</f>
        <v>5.2</v>
      </c>
      <c r="E281" s="65"/>
      <c r="F281" s="65"/>
      <c r="G281" s="65"/>
      <c r="H281" s="65"/>
      <c r="I281" s="87">
        <f>5.18-H281</f>
        <v>5.18</v>
      </c>
      <c r="J281" s="87" cm="1">
        <f t="array" aca="1" ref="J281" ca="1">_FV(A281,"High")</f>
        <v>5.21</v>
      </c>
      <c r="K281" s="87" cm="1">
        <f t="array" aca="1" ref="K281" ca="1">_FV(A281,"Low")</f>
        <v>5.12</v>
      </c>
      <c r="L281" s="87" cm="1">
        <f t="array" aca="1" ref="L281" ca="1">_FV(A281,"52 week high",TRUE)</f>
        <v>6.29</v>
      </c>
      <c r="M281" s="230">
        <f t="shared" ref="M281:M287" ca="1" si="77">+L281*0.9</f>
        <v>5.6610000000000005</v>
      </c>
      <c r="N281" s="231">
        <f t="shared" ref="N281:N287" ca="1" si="78">+L281*0.95</f>
        <v>5.9754999999999994</v>
      </c>
      <c r="O281" s="223" cm="1">
        <f t="array" aca="1" ref="O281" ca="1">_FV(A281,"52 week low",TRUE)</f>
        <v>4.5650000000000004</v>
      </c>
      <c r="P281" s="223">
        <f t="shared" si="43"/>
        <v>27</v>
      </c>
      <c r="Q281" s="232">
        <f t="shared" ref="Q281:Q287" ca="1" si="79">GESTEP(D281,M281)</f>
        <v>0</v>
      </c>
      <c r="R281" s="232">
        <f t="shared" ref="R281:R287" ca="1" si="80">GESTEP(D281,N281)</f>
        <v>0</v>
      </c>
      <c r="S281" s="87" t="s">
        <v>75</v>
      </c>
      <c r="T281" s="87" t="s">
        <v>78</v>
      </c>
      <c r="U281" s="87" t="s">
        <v>72</v>
      </c>
      <c r="V281" s="57">
        <v>45615</v>
      </c>
      <c r="W281" s="57">
        <v>45615</v>
      </c>
      <c r="X281" s="87" t="s">
        <v>11</v>
      </c>
      <c r="Y281" s="87">
        <v>4.5350000000000001</v>
      </c>
      <c r="Z281" s="87">
        <f>4.535-AB281</f>
        <v>4.3250000000000002</v>
      </c>
      <c r="AA281" s="87">
        <v>4.5350000000000001</v>
      </c>
      <c r="AB281" s="87">
        <v>0.21</v>
      </c>
      <c r="AC281" s="87">
        <f>5.18-AB281</f>
        <v>4.97</v>
      </c>
      <c r="AD281" s="87">
        <f>+AB281+AC281</f>
        <v>5.18</v>
      </c>
      <c r="AE281" s="65">
        <f t="shared" ca="1" si="75"/>
        <v>-4.4230769230769296E-2</v>
      </c>
      <c r="AF281" s="87">
        <v>5.8</v>
      </c>
      <c r="AG281" s="87">
        <f t="shared" ca="1" si="73"/>
        <v>0.11538461538461542</v>
      </c>
      <c r="AH281" s="87">
        <f>4.24-AB281</f>
        <v>4.03</v>
      </c>
      <c r="AI281" s="90">
        <f t="shared" ca="1" si="76"/>
        <v>-0.22499999999999998</v>
      </c>
      <c r="AJ281" s="66">
        <f t="shared" si="33"/>
        <v>0.35953757225433525</v>
      </c>
      <c r="AK281" s="90">
        <f t="shared" si="34"/>
        <v>0.2965821389195149</v>
      </c>
      <c r="AL281" s="150">
        <v>5.88</v>
      </c>
      <c r="AM281" s="219">
        <f t="shared" si="63"/>
        <v>0.35953757225433525</v>
      </c>
      <c r="AN281" s="28">
        <f t="shared" ca="1" si="36"/>
        <v>-0.11564625850340127</v>
      </c>
      <c r="AO281">
        <v>2303</v>
      </c>
      <c r="AP281" s="5">
        <f t="shared" ca="1" si="74"/>
        <v>5.2</v>
      </c>
      <c r="AQ281" s="5">
        <f t="shared" ca="1" si="69"/>
        <v>11975.6</v>
      </c>
      <c r="AR281" s="75">
        <f t="shared" si="70"/>
        <v>5.88</v>
      </c>
      <c r="AS281" s="5">
        <f t="shared" si="71"/>
        <v>13541.64</v>
      </c>
      <c r="AT281" s="193">
        <f t="shared" ca="1" si="72"/>
        <v>-1566.0399999999991</v>
      </c>
      <c r="AU281" s="28">
        <f t="shared" ca="1" si="42"/>
        <v>-5.7621872575800287E-3</v>
      </c>
    </row>
    <row r="282" spans="1:47" x14ac:dyDescent="0.2">
      <c r="A282" s="87" t="e" vm="266">
        <v>#VALUE!</v>
      </c>
      <c r="B282" s="87" t="str" cm="1">
        <f t="array" aca="1" ref="B282" ca="1">_FV(A282,"Ticker symbol",TRUE)</f>
        <v>MMM</v>
      </c>
      <c r="C282" s="233" cm="1">
        <f t="array" aca="1" ref="C282" ca="1">_FV(A282,"Change (%)",TRUE)</f>
        <v>-1.575E-3</v>
      </c>
      <c r="D282" s="87" cm="1">
        <f t="array" aca="1" ref="D282" ca="1">_FV(A282,"Price")</f>
        <v>145.76</v>
      </c>
      <c r="E282" s="65"/>
      <c r="F282" s="65"/>
      <c r="G282" s="65"/>
      <c r="H282" s="65"/>
      <c r="I282" s="87">
        <f>115-H282</f>
        <v>115</v>
      </c>
      <c r="J282" s="87" cm="1">
        <f t="array" aca="1" ref="J282" ca="1">_FV(A282,"High")</f>
        <v>147.19999999999999</v>
      </c>
      <c r="K282" s="87" cm="1">
        <f t="array" aca="1" ref="K282" ca="1">_FV(A282,"Low")</f>
        <v>144.66</v>
      </c>
      <c r="L282" s="87" cm="1">
        <f t="array" aca="1" ref="L282" ca="1">_FV(A282,"52 week high",TRUE)</f>
        <v>177.41</v>
      </c>
      <c r="M282" s="230">
        <f t="shared" ca="1" si="77"/>
        <v>159.66900000000001</v>
      </c>
      <c r="N282" s="231">
        <f t="shared" ca="1" si="78"/>
        <v>168.53949999999998</v>
      </c>
      <c r="O282" s="223" cm="1">
        <f t="array" aca="1" ref="O282" ca="1">_FV(A282,"52 week low",TRUE)</f>
        <v>134.85</v>
      </c>
      <c r="P282" s="223">
        <f t="shared" si="43"/>
        <v>28</v>
      </c>
      <c r="Q282" s="232">
        <f t="shared" ca="1" si="79"/>
        <v>0</v>
      </c>
      <c r="R282" s="232">
        <f t="shared" ca="1" si="80"/>
        <v>0</v>
      </c>
      <c r="S282" s="87" t="s">
        <v>75</v>
      </c>
      <c r="T282" s="87" t="s">
        <v>77</v>
      </c>
      <c r="U282" s="87" t="s">
        <v>26</v>
      </c>
      <c r="V282" s="57">
        <v>45133</v>
      </c>
      <c r="W282" s="57">
        <v>45133</v>
      </c>
      <c r="X282" s="87" t="s">
        <v>11</v>
      </c>
      <c r="Y282" s="87">
        <v>92.55</v>
      </c>
      <c r="Z282" s="87">
        <f>+Y282-AB282</f>
        <v>90.6</v>
      </c>
      <c r="AA282" s="87">
        <v>92.55</v>
      </c>
      <c r="AB282" s="87">
        <f>1.95+'dividendos 26'!E370</f>
        <v>1.95</v>
      </c>
      <c r="AC282" s="87">
        <f>115-AB282</f>
        <v>113.05</v>
      </c>
      <c r="AD282" s="87">
        <v>115</v>
      </c>
      <c r="AE282" s="65">
        <f t="shared" ca="1" si="75"/>
        <v>-0.22440998902305154</v>
      </c>
      <c r="AF282" s="87">
        <v>148.19999999999999</v>
      </c>
      <c r="AG282" s="87">
        <f t="shared" ca="1" si="73"/>
        <v>1.6739846322722185E-2</v>
      </c>
      <c r="AH282" s="87">
        <f>85.35-AB282</f>
        <v>83.399999999999991</v>
      </c>
      <c r="AI282" s="90">
        <f t="shared" ca="1" si="76"/>
        <v>-0.4278265642151482</v>
      </c>
      <c r="AJ282" s="66">
        <f t="shared" si="33"/>
        <v>0.65728476821192072</v>
      </c>
      <c r="AK282" s="90">
        <f t="shared" si="34"/>
        <v>0.62236628849270681</v>
      </c>
      <c r="AL282" s="150">
        <v>150.15</v>
      </c>
      <c r="AM282" s="219">
        <f t="shared" si="63"/>
        <v>0.65728476821192072</v>
      </c>
      <c r="AN282" s="28">
        <f t="shared" ca="1" si="36"/>
        <v>-2.9237429237429335E-2</v>
      </c>
      <c r="AO282">
        <v>70</v>
      </c>
      <c r="AP282" s="5">
        <f t="shared" ca="1" si="74"/>
        <v>145.76</v>
      </c>
      <c r="AQ282" s="5">
        <f t="shared" ca="1" si="69"/>
        <v>10203.199999999999</v>
      </c>
      <c r="AR282" s="75">
        <f t="shared" si="70"/>
        <v>150.15</v>
      </c>
      <c r="AS282" s="5">
        <f t="shared" si="71"/>
        <v>10510.5</v>
      </c>
      <c r="AT282" s="193">
        <f t="shared" ca="1" si="72"/>
        <v>-307.30000000000109</v>
      </c>
      <c r="AU282" s="28">
        <f t="shared" ca="1" si="42"/>
        <v>-1.130699180259987E-3</v>
      </c>
    </row>
    <row r="283" spans="1:47" x14ac:dyDescent="0.2">
      <c r="A283" s="87" t="e" vm="267">
        <v>#VALUE!</v>
      </c>
      <c r="B283" s="87" t="str" cm="1">
        <f t="array" aca="1" ref="B283" ca="1">_FV(A283,"Ticker symbol",TRUE)</f>
        <v>APH</v>
      </c>
      <c r="C283" s="233" cm="1">
        <f t="array" aca="1" ref="C283" ca="1">_FV(A283,"Change (%)",TRUE)</f>
        <v>-6.8799999999999998E-3</v>
      </c>
      <c r="D283" s="87" cm="1">
        <f t="array" aca="1" ref="D283" ca="1">_FV(A283,"Price")</f>
        <v>148.68</v>
      </c>
      <c r="E283" s="65"/>
      <c r="F283" s="65"/>
      <c r="G283" s="65"/>
      <c r="H283" s="65"/>
      <c r="I283" s="87">
        <f>84.96-H283</f>
        <v>84.96</v>
      </c>
      <c r="J283" s="87" cm="1">
        <f t="array" aca="1" ref="J283" ca="1">_FV(A283,"High")</f>
        <v>150</v>
      </c>
      <c r="K283" s="87" cm="1">
        <f t="array" aca="1" ref="K283" ca="1">_FV(A283,"Low")</f>
        <v>144.44999999999999</v>
      </c>
      <c r="L283" s="87" cm="1">
        <f t="array" aca="1" ref="L283" ca="1">_FV(A283,"52 week high",TRUE)</f>
        <v>167.04</v>
      </c>
      <c r="M283" s="230">
        <f t="shared" ca="1" si="77"/>
        <v>150.33599999999998</v>
      </c>
      <c r="N283" s="231">
        <f t="shared" ca="1" si="78"/>
        <v>158.68799999999999</v>
      </c>
      <c r="O283" s="223" cm="1">
        <f t="array" aca="1" ref="O283" ca="1">_FV(A283,"52 week low",TRUE)</f>
        <v>74.31</v>
      </c>
      <c r="P283" s="223">
        <f t="shared" si="43"/>
        <v>29</v>
      </c>
      <c r="Q283" s="232">
        <f t="shared" ca="1" si="79"/>
        <v>0</v>
      </c>
      <c r="R283" s="232">
        <f t="shared" ca="1" si="80"/>
        <v>0</v>
      </c>
      <c r="S283" s="87" t="s">
        <v>75</v>
      </c>
      <c r="T283" s="87" t="s">
        <v>78</v>
      </c>
      <c r="U283" s="87" t="s">
        <v>88</v>
      </c>
      <c r="V283" s="57">
        <v>45603</v>
      </c>
      <c r="W283" s="57">
        <v>45603</v>
      </c>
      <c r="X283" s="87" t="s">
        <v>11</v>
      </c>
      <c r="Y283" s="87">
        <v>72.61</v>
      </c>
      <c r="Z283" s="87">
        <f>72.5-AB283</f>
        <v>72.33</v>
      </c>
      <c r="AA283" s="87">
        <v>72.5</v>
      </c>
      <c r="AB283" s="87">
        <v>0.17</v>
      </c>
      <c r="AC283" s="87">
        <f>84.96-AB283</f>
        <v>84.789999999999992</v>
      </c>
      <c r="AD283" s="87">
        <f>+AC283+AB283</f>
        <v>84.96</v>
      </c>
      <c r="AE283" s="65">
        <f t="shared" ca="1" si="75"/>
        <v>-0.42971482378262049</v>
      </c>
      <c r="AF283" s="87">
        <v>91.31</v>
      </c>
      <c r="AG283" s="87">
        <f t="shared" ca="1" si="73"/>
        <v>-0.38586225450632228</v>
      </c>
      <c r="AH283" s="87">
        <f>66.48-AB283</f>
        <v>66.31</v>
      </c>
      <c r="AI283" s="90">
        <f t="shared" ca="1" si="76"/>
        <v>-0.55400860909335492</v>
      </c>
      <c r="AJ283" s="66">
        <f t="shared" si="33"/>
        <v>0.17461634176690155</v>
      </c>
      <c r="AK283" s="90">
        <f t="shared" si="34"/>
        <v>0.17186206896551726</v>
      </c>
      <c r="AL283" s="150">
        <v>84.96</v>
      </c>
      <c r="AM283" s="219">
        <f t="shared" si="63"/>
        <v>0.17461634176690155</v>
      </c>
      <c r="AN283" s="28">
        <f t="shared" ca="1" si="36"/>
        <v>0.75000000000000022</v>
      </c>
      <c r="AO283">
        <v>100</v>
      </c>
      <c r="AP283" s="5">
        <f t="shared" ca="1" si="74"/>
        <v>148.68</v>
      </c>
      <c r="AQ283" s="5">
        <f t="shared" ca="1" si="69"/>
        <v>14868</v>
      </c>
      <c r="AR283" s="75">
        <f t="shared" si="70"/>
        <v>84.96</v>
      </c>
      <c r="AS283" s="5">
        <f t="shared" si="71"/>
        <v>8496</v>
      </c>
      <c r="AT283" s="193">
        <f t="shared" ca="1" si="72"/>
        <v>6372</v>
      </c>
      <c r="AU283" s="28">
        <f t="shared" ca="1" si="42"/>
        <v>2.3445542390551945E-2</v>
      </c>
    </row>
    <row r="284" spans="1:47" x14ac:dyDescent="0.2">
      <c r="A284" s="87" t="e" vm="268">
        <v>#VALUE!</v>
      </c>
      <c r="B284" s="87" t="str" cm="1">
        <f t="array" aca="1" ref="B284" ca="1">_FV(A284,"Ticker symbol",TRUE)</f>
        <v>MVST</v>
      </c>
      <c r="C284" s="233" cm="1">
        <f t="array" aca="1" ref="C284" ca="1">_FV(A284,"Change (%)",TRUE)</f>
        <v>2.6455000000000003E-2</v>
      </c>
      <c r="D284" s="87" cm="1">
        <f t="array" aca="1" ref="D284" ca="1">_FV(A284,"Price")</f>
        <v>1.94</v>
      </c>
      <c r="E284" s="65"/>
      <c r="F284" s="65"/>
      <c r="G284" s="65"/>
      <c r="H284" s="65"/>
      <c r="I284" s="87">
        <v>2.91</v>
      </c>
      <c r="J284" s="87" cm="1">
        <f t="array" aca="1" ref="J284" ca="1">_FV(A284,"High")</f>
        <v>1.97</v>
      </c>
      <c r="K284" s="87" cm="1">
        <f t="array" aca="1" ref="K284" ca="1">_FV(A284,"Low")</f>
        <v>1.88</v>
      </c>
      <c r="L284" s="87" cm="1">
        <f t="array" aca="1" ref="L284" ca="1">_FV(A284,"52 week high",TRUE)</f>
        <v>7.12</v>
      </c>
      <c r="M284" s="230">
        <f t="shared" ca="1" si="77"/>
        <v>6.4080000000000004</v>
      </c>
      <c r="N284" s="231">
        <f t="shared" ca="1" si="78"/>
        <v>6.7639999999999993</v>
      </c>
      <c r="O284" s="223" cm="1">
        <f t="array" aca="1" ref="O284" ca="1">_FV(A284,"52 week low",TRUE)</f>
        <v>1.37</v>
      </c>
      <c r="P284" s="223">
        <f t="shared" si="43"/>
        <v>30</v>
      </c>
      <c r="Q284" s="232">
        <f t="shared" ca="1" si="79"/>
        <v>0</v>
      </c>
      <c r="R284" s="232">
        <f t="shared" ca="1" si="80"/>
        <v>0</v>
      </c>
      <c r="S284" s="87" t="s">
        <v>181</v>
      </c>
      <c r="T284" s="87" t="s">
        <v>78</v>
      </c>
      <c r="U284" s="87" t="s">
        <v>88</v>
      </c>
      <c r="V284" s="57">
        <v>45681</v>
      </c>
      <c r="W284" s="57">
        <v>45681</v>
      </c>
      <c r="X284" s="87" t="s">
        <v>11</v>
      </c>
      <c r="Y284" s="87">
        <v>2.25</v>
      </c>
      <c r="Z284" s="87">
        <v>2.1800000000000002</v>
      </c>
      <c r="AA284" s="87">
        <v>2.1800000000000002</v>
      </c>
      <c r="AB284" s="87"/>
      <c r="AC284" s="87">
        <v>2.91</v>
      </c>
      <c r="AD284" s="87">
        <v>2.91</v>
      </c>
      <c r="AE284" s="65">
        <f t="shared" ca="1" si="75"/>
        <v>0.50000000000000022</v>
      </c>
      <c r="AF284" s="87">
        <v>4</v>
      </c>
      <c r="AG284" s="87">
        <f ca="1">IF(Z284="-",+AF284/D284-1,AF284/D284-1)</f>
        <v>1.061855670103093</v>
      </c>
      <c r="AH284" s="87" t="s">
        <v>11</v>
      </c>
      <c r="AI284" s="90" t="e">
        <f t="shared" ca="1" si="76"/>
        <v>#VALUE!</v>
      </c>
      <c r="AJ284" s="66">
        <f t="shared" si="33"/>
        <v>0.44495412844036686</v>
      </c>
      <c r="AK284" s="90">
        <f t="shared" si="34"/>
        <v>0.44495412844036686</v>
      </c>
      <c r="AL284" s="150">
        <v>3.15</v>
      </c>
      <c r="AM284" s="219">
        <f t="shared" si="63"/>
        <v>0.44495412844036686</v>
      </c>
      <c r="AN284" s="28">
        <f t="shared" ca="1" si="36"/>
        <v>-0.38412698412698409</v>
      </c>
      <c r="AO284">
        <v>1100</v>
      </c>
      <c r="AP284" s="5">
        <f t="shared" ref="AP284:AP289" ca="1" si="81">+D284</f>
        <v>1.94</v>
      </c>
      <c r="AQ284" s="5">
        <f t="shared" ref="AQ284:AQ289" ca="1" si="82">+AO284*AP284</f>
        <v>2134</v>
      </c>
      <c r="AR284" s="75">
        <f t="shared" ref="AR284:AR289" si="83">+AL284</f>
        <v>3.15</v>
      </c>
      <c r="AS284" s="5">
        <f t="shared" ref="AS284:AS289" si="84">+AO284*AR284</f>
        <v>3465</v>
      </c>
      <c r="AT284" s="193">
        <f t="shared" ref="AT284:AT289" ca="1" si="85">+AQ284-AS284</f>
        <v>-1331</v>
      </c>
      <c r="AU284" s="28">
        <f t="shared" ca="1" si="42"/>
        <v>-4.8973661208136588E-3</v>
      </c>
    </row>
    <row r="285" spans="1:47" x14ac:dyDescent="0.2">
      <c r="A285" s="87" t="e" vm="269">
        <v>#VALUE!</v>
      </c>
      <c r="B285" s="87" t="str" cm="1">
        <f t="array" aca="1" ref="B285" ca="1">_FV(A285,"Ticker symbol",TRUE)</f>
        <v>TEM</v>
      </c>
      <c r="C285" s="233" cm="1">
        <f t="array" aca="1" ref="C285" ca="1">_FV(A285,"Change (%)",TRUE)</f>
        <v>1.0744E-2</v>
      </c>
      <c r="D285" s="87" cm="1">
        <f t="array" aca="1" ref="D285" ca="1">_FV(A285,"Price")</f>
        <v>52.68</v>
      </c>
      <c r="E285" s="65"/>
      <c r="F285" s="65"/>
      <c r="G285" s="65"/>
      <c r="H285" s="65"/>
      <c r="I285" s="87">
        <v>76.58</v>
      </c>
      <c r="J285" s="87" cm="1">
        <f t="array" aca="1" ref="J285" ca="1">_FV(A285,"High")</f>
        <v>53.598599999999998</v>
      </c>
      <c r="K285" s="87" cm="1">
        <f t="array" aca="1" ref="K285" ca="1">_FV(A285,"Low")</f>
        <v>51.53</v>
      </c>
      <c r="L285" s="87" cm="1">
        <f t="array" aca="1" ref="L285" ca="1">_FV(A285,"52 week high",TRUE)</f>
        <v>104.32</v>
      </c>
      <c r="M285" s="230">
        <f t="shared" ca="1" si="77"/>
        <v>93.887999999999991</v>
      </c>
      <c r="N285" s="231">
        <f t="shared" ca="1" si="78"/>
        <v>99.103999999999985</v>
      </c>
      <c r="O285" s="223" cm="1">
        <f t="array" aca="1" ref="O285" ca="1">_FV(A285,"52 week low",TRUE)</f>
        <v>41.73</v>
      </c>
      <c r="P285" s="223">
        <f t="shared" si="43"/>
        <v>31</v>
      </c>
      <c r="Q285" s="232">
        <f t="shared" ca="1" si="79"/>
        <v>0</v>
      </c>
      <c r="R285" s="232">
        <f t="shared" ca="1" si="80"/>
        <v>0</v>
      </c>
      <c r="S285" s="87" t="s">
        <v>75</v>
      </c>
      <c r="T285" s="87" t="s">
        <v>78</v>
      </c>
      <c r="U285" s="87" t="s">
        <v>199</v>
      </c>
      <c r="V285" s="57">
        <v>45785</v>
      </c>
      <c r="W285" s="57">
        <v>45785</v>
      </c>
      <c r="X285" s="87"/>
      <c r="Y285" s="87">
        <v>59.51</v>
      </c>
      <c r="Z285" s="87">
        <v>58.35</v>
      </c>
      <c r="AA285" s="87">
        <v>58.35</v>
      </c>
      <c r="AB285" s="87"/>
      <c r="AC285" s="87">
        <v>76.58</v>
      </c>
      <c r="AD285" s="87" t="e">
        <f>+Tabla2[[#This Row],[Objetivo div2]]+Tabla2[[#This Row],[Div.]]</f>
        <v>#VALUE!</v>
      </c>
      <c r="AE285" s="65">
        <f t="shared" ref="AE285:AE291" ca="1" si="86">IF(Z285="-",+AC285/Y285-1,AC285/D285-1)</f>
        <v>0.4536826119969628</v>
      </c>
      <c r="AF285" s="87">
        <v>61.5</v>
      </c>
      <c r="AG285" s="87">
        <f ca="1">IF(Z285="-",+AF285/D285-1,AF285/D285-1)</f>
        <v>0.16742596810933952</v>
      </c>
      <c r="AH285" s="87">
        <v>50.98</v>
      </c>
      <c r="AI285" s="90">
        <f t="shared" ref="AI285:AI291" ca="1" si="87">IF(Z285="-",AH285/Y285-1,+AH285/D285-1)</f>
        <v>-3.2270311313591593E-2</v>
      </c>
      <c r="AJ285" s="66">
        <f t="shared" si="33"/>
        <v>0.19965724078834612</v>
      </c>
      <c r="AK285" s="90">
        <f t="shared" si="34"/>
        <v>0.19965724078834612</v>
      </c>
      <c r="AL285" s="150">
        <v>70</v>
      </c>
      <c r="AM285" s="219">
        <f t="shared" si="63"/>
        <v>0.19965724078834612</v>
      </c>
      <c r="AN285" s="28">
        <f t="shared" ca="1" si="36"/>
        <v>-0.24742857142857144</v>
      </c>
      <c r="AO285">
        <v>100</v>
      </c>
      <c r="AP285" s="5">
        <f t="shared" ca="1" si="81"/>
        <v>52.68</v>
      </c>
      <c r="AQ285" s="5">
        <f t="shared" ca="1" si="82"/>
        <v>5268</v>
      </c>
      <c r="AR285" s="75">
        <f t="shared" si="83"/>
        <v>70</v>
      </c>
      <c r="AS285" s="5">
        <f t="shared" si="84"/>
        <v>7000</v>
      </c>
      <c r="AT285" s="193">
        <f t="shared" ca="1" si="85"/>
        <v>-1732</v>
      </c>
      <c r="AU285" s="28">
        <f t="shared" ca="1" si="42"/>
        <v>-6.3728310452661587E-3</v>
      </c>
    </row>
    <row r="286" spans="1:47" x14ac:dyDescent="0.2">
      <c r="A286" s="87" t="e" vm="270">
        <v>#VALUE!</v>
      </c>
      <c r="B286" s="87" t="str" cm="1">
        <f t="array" aca="1" ref="B286" ca="1">_FV(A286,"Ticker symbol",TRUE)</f>
        <v>BIRK</v>
      </c>
      <c r="C286" s="233" cm="1">
        <f t="array" aca="1" ref="C286" ca="1">_FV(A286,"Change (%)",TRUE)</f>
        <v>2.5379999999999999E-4</v>
      </c>
      <c r="D286" s="87" cm="1">
        <f t="array" aca="1" ref="D286" ca="1">_FV(A286,"Price")</f>
        <v>39.409999999999997</v>
      </c>
      <c r="E286" s="65"/>
      <c r="F286" s="65"/>
      <c r="G286" s="65"/>
      <c r="H286" s="65"/>
      <c r="I286" s="87">
        <v>61.13</v>
      </c>
      <c r="J286" s="87" cm="1">
        <f t="array" aca="1" ref="J286" ca="1">_FV(A286,"High")</f>
        <v>39.97</v>
      </c>
      <c r="K286" s="87" cm="1">
        <f t="array" aca="1" ref="K286" ca="1">_FV(A286,"Low")</f>
        <v>39.064999999999998</v>
      </c>
      <c r="L286" s="87" cm="1">
        <f t="array" aca="1" ref="L286" ca="1">_FV(A286,"52 week high",TRUE)</f>
        <v>59.5</v>
      </c>
      <c r="M286" s="230">
        <f t="shared" ca="1" si="77"/>
        <v>53.550000000000004</v>
      </c>
      <c r="N286" s="231">
        <f t="shared" ca="1" si="78"/>
        <v>56.524999999999999</v>
      </c>
      <c r="O286" s="223" cm="1">
        <f t="array" aca="1" ref="O286" ca="1">_FV(A286,"52 week low",TRUE)</f>
        <v>33.06</v>
      </c>
      <c r="P286" s="223">
        <f t="shared" si="43"/>
        <v>32</v>
      </c>
      <c r="Q286" s="232">
        <f t="shared" ca="1" si="79"/>
        <v>0</v>
      </c>
      <c r="R286" s="232">
        <f t="shared" ca="1" si="80"/>
        <v>0</v>
      </c>
      <c r="S286" s="87" t="s">
        <v>75</v>
      </c>
      <c r="T286" s="87" t="s">
        <v>78</v>
      </c>
      <c r="U286" s="87" t="s">
        <v>72</v>
      </c>
      <c r="V286" s="57">
        <v>45757</v>
      </c>
      <c r="W286" s="57">
        <v>45757</v>
      </c>
      <c r="X286" s="87"/>
      <c r="Y286" s="87">
        <v>47.03</v>
      </c>
      <c r="Z286" s="87">
        <v>46.44</v>
      </c>
      <c r="AA286" s="87">
        <v>46.44</v>
      </c>
      <c r="AB286" s="87"/>
      <c r="AC286" s="87">
        <v>61.13</v>
      </c>
      <c r="AD286" s="87" t="e">
        <f>+Tabla2[[#This Row],[Objetivo div2]]+Tabla2[[#This Row],[Div.]]</f>
        <v>#VALUE!</v>
      </c>
      <c r="AE286" s="65">
        <f t="shared" ca="1" si="86"/>
        <v>0.55112915503679294</v>
      </c>
      <c r="AF286" s="87">
        <v>68.010000000000005</v>
      </c>
      <c r="AG286" s="87">
        <f>IF(Z286="-",+AF286/D286-1,AF286/AC286-1)</f>
        <v>0.11254703091771634</v>
      </c>
      <c r="AH286" s="87">
        <v>39.979999999999997</v>
      </c>
      <c r="AI286" s="90">
        <f t="shared" ca="1" si="87"/>
        <v>1.4463334179142251E-2</v>
      </c>
      <c r="AJ286" s="66">
        <f t="shared" si="33"/>
        <v>0.1838931955211025</v>
      </c>
      <c r="AK286" s="90">
        <f t="shared" si="34"/>
        <v>0.1838931955211025</v>
      </c>
      <c r="AL286" s="150">
        <v>54.98</v>
      </c>
      <c r="AM286" s="219">
        <f t="shared" si="63"/>
        <v>0.1838931955211025</v>
      </c>
      <c r="AN286" s="28">
        <f t="shared" ca="1" si="36"/>
        <v>-0.28319388868679518</v>
      </c>
      <c r="AO286">
        <v>236</v>
      </c>
      <c r="AP286" s="5">
        <f t="shared" ca="1" si="81"/>
        <v>39.409999999999997</v>
      </c>
      <c r="AQ286" s="5">
        <f t="shared" ca="1" si="82"/>
        <v>9300.7599999999984</v>
      </c>
      <c r="AR286" s="75">
        <f t="shared" si="83"/>
        <v>54.98</v>
      </c>
      <c r="AS286" s="5">
        <f t="shared" si="84"/>
        <v>12975.279999999999</v>
      </c>
      <c r="AT286" s="193">
        <f t="shared" ca="1" si="85"/>
        <v>-3674.5200000000004</v>
      </c>
      <c r="AU286" s="28">
        <f t="shared" ca="1" si="42"/>
        <v>-1.3520262778551622E-2</v>
      </c>
    </row>
    <row r="287" spans="1:47" x14ac:dyDescent="0.2">
      <c r="A287" s="87" t="e" vm="271">
        <v>#VALUE!</v>
      </c>
      <c r="B287" s="87" t="str" cm="1">
        <f t="array" aca="1" ref="B287" ca="1">_FV(A287,"Ticker symbol",TRUE)</f>
        <v>MAP</v>
      </c>
      <c r="C287" s="233" cm="1">
        <f t="array" aca="1" ref="C287" ca="1">_FV(A287,"Change (%)",TRUE)</f>
        <v>9.8140000000000011E-4</v>
      </c>
      <c r="D287" s="87" cm="1">
        <f t="array" aca="1" ref="D287" ca="1">_FV(A287,"Price")</f>
        <v>4.08</v>
      </c>
      <c r="E287" s="65"/>
      <c r="F287" s="65"/>
      <c r="G287" s="65"/>
      <c r="H287" s="65"/>
      <c r="I287" s="87">
        <v>2.7280000000000002</v>
      </c>
      <c r="J287" s="87" cm="1">
        <f t="array" aca="1" ref="J287" ca="1">_FV(A287,"High")</f>
        <v>4.09</v>
      </c>
      <c r="K287" s="87" cm="1">
        <f t="array" aca="1" ref="K287" ca="1">_FV(A287,"Low")</f>
        <v>4.04</v>
      </c>
      <c r="L287" s="87" cm="1">
        <f t="array" aca="1" ref="L287" ca="1">_FV(A287,"52 week high",TRUE)</f>
        <v>4.3319999999999999</v>
      </c>
      <c r="M287" s="230">
        <f t="shared" ca="1" si="77"/>
        <v>3.8988</v>
      </c>
      <c r="N287" s="231">
        <f t="shared" ca="1" si="78"/>
        <v>4.1153999999999993</v>
      </c>
      <c r="O287" s="223" cm="1">
        <f t="array" aca="1" ref="O287" ca="1">_FV(A287,"52 week low",TRUE)</f>
        <v>3.1019999999999999</v>
      </c>
      <c r="P287" s="223">
        <f t="shared" si="43"/>
        <v>33</v>
      </c>
      <c r="Q287" s="232">
        <f t="shared" ca="1" si="79"/>
        <v>1</v>
      </c>
      <c r="R287" s="232">
        <f t="shared" ca="1" si="80"/>
        <v>0</v>
      </c>
      <c r="S287" s="87" t="s">
        <v>75</v>
      </c>
      <c r="T287" s="87" t="s">
        <v>78</v>
      </c>
      <c r="U287" s="87" t="s">
        <v>26</v>
      </c>
      <c r="V287" s="57">
        <v>45660</v>
      </c>
      <c r="W287" s="57">
        <v>45660</v>
      </c>
      <c r="X287" s="87" t="s">
        <v>11</v>
      </c>
      <c r="Y287" s="87">
        <v>2.484</v>
      </c>
      <c r="Z287" s="87">
        <v>2.472</v>
      </c>
      <c r="AA287" s="87">
        <v>2.472</v>
      </c>
      <c r="AB287" s="87"/>
      <c r="AC287" s="87">
        <v>2.7280000000000002</v>
      </c>
      <c r="AD287" s="87" t="e">
        <f>+Tabla2[[#This Row],[Objetivo div2]]+Tabla2[[#This Row],[Div.]]</f>
        <v>#VALUE!</v>
      </c>
      <c r="AE287" s="65">
        <f t="shared" ca="1" si="86"/>
        <v>-0.33137254901960778</v>
      </c>
      <c r="AF287" s="87">
        <v>4.1399999999999997</v>
      </c>
      <c r="AG287" s="87">
        <f t="shared" ref="AG287:AG292" ca="1" si="88">IF(Z287="-",+AF287/D287-1,AF287/D287-1)</f>
        <v>1.4705882352941124E-2</v>
      </c>
      <c r="AH287" s="87">
        <v>2.3479999999999999</v>
      </c>
      <c r="AI287" s="90">
        <f t="shared" ca="1" si="87"/>
        <v>-0.42450980392156867</v>
      </c>
      <c r="AJ287" s="66">
        <f t="shared" si="33"/>
        <v>0.35113268608414239</v>
      </c>
      <c r="AK287" s="90">
        <f t="shared" si="34"/>
        <v>0.35113268608414239</v>
      </c>
      <c r="AL287" s="150">
        <v>3.34</v>
      </c>
      <c r="AM287" s="219">
        <f t="shared" si="63"/>
        <v>0.35113268608414239</v>
      </c>
      <c r="AN287" s="28">
        <f t="shared" ca="1" si="36"/>
        <v>0.22155688622754499</v>
      </c>
      <c r="AO287">
        <v>380</v>
      </c>
      <c r="AP287" s="5">
        <f t="shared" ca="1" si="81"/>
        <v>4.08</v>
      </c>
      <c r="AQ287" s="5">
        <f t="shared" ca="1" si="82"/>
        <v>1550.4</v>
      </c>
      <c r="AR287" s="75">
        <f t="shared" si="83"/>
        <v>3.34</v>
      </c>
      <c r="AS287" s="5">
        <f t="shared" si="84"/>
        <v>1269.2</v>
      </c>
      <c r="AT287" s="193">
        <f t="shared" ca="1" si="85"/>
        <v>281.20000000000005</v>
      </c>
      <c r="AU287" s="28">
        <f t="shared" ref="AU287:AU318" ca="1" si="89">+AT287/$AT$342</f>
        <v>1.0346651789427507E-3</v>
      </c>
    </row>
    <row r="288" spans="1:47" x14ac:dyDescent="0.2">
      <c r="A288" s="87" t="e" vm="272">
        <v>#VALUE!</v>
      </c>
      <c r="B288" s="87" t="str" cm="1">
        <f t="array" aca="1" ref="B288" ca="1">_FV(A288,"Ticker symbol",TRUE)</f>
        <v>ZS</v>
      </c>
      <c r="C288" s="233" cm="1">
        <f t="array" aca="1" ref="C288" ca="1">_FV(A288,"Change (%)",TRUE)</f>
        <v>-1.0258E-2</v>
      </c>
      <c r="D288" s="87" cm="1">
        <f t="array" aca="1" ref="D288" ca="1">_FV(A288,"Price")</f>
        <v>134.11000000000001</v>
      </c>
      <c r="E288" s="65"/>
      <c r="F288" s="65"/>
      <c r="G288" s="65"/>
      <c r="H288" s="65"/>
      <c r="I288" s="87">
        <v>254.78</v>
      </c>
      <c r="J288" s="87" cm="1">
        <f t="array" aca="1" ref="J288" ca="1">_FV(A288,"High")</f>
        <v>138</v>
      </c>
      <c r="K288" s="87" cm="1">
        <f t="array" aca="1" ref="K288" ca="1">_FV(A288,"Low")</f>
        <v>133.685</v>
      </c>
      <c r="L288" s="87" cm="1">
        <f t="array" aca="1" ref="L288" ca="1">_FV(A288,"52 week high",TRUE)</f>
        <v>336.99</v>
      </c>
      <c r="M288" s="230">
        <f t="shared" ref="M288:M293" ca="1" si="90">+L288*0.9</f>
        <v>303.291</v>
      </c>
      <c r="N288" s="231">
        <f t="shared" ref="N288:N293" ca="1" si="91">+L288*0.95</f>
        <v>320.14049999999997</v>
      </c>
      <c r="O288" s="223" cm="1">
        <f t="array" aca="1" ref="O288" ca="1">_FV(A288,"52 week low",TRUE)</f>
        <v>114.625</v>
      </c>
      <c r="P288" s="223">
        <f t="shared" si="43"/>
        <v>34</v>
      </c>
      <c r="Q288" s="232">
        <f t="shared" ref="Q288:Q293" ca="1" si="92">GESTEP(D288,M288)</f>
        <v>0</v>
      </c>
      <c r="R288" s="232">
        <f t="shared" ref="R288:R293" ca="1" si="93">GESTEP(D288,N288)</f>
        <v>0</v>
      </c>
      <c r="S288" s="87" t="s">
        <v>76</v>
      </c>
      <c r="T288" s="87" t="s">
        <v>78</v>
      </c>
      <c r="U288" s="87" t="s">
        <v>26</v>
      </c>
      <c r="V288" s="57">
        <v>45609</v>
      </c>
      <c r="W288" s="57">
        <v>45609</v>
      </c>
      <c r="X288" s="87" t="s">
        <v>11</v>
      </c>
      <c r="Y288" s="87">
        <v>209.52</v>
      </c>
      <c r="Z288" s="87">
        <v>209.52</v>
      </c>
      <c r="AA288" s="87">
        <v>209.52</v>
      </c>
      <c r="AB288" s="87"/>
      <c r="AC288" s="87">
        <v>254.78</v>
      </c>
      <c r="AD288" s="87">
        <v>254.78</v>
      </c>
      <c r="AE288" s="65">
        <f t="shared" ca="1" si="86"/>
        <v>0.89978375960032797</v>
      </c>
      <c r="AF288" s="87">
        <v>236</v>
      </c>
      <c r="AG288" s="87">
        <f t="shared" ca="1" si="88"/>
        <v>0.75974945939900063</v>
      </c>
      <c r="AH288" s="87">
        <v>186.89</v>
      </c>
      <c r="AI288" s="90">
        <f t="shared" ca="1" si="87"/>
        <v>0.39355752740287797</v>
      </c>
      <c r="AJ288" s="66">
        <f t="shared" si="33"/>
        <v>0.20752195494463521</v>
      </c>
      <c r="AK288" s="90">
        <f t="shared" si="34"/>
        <v>0.20752195494463521</v>
      </c>
      <c r="AL288" s="150">
        <v>253</v>
      </c>
      <c r="AM288" s="219">
        <f t="shared" si="63"/>
        <v>0.20752195494463521</v>
      </c>
      <c r="AN288" s="28">
        <f t="shared" ca="1" si="36"/>
        <v>-0.46992094861660072</v>
      </c>
      <c r="AO288">
        <v>45</v>
      </c>
      <c r="AP288" s="5">
        <f t="shared" ca="1" si="81"/>
        <v>134.11000000000001</v>
      </c>
      <c r="AQ288" s="5">
        <f t="shared" ca="1" si="82"/>
        <v>6034.9500000000007</v>
      </c>
      <c r="AR288" s="75">
        <f t="shared" si="83"/>
        <v>253</v>
      </c>
      <c r="AS288" s="5">
        <f t="shared" si="84"/>
        <v>11385</v>
      </c>
      <c r="AT288" s="193">
        <f t="shared" ca="1" si="85"/>
        <v>-5350.0499999999993</v>
      </c>
      <c r="AU288" s="28">
        <f t="shared" ca="1" si="89"/>
        <v>-1.9685314511389267E-2</v>
      </c>
    </row>
    <row r="289" spans="1:47" x14ac:dyDescent="0.2">
      <c r="A289" s="87" t="e" vm="273">
        <v>#VALUE!</v>
      </c>
      <c r="B289" s="87" t="str" cm="1">
        <f t="array" aca="1" ref="B289" ca="1">_FV(A289,"Ticker symbol",TRUE)</f>
        <v>EGL</v>
      </c>
      <c r="C289" s="233" cm="1">
        <f t="array" aca="1" ref="C289" ca="1">_FV(A289,"Change (%)",TRUE)</f>
        <v>-1.2859999999999998E-3</v>
      </c>
      <c r="D289" s="87" cm="1">
        <f t="array" aca="1" ref="D289" ca="1">_FV(A289,"Price")</f>
        <v>4.66</v>
      </c>
      <c r="E289" s="65"/>
      <c r="F289" s="65"/>
      <c r="G289" s="65"/>
      <c r="H289" s="65"/>
      <c r="I289" s="87">
        <v>3.64</v>
      </c>
      <c r="J289" s="87" cm="1">
        <f t="array" aca="1" ref="J289" ca="1">_FV(A289,"High")</f>
        <v>4.694</v>
      </c>
      <c r="K289" s="87" cm="1">
        <f t="array" aca="1" ref="K289" ca="1">_FV(A289,"Low")</f>
        <v>4.51</v>
      </c>
      <c r="L289" s="87" cm="1">
        <f t="array" aca="1" ref="L289" ca="1">_FV(A289,"52 week high",TRUE)</f>
        <v>6.21</v>
      </c>
      <c r="M289" s="230">
        <f t="shared" ca="1" si="90"/>
        <v>5.5890000000000004</v>
      </c>
      <c r="N289" s="231">
        <f t="shared" ca="1" si="91"/>
        <v>5.8994999999999997</v>
      </c>
      <c r="O289" s="223" cm="1">
        <f t="array" aca="1" ref="O289" ca="1">_FV(A289,"52 week low",TRUE)</f>
        <v>3.38</v>
      </c>
      <c r="P289" s="223">
        <f t="shared" si="43"/>
        <v>35</v>
      </c>
      <c r="Q289" s="232">
        <f t="shared" ca="1" si="92"/>
        <v>0</v>
      </c>
      <c r="R289" s="232">
        <f t="shared" ca="1" si="93"/>
        <v>0</v>
      </c>
      <c r="S289" s="87" t="s">
        <v>166</v>
      </c>
      <c r="T289" s="87" t="s">
        <v>78</v>
      </c>
      <c r="U289" s="87" t="s">
        <v>72</v>
      </c>
      <c r="V289" s="57">
        <v>45707</v>
      </c>
      <c r="W289" s="57">
        <v>45709</v>
      </c>
      <c r="X289" s="87" t="s">
        <v>11</v>
      </c>
      <c r="Y289" s="87">
        <v>3.06</v>
      </c>
      <c r="Z289" s="87">
        <v>3.016</v>
      </c>
      <c r="AA289" s="87">
        <v>3.016</v>
      </c>
      <c r="AB289" s="87"/>
      <c r="AC289" s="87">
        <v>3.64</v>
      </c>
      <c r="AD289" s="87">
        <v>3.9950000000000001</v>
      </c>
      <c r="AE289" s="65">
        <f t="shared" ca="1" si="86"/>
        <v>-0.2188841201716738</v>
      </c>
      <c r="AF289" s="87">
        <v>4.9800000000000004</v>
      </c>
      <c r="AG289" s="87">
        <f t="shared" ca="1" si="88"/>
        <v>6.8669527896995763E-2</v>
      </c>
      <c r="AH289" s="87">
        <v>2.77</v>
      </c>
      <c r="AI289" s="90">
        <f t="shared" ca="1" si="87"/>
        <v>-0.40557939914163088</v>
      </c>
      <c r="AJ289" s="66">
        <f t="shared" si="33"/>
        <v>0.53514588859416445</v>
      </c>
      <c r="AK289" s="90">
        <f t="shared" si="34"/>
        <v>0.53514588859416445</v>
      </c>
      <c r="AL289" s="150">
        <v>4.63</v>
      </c>
      <c r="AM289" s="219">
        <f t="shared" si="63"/>
        <v>0.53514588859416445</v>
      </c>
      <c r="AN289" s="28">
        <f t="shared" ca="1" si="36"/>
        <v>6.4794816414688317E-3</v>
      </c>
      <c r="AO289">
        <v>3500</v>
      </c>
      <c r="AP289" s="5">
        <f t="shared" ca="1" si="81"/>
        <v>4.66</v>
      </c>
      <c r="AQ289" s="5">
        <f t="shared" ca="1" si="82"/>
        <v>16310</v>
      </c>
      <c r="AR289" s="75">
        <f t="shared" si="83"/>
        <v>4.63</v>
      </c>
      <c r="AS289" s="5">
        <f t="shared" si="84"/>
        <v>16205</v>
      </c>
      <c r="AT289" s="193">
        <f t="shared" ca="1" si="85"/>
        <v>105</v>
      </c>
      <c r="AU289" s="28">
        <f t="shared" ca="1" si="89"/>
        <v>3.8634368346013087E-4</v>
      </c>
    </row>
    <row r="290" spans="1:47" x14ac:dyDescent="0.2">
      <c r="A290" s="87" t="e" vm="274">
        <v>#VALUE!</v>
      </c>
      <c r="B290" s="87" t="str" cm="1">
        <f t="array" aca="1" ref="B290" ca="1">_FV(A290,"Ticker symbol",TRUE)</f>
        <v>FIX</v>
      </c>
      <c r="C290" s="233" cm="1">
        <f t="array" aca="1" ref="C290" ca="1">_FV(A290,"Change (%)",TRUE)</f>
        <v>3.9867E-2</v>
      </c>
      <c r="D290" s="87" cm="1">
        <f t="array" aca="1" ref="D290" ca="1">_FV(A290,"Price")</f>
        <v>1794.9349999999999</v>
      </c>
      <c r="E290" s="65">
        <f t="shared" ref="E290:E296" ca="1" si="94">AE290</f>
        <v>-0.71349937462916491</v>
      </c>
      <c r="F290" s="65"/>
      <c r="G290" s="65"/>
      <c r="H290" s="65"/>
      <c r="I290" s="87">
        <v>514.25</v>
      </c>
      <c r="J290" s="87" cm="1">
        <f t="array" aca="1" ref="J290" ca="1">_FV(A290,"High")</f>
        <v>1804.9998000000001</v>
      </c>
      <c r="K290" s="87" cm="1">
        <f t="array" aca="1" ref="K290" ca="1">_FV(A290,"Low")</f>
        <v>1685</v>
      </c>
      <c r="L290" s="87" cm="1">
        <f t="array" aca="1" ref="L290" ca="1">_FV(A290,"52 week high",TRUE)</f>
        <v>1829.66</v>
      </c>
      <c r="M290" s="230">
        <f t="shared" ca="1" si="90"/>
        <v>1646.6940000000002</v>
      </c>
      <c r="N290" s="231">
        <f t="shared" ca="1" si="91"/>
        <v>1738.1769999999999</v>
      </c>
      <c r="O290" s="223" cm="1">
        <f t="array" aca="1" ref="O290" ca="1">_FV(A290,"52 week low",TRUE)</f>
        <v>380</v>
      </c>
      <c r="P290" s="223">
        <f t="shared" si="43"/>
        <v>36</v>
      </c>
      <c r="Q290" s="232">
        <f t="shared" ca="1" si="92"/>
        <v>1</v>
      </c>
      <c r="R290" s="232">
        <f t="shared" ca="1" si="93"/>
        <v>1</v>
      </c>
      <c r="S290" s="87" t="s">
        <v>75</v>
      </c>
      <c r="T290" s="87" t="s">
        <v>78</v>
      </c>
      <c r="U290" s="87" t="s">
        <v>72</v>
      </c>
      <c r="V290" s="57">
        <v>45775</v>
      </c>
      <c r="W290" s="57">
        <v>45776</v>
      </c>
      <c r="X290" s="87"/>
      <c r="Y290" s="87">
        <v>398.01</v>
      </c>
      <c r="Z290" s="87">
        <v>390</v>
      </c>
      <c r="AA290" s="87">
        <v>390</v>
      </c>
      <c r="AB290" s="87"/>
      <c r="AC290" s="87">
        <v>514.25</v>
      </c>
      <c r="AD290" s="87" t="e">
        <f>+Tabla2[[#This Row],[Objetivo div2]]+Tabla2[[#This Row],[Div.]]</f>
        <v>#VALUE!</v>
      </c>
      <c r="AE290" s="65">
        <f t="shared" ca="1" si="86"/>
        <v>-0.71349937462916491</v>
      </c>
      <c r="AF290" s="87">
        <v>514.16999999999996</v>
      </c>
      <c r="AG290" s="87">
        <f t="shared" ca="1" si="88"/>
        <v>-0.71354394448824054</v>
      </c>
      <c r="AH290" s="87">
        <v>339.94</v>
      </c>
      <c r="AI290" s="90">
        <f t="shared" ca="1" si="87"/>
        <v>-0.81061152632268019</v>
      </c>
      <c r="AJ290" s="66">
        <f t="shared" si="33"/>
        <v>0.24487179487179489</v>
      </c>
      <c r="AK290" s="90">
        <f t="shared" si="34"/>
        <v>0.24487179487179489</v>
      </c>
      <c r="AL290" s="150">
        <v>485.5</v>
      </c>
      <c r="AM290" s="219">
        <f t="shared" si="63"/>
        <v>0.24487179487179489</v>
      </c>
      <c r="AN290" s="28">
        <f t="shared" ca="1" si="36"/>
        <v>2.6970854788877445</v>
      </c>
      <c r="AO290">
        <v>29</v>
      </c>
      <c r="AP290" s="5">
        <f t="shared" ref="AP290:AP296" ca="1" si="95">+D290</f>
        <v>1794.9349999999999</v>
      </c>
      <c r="AQ290" s="5">
        <f t="shared" ref="AQ290:AQ296" ca="1" si="96">+AO290*AP290</f>
        <v>52053.114999999998</v>
      </c>
      <c r="AR290" s="75">
        <f t="shared" ref="AR290:AR296" si="97">+AL290</f>
        <v>485.5</v>
      </c>
      <c r="AS290" s="5">
        <f t="shared" ref="AS290:AS296" si="98">+AO290*AR290</f>
        <v>14079.5</v>
      </c>
      <c r="AT290" s="193">
        <f t="shared" ref="AT290:AT296" ca="1" si="99">+AQ290-AS290</f>
        <v>37973.614999999998</v>
      </c>
      <c r="AU290" s="28">
        <f t="shared" ca="1" si="89"/>
        <v>0.13972253612758931</v>
      </c>
    </row>
    <row r="291" spans="1:47" x14ac:dyDescent="0.2">
      <c r="A291" s="87" t="e" vm="275">
        <v>#VALUE!</v>
      </c>
      <c r="B291" s="87" t="str" cm="1">
        <f t="array" aca="1" ref="B291" ca="1">_FV(A291,"Ticker symbol",TRUE)</f>
        <v>BBAI</v>
      </c>
      <c r="C291" s="233" cm="1">
        <f t="array" aca="1" ref="C291" ca="1">_FV(A291,"Change (%)",TRUE)</f>
        <v>1.0810999999999999E-2</v>
      </c>
      <c r="D291" s="87" cm="1">
        <f t="array" aca="1" ref="D291" ca="1">_FV(A291,"Price")</f>
        <v>3.74</v>
      </c>
      <c r="E291" s="65">
        <f t="shared" ca="1" si="94"/>
        <v>0.2540106951871659</v>
      </c>
      <c r="F291" s="65"/>
      <c r="G291" s="65"/>
      <c r="H291" s="65"/>
      <c r="I291" s="87">
        <v>4.6900000000000004</v>
      </c>
      <c r="J291" s="87" cm="1">
        <f t="array" aca="1" ref="J291" ca="1">_FV(A291,"High")</f>
        <v>3.8050000000000002</v>
      </c>
      <c r="K291" s="87" cm="1">
        <f t="array" aca="1" ref="K291" ca="1">_FV(A291,"Low")</f>
        <v>3.64</v>
      </c>
      <c r="L291" s="87" cm="1">
        <f t="array" aca="1" ref="L291" ca="1">_FV(A291,"52 week high",TRUE)</f>
        <v>9.39</v>
      </c>
      <c r="M291" s="230">
        <f t="shared" ca="1" si="90"/>
        <v>8.4510000000000005</v>
      </c>
      <c r="N291" s="231">
        <f t="shared" ca="1" si="91"/>
        <v>8.9205000000000005</v>
      </c>
      <c r="O291" s="223" cm="1">
        <f t="array" aca="1" ref="O291" ca="1">_FV(A291,"52 week low",TRUE)</f>
        <v>2.96</v>
      </c>
      <c r="P291" s="223">
        <f t="shared" si="43"/>
        <v>37</v>
      </c>
      <c r="Q291" s="232">
        <f t="shared" ca="1" si="92"/>
        <v>0</v>
      </c>
      <c r="R291" s="232">
        <f t="shared" ca="1" si="93"/>
        <v>0</v>
      </c>
      <c r="S291" s="87" t="s">
        <v>75</v>
      </c>
      <c r="T291" s="87" t="s">
        <v>78</v>
      </c>
      <c r="U291" s="87" t="s">
        <v>199</v>
      </c>
      <c r="V291" s="57">
        <v>45792</v>
      </c>
      <c r="W291" s="57">
        <v>45792</v>
      </c>
      <c r="X291" s="87"/>
      <c r="Y291" s="87">
        <v>3.61</v>
      </c>
      <c r="Z291" s="87">
        <v>3.61</v>
      </c>
      <c r="AA291" s="87">
        <v>3.61</v>
      </c>
      <c r="AB291" s="87"/>
      <c r="AC291" s="87">
        <v>4.6900000000000004</v>
      </c>
      <c r="AD291" s="87" t="e">
        <f>+Tabla2[[#This Row],[Objetivo div2]]+Tabla2[[#This Row],[Div.]]</f>
        <v>#VALUE!</v>
      </c>
      <c r="AE291" s="65">
        <f t="shared" ca="1" si="86"/>
        <v>0.2540106951871659</v>
      </c>
      <c r="AF291" s="87">
        <v>20.7</v>
      </c>
      <c r="AG291" s="87">
        <f t="shared" ca="1" si="88"/>
        <v>4.5347593582887695</v>
      </c>
      <c r="AH291" s="87">
        <v>3.07</v>
      </c>
      <c r="AI291" s="90">
        <f t="shared" ca="1" si="87"/>
        <v>-0.17914438502673802</v>
      </c>
      <c r="AJ291" s="66">
        <f t="shared" si="33"/>
        <v>0.24930747922437679</v>
      </c>
      <c r="AK291" s="90">
        <f t="shared" si="34"/>
        <v>0.24930747922437679</v>
      </c>
      <c r="AL291" s="150">
        <v>4.51</v>
      </c>
      <c r="AM291" s="219">
        <f t="shared" si="63"/>
        <v>0.24930747922437679</v>
      </c>
      <c r="AN291" s="28">
        <f t="shared" ca="1" si="36"/>
        <v>-0.1707317073170731</v>
      </c>
      <c r="AO291">
        <v>2000</v>
      </c>
      <c r="AP291" s="5">
        <f t="shared" ca="1" si="95"/>
        <v>3.74</v>
      </c>
      <c r="AQ291" s="5">
        <f t="shared" ca="1" si="96"/>
        <v>7480</v>
      </c>
      <c r="AR291" s="75">
        <f t="shared" si="97"/>
        <v>4.51</v>
      </c>
      <c r="AS291" s="5">
        <f t="shared" si="98"/>
        <v>9020</v>
      </c>
      <c r="AT291" s="193">
        <f t="shared" ca="1" si="99"/>
        <v>-1540</v>
      </c>
      <c r="AU291" s="28">
        <f t="shared" ca="1" si="89"/>
        <v>-5.6663740240819197E-3</v>
      </c>
    </row>
    <row r="292" spans="1:47" x14ac:dyDescent="0.2">
      <c r="A292" s="87" t="e" vm="276">
        <v>#VALUE!</v>
      </c>
      <c r="B292" s="87" t="str" cm="1">
        <f t="array" aca="1" ref="B292" ca="1">_FV(A292,"Ticker symbol",TRUE)</f>
        <v>TTMI</v>
      </c>
      <c r="C292" s="233" cm="1">
        <f t="array" aca="1" ref="C292" ca="1">_FV(A292,"Change (%)",TRUE)</f>
        <v>-3.2481000000000003E-2</v>
      </c>
      <c r="D292" s="87" cm="1">
        <f t="array" aca="1" ref="D292" ca="1">_FV(A292,"Price")</f>
        <v>144.16999999999999</v>
      </c>
      <c r="E292" s="65">
        <f t="shared" ca="1" si="94"/>
        <v>-0.81986543663730316</v>
      </c>
      <c r="F292" s="65"/>
      <c r="G292" s="65"/>
      <c r="H292" s="65"/>
      <c r="I292" s="87">
        <v>25.97</v>
      </c>
      <c r="J292" s="87" cm="1">
        <f t="array" aca="1" ref="J292" ca="1">_FV(A292,"High")</f>
        <v>148.11000000000001</v>
      </c>
      <c r="K292" s="87" cm="1">
        <f t="array" aca="1" ref="K292" ca="1">_FV(A292,"Low")</f>
        <v>138.41999999999999</v>
      </c>
      <c r="L292" s="87" cm="1">
        <f t="array" aca="1" ref="L292" ca="1">_FV(A292,"52 week high",TRUE)</f>
        <v>149.08000000000001</v>
      </c>
      <c r="M292" s="230">
        <f t="shared" ca="1" si="90"/>
        <v>134.17200000000003</v>
      </c>
      <c r="N292" s="231">
        <f t="shared" ca="1" si="91"/>
        <v>141.626</v>
      </c>
      <c r="O292" s="223" cm="1">
        <f t="array" aca="1" ref="O292" ca="1">_FV(A292,"52 week low",TRUE)</f>
        <v>19.585000000000001</v>
      </c>
      <c r="P292" s="223">
        <f t="shared" si="43"/>
        <v>38</v>
      </c>
      <c r="Q292" s="232">
        <f t="shared" ca="1" si="92"/>
        <v>1</v>
      </c>
      <c r="R292" s="232">
        <f t="shared" ca="1" si="93"/>
        <v>1</v>
      </c>
      <c r="S292" s="87" t="s">
        <v>75</v>
      </c>
      <c r="T292" s="87" t="s">
        <v>78</v>
      </c>
      <c r="U292" s="87" t="s">
        <v>88</v>
      </c>
      <c r="V292" s="57">
        <v>45488</v>
      </c>
      <c r="W292" s="57">
        <v>45488</v>
      </c>
      <c r="X292" s="87" t="s">
        <v>11</v>
      </c>
      <c r="Y292" s="87">
        <v>21.11</v>
      </c>
      <c r="Z292" s="87">
        <v>21.11</v>
      </c>
      <c r="AA292" s="87">
        <v>21.11</v>
      </c>
      <c r="AB292" s="87"/>
      <c r="AC292" s="87">
        <v>25.97</v>
      </c>
      <c r="AD292" s="87" t="e">
        <f>+Tabla2[[#This Row],[Objetivo div2]]+Tabla2[[#This Row],[Div.]]</f>
        <v>#VALUE!</v>
      </c>
      <c r="AE292" s="65">
        <f t="shared" ref="AE292:AE297" ca="1" si="100">IF(Z292="-",+AC292/Y292-1,AC292/D292-1)</f>
        <v>-0.81986543663730316</v>
      </c>
      <c r="AF292" s="87">
        <v>35</v>
      </c>
      <c r="AG292" s="87">
        <f t="shared" ca="1" si="88"/>
        <v>-0.75723104668100161</v>
      </c>
      <c r="AH292" s="87">
        <v>18.690000000000001</v>
      </c>
      <c r="AI292" s="90">
        <f t="shared" ref="AI292:AI297" ca="1" si="101">IF(Z292="-",AH292/Y292-1,+AH292/D292-1)</f>
        <v>-0.87036137892765486</v>
      </c>
      <c r="AJ292" s="66">
        <f t="shared" si="33"/>
        <v>0.51539554713405966</v>
      </c>
      <c r="AK292" s="90">
        <f t="shared" si="34"/>
        <v>0.51539554713405966</v>
      </c>
      <c r="AL292" s="150">
        <v>31.99</v>
      </c>
      <c r="AM292" s="219">
        <f t="shared" si="63"/>
        <v>0.51539554713405966</v>
      </c>
      <c r="AN292" s="28">
        <f t="shared" ca="1" si="36"/>
        <v>3.5067208502657081</v>
      </c>
      <c r="AO292">
        <v>330</v>
      </c>
      <c r="AP292" s="5">
        <f t="shared" ca="1" si="95"/>
        <v>144.16999999999999</v>
      </c>
      <c r="AQ292" s="5">
        <f t="shared" ca="1" si="96"/>
        <v>47576.1</v>
      </c>
      <c r="AR292" s="75">
        <f t="shared" si="97"/>
        <v>31.99</v>
      </c>
      <c r="AS292" s="5">
        <f t="shared" si="98"/>
        <v>10556.699999999999</v>
      </c>
      <c r="AT292" s="193">
        <f t="shared" ca="1" si="99"/>
        <v>37019.4</v>
      </c>
      <c r="AU292" s="28">
        <f t="shared" ca="1" si="89"/>
        <v>0.13621153671889497</v>
      </c>
    </row>
    <row r="293" spans="1:47" x14ac:dyDescent="0.2">
      <c r="A293" s="87" t="e" vm="277">
        <v>#VALUE!</v>
      </c>
      <c r="B293" s="87" t="str" cm="1">
        <f t="array" aca="1" ref="B293" ca="1">_FV(A293,"Ticker symbol",TRUE)</f>
        <v>PHARM</v>
      </c>
      <c r="C293" s="233" cm="1">
        <f t="array" aca="1" ref="C293" ca="1">_FV(A293,"Change (%)",TRUE)</f>
        <v>2.111E-3</v>
      </c>
      <c r="D293" s="87" cm="1">
        <f t="array" aca="1" ref="D293" ca="1">_FV(A293,"Price")</f>
        <v>1.4239999999999999</v>
      </c>
      <c r="E293" s="65">
        <f t="shared" ca="1" si="94"/>
        <v>-0.27668539325842689</v>
      </c>
      <c r="F293" s="65"/>
      <c r="G293" s="65"/>
      <c r="H293" s="65"/>
      <c r="I293" s="87">
        <v>1.03</v>
      </c>
      <c r="J293" s="87" cm="1">
        <f t="array" aca="1" ref="J293" ca="1">_FV(A293,"High")</f>
        <v>1.4359999999999999</v>
      </c>
      <c r="K293" s="87" cm="1">
        <f t="array" aca="1" ref="K293" ca="1">_FV(A293,"Low")</f>
        <v>1.4065000000000001</v>
      </c>
      <c r="L293" s="87" cm="1">
        <f t="array" aca="1" ref="L293" ca="1">_FV(A293,"52 week high",TRUE)</f>
        <v>1.82</v>
      </c>
      <c r="M293" s="230">
        <f t="shared" ca="1" si="90"/>
        <v>1.6380000000000001</v>
      </c>
      <c r="N293" s="231">
        <f t="shared" ca="1" si="91"/>
        <v>1.7289999999999999</v>
      </c>
      <c r="O293" s="223" cm="1">
        <f t="array" aca="1" ref="O293" ca="1">_FV(A293,"52 week low",TRUE)</f>
        <v>0.74</v>
      </c>
      <c r="P293" s="223">
        <f t="shared" si="43"/>
        <v>39</v>
      </c>
      <c r="Q293" s="232">
        <f t="shared" ca="1" si="92"/>
        <v>0</v>
      </c>
      <c r="R293" s="232">
        <f t="shared" ca="1" si="93"/>
        <v>0</v>
      </c>
      <c r="S293" s="87" t="s">
        <v>76</v>
      </c>
      <c r="T293" s="87" t="s">
        <v>78</v>
      </c>
      <c r="U293" s="87" t="s">
        <v>26</v>
      </c>
      <c r="V293" s="57">
        <v>45706</v>
      </c>
      <c r="W293" s="57">
        <v>45706</v>
      </c>
      <c r="X293" s="87"/>
      <c r="Y293" s="87">
        <v>0.89</v>
      </c>
      <c r="Z293" s="87">
        <v>0.88</v>
      </c>
      <c r="AA293" s="87">
        <v>0.88</v>
      </c>
      <c r="AB293" s="87"/>
      <c r="AC293" s="87">
        <v>1.03</v>
      </c>
      <c r="AD293" s="87" t="e">
        <f>+Tabla2[[#This Row],[Objetivo div2]]+Tabla2[[#This Row],[Div.]]</f>
        <v>#VALUE!</v>
      </c>
      <c r="AE293" s="65">
        <f t="shared" ca="1" si="100"/>
        <v>-0.27668539325842689</v>
      </c>
      <c r="AF293" s="87">
        <v>1.9</v>
      </c>
      <c r="AG293" s="87">
        <f ca="1">IF(Z293="-",+AF293/D293-1,AF293/D293-1)</f>
        <v>0.33426966292134841</v>
      </c>
      <c r="AH293" s="87">
        <v>0.82</v>
      </c>
      <c r="AI293" s="90">
        <f t="shared" ca="1" si="101"/>
        <v>-0.4241573033707865</v>
      </c>
      <c r="AJ293" s="66">
        <f t="shared" si="33"/>
        <v>0.20340909090909087</v>
      </c>
      <c r="AK293" s="90">
        <f t="shared" si="34"/>
        <v>0.20340909090909087</v>
      </c>
      <c r="AL293" s="150">
        <v>1.0589999999999999</v>
      </c>
      <c r="AM293" s="219">
        <f t="shared" si="63"/>
        <v>0.20340909090909087</v>
      </c>
      <c r="AN293" s="28">
        <f t="shared" ca="1" si="36"/>
        <v>0.34466477809254004</v>
      </c>
      <c r="AO293">
        <v>11000</v>
      </c>
      <c r="AP293" s="5">
        <f t="shared" ca="1" si="95"/>
        <v>1.4239999999999999</v>
      </c>
      <c r="AQ293" s="5">
        <f t="shared" ca="1" si="96"/>
        <v>15664</v>
      </c>
      <c r="AR293" s="75">
        <f t="shared" si="97"/>
        <v>1.0589999999999999</v>
      </c>
      <c r="AS293" s="5">
        <f t="shared" si="98"/>
        <v>11649</v>
      </c>
      <c r="AT293" s="193">
        <f t="shared" ca="1" si="99"/>
        <v>4015</v>
      </c>
      <c r="AU293" s="28">
        <f t="shared" ca="1" si="89"/>
        <v>1.4773046562785006E-2</v>
      </c>
    </row>
    <row r="294" spans="1:47" x14ac:dyDescent="0.2">
      <c r="A294" s="87" t="e" vm="271">
        <v>#VALUE!</v>
      </c>
      <c r="B294" s="87" t="str" cm="1">
        <f t="array" aca="1" ref="B294" ca="1">_FV(A294,"Ticker symbol",TRUE)</f>
        <v>MAP</v>
      </c>
      <c r="C294" s="233" cm="1">
        <f t="array" aca="1" ref="C294" ca="1">_FV(A294,"Change (%)",TRUE)</f>
        <v>9.8140000000000011E-4</v>
      </c>
      <c r="D294" s="87" cm="1">
        <f t="array" aca="1" ref="D294" ca="1">_FV(A294,"Price")</f>
        <v>4.08</v>
      </c>
      <c r="E294" s="65">
        <f t="shared" ca="1" si="94"/>
        <v>-0.33137254901960778</v>
      </c>
      <c r="F294" s="65"/>
      <c r="G294" s="65"/>
      <c r="H294" s="65"/>
      <c r="I294" s="87">
        <f>2.728-H294</f>
        <v>2.7280000000000002</v>
      </c>
      <c r="J294" s="87" cm="1">
        <f t="array" aca="1" ref="J294" ca="1">_FV(A294,"High")</f>
        <v>4.09</v>
      </c>
      <c r="K294" s="87" cm="1">
        <f t="array" aca="1" ref="K294" ca="1">_FV(A294,"Low")</f>
        <v>4.04</v>
      </c>
      <c r="L294" s="87" cm="1">
        <f t="array" aca="1" ref="L294" ca="1">_FV(A294,"52 week high",TRUE)</f>
        <v>4.3319999999999999</v>
      </c>
      <c r="M294" s="230">
        <f t="shared" ref="M294:M300" ca="1" si="102">+L294*0.9</f>
        <v>3.8988</v>
      </c>
      <c r="N294" s="231">
        <f t="shared" ref="N294:N300" ca="1" si="103">+L294*0.95</f>
        <v>4.1153999999999993</v>
      </c>
      <c r="O294" s="223" cm="1">
        <f t="array" aca="1" ref="O294" ca="1">_FV(A294,"52 week low",TRUE)</f>
        <v>3.1019999999999999</v>
      </c>
      <c r="P294" s="223">
        <f t="shared" si="43"/>
        <v>40</v>
      </c>
      <c r="Q294" s="232">
        <f t="shared" ref="Q294:Q300" ca="1" si="104">GESTEP(D294,M294)</f>
        <v>1</v>
      </c>
      <c r="R294" s="232">
        <f t="shared" ref="R294:R300" ca="1" si="105">GESTEP(D294,N294)</f>
        <v>0</v>
      </c>
      <c r="S294" s="87" t="s">
        <v>75</v>
      </c>
      <c r="T294" s="87" t="s">
        <v>78</v>
      </c>
      <c r="U294" s="87" t="s">
        <v>26</v>
      </c>
      <c r="V294" s="57">
        <v>45660</v>
      </c>
      <c r="W294" s="57">
        <v>45660</v>
      </c>
      <c r="X294" s="87" t="s">
        <v>11</v>
      </c>
      <c r="Y294" s="87">
        <v>2.484</v>
      </c>
      <c r="Z294" s="87">
        <f>2.472-AB294</f>
        <v>2.472</v>
      </c>
      <c r="AA294" s="87">
        <v>2.472</v>
      </c>
      <c r="AB294" s="87">
        <f>+'dividendos 26'!E108</f>
        <v>0</v>
      </c>
      <c r="AC294" s="87">
        <f>2.728-AB294</f>
        <v>2.7280000000000002</v>
      </c>
      <c r="AD294" s="87">
        <f>+AB294+AC294</f>
        <v>2.7280000000000002</v>
      </c>
      <c r="AE294" s="65">
        <f t="shared" ca="1" si="100"/>
        <v>-0.33137254901960778</v>
      </c>
      <c r="AF294" s="87">
        <v>4.1399999999999997</v>
      </c>
      <c r="AG294" s="87">
        <f ca="1">IF(Z294="-",+AF294/D294-1,AF294/D294-1)</f>
        <v>1.4705882352941124E-2</v>
      </c>
      <c r="AH294" s="87" t="e">
        <f>2.348-Tabla2[[#This Row],[Div.]]</f>
        <v>#VALUE!</v>
      </c>
      <c r="AI294" s="90" t="e">
        <f t="shared" ca="1" si="101"/>
        <v>#VALUE!</v>
      </c>
      <c r="AJ294" s="66">
        <f t="shared" si="33"/>
        <v>0.36245954692556626</v>
      </c>
      <c r="AK294" s="90">
        <f t="shared" si="34"/>
        <v>0.36245954692556626</v>
      </c>
      <c r="AL294" s="150">
        <v>3.3679999999999999</v>
      </c>
      <c r="AM294" s="219">
        <f t="shared" si="63"/>
        <v>0.36245954692556626</v>
      </c>
      <c r="AN294" s="28">
        <f t="shared" ca="1" si="36"/>
        <v>0.21140142517814731</v>
      </c>
      <c r="AO294">
        <v>3668</v>
      </c>
      <c r="AP294" s="5">
        <f t="shared" ca="1" si="95"/>
        <v>4.08</v>
      </c>
      <c r="AQ294" s="5">
        <f t="shared" ca="1" si="96"/>
        <v>14965.44</v>
      </c>
      <c r="AR294" s="75">
        <f t="shared" si="97"/>
        <v>3.3679999999999999</v>
      </c>
      <c r="AS294" s="5">
        <f t="shared" si="98"/>
        <v>12353.823999999999</v>
      </c>
      <c r="AT294" s="193">
        <f t="shared" ca="1" si="99"/>
        <v>2611.6160000000018</v>
      </c>
      <c r="AU294" s="28">
        <f t="shared" ca="1" si="89"/>
        <v>9.6093461449848934E-3</v>
      </c>
    </row>
    <row r="295" spans="1:47" x14ac:dyDescent="0.2">
      <c r="A295" s="87" t="e" vm="278">
        <v>#VALUE!</v>
      </c>
      <c r="B295" s="87" t="str" cm="1">
        <f t="array" aca="1" ref="B295" ca="1">_FV(A295,"Ticker symbol",TRUE)</f>
        <v>ARLO</v>
      </c>
      <c r="C295" s="233" cm="1">
        <f t="array" aca="1" ref="C295" ca="1">_FV(A295,"Change (%)",TRUE)</f>
        <v>-2.6712E-2</v>
      </c>
      <c r="D295" s="87" cm="1">
        <f t="array" aca="1" ref="D295" ca="1">_FV(A295,"Price")</f>
        <v>14.21</v>
      </c>
      <c r="E295" s="65">
        <f t="shared" ca="1" si="94"/>
        <v>0.13511611541168178</v>
      </c>
      <c r="F295" s="65"/>
      <c r="G295" s="65"/>
      <c r="H295" s="65"/>
      <c r="I295" s="87">
        <v>16.13</v>
      </c>
      <c r="J295" s="87" cm="1">
        <f t="array" aca="1" ref="J295" ca="1">_FV(A295,"High")</f>
        <v>14.835000000000001</v>
      </c>
      <c r="K295" s="87" cm="1">
        <f t="array" aca="1" ref="K295" ca="1">_FV(A295,"Low")</f>
        <v>14.14</v>
      </c>
      <c r="L295" s="87" cm="1">
        <f t="array" aca="1" ref="L295" ca="1">_FV(A295,"52 week high",TRUE)</f>
        <v>19.940000000000001</v>
      </c>
      <c r="M295" s="230">
        <f t="shared" ca="1" si="102"/>
        <v>17.946000000000002</v>
      </c>
      <c r="N295" s="231">
        <f t="shared" ca="1" si="103"/>
        <v>18.943000000000001</v>
      </c>
      <c r="O295" s="223" cm="1">
        <f t="array" aca="1" ref="O295" ca="1">_FV(A295,"52 week low",TRUE)</f>
        <v>9.4</v>
      </c>
      <c r="P295" s="223">
        <f t="shared" si="43"/>
        <v>41</v>
      </c>
      <c r="Q295" s="232">
        <f t="shared" ca="1" si="104"/>
        <v>0</v>
      </c>
      <c r="R295" s="232">
        <f t="shared" ca="1" si="105"/>
        <v>0</v>
      </c>
      <c r="S295" s="87" t="s">
        <v>76</v>
      </c>
      <c r="T295" s="87" t="s">
        <v>78</v>
      </c>
      <c r="U295" s="87" t="s">
        <v>26</v>
      </c>
      <c r="V295" s="57">
        <v>45630</v>
      </c>
      <c r="W295" s="57">
        <v>45630</v>
      </c>
      <c r="X295" s="87" t="s">
        <v>11</v>
      </c>
      <c r="Y295" s="87">
        <v>12.81</v>
      </c>
      <c r="Z295" s="87">
        <v>12.81</v>
      </c>
      <c r="AA295" s="87">
        <v>12.81</v>
      </c>
      <c r="AB295" s="87"/>
      <c r="AC295" s="87">
        <v>16.13</v>
      </c>
      <c r="AD295" s="87" t="e">
        <f>+Tabla2[[#This Row],[Objetivo div2]]+Tabla2[[#This Row],[Div.]]</f>
        <v>#VALUE!</v>
      </c>
      <c r="AE295" s="65">
        <f t="shared" ca="1" si="100"/>
        <v>0.13511611541168178</v>
      </c>
      <c r="AF295" s="87">
        <v>19</v>
      </c>
      <c r="AG295" s="87">
        <f ca="1">IF(Z295="-",+AF295/D295-1,AF295/D295-1)</f>
        <v>0.33708655876143556</v>
      </c>
      <c r="AH295" s="87">
        <v>11.15</v>
      </c>
      <c r="AI295" s="90">
        <f t="shared" ca="1" si="101"/>
        <v>-0.21534130893736803</v>
      </c>
      <c r="AJ295" s="66">
        <f t="shared" si="33"/>
        <v>0.32708821233411389</v>
      </c>
      <c r="AK295" s="90">
        <f t="shared" si="34"/>
        <v>0.32708821233411389</v>
      </c>
      <c r="AL295" s="150">
        <v>17</v>
      </c>
      <c r="AM295" s="219">
        <f t="shared" si="63"/>
        <v>0.32708821233411389</v>
      </c>
      <c r="AN295" s="28">
        <f t="shared" ca="1" si="36"/>
        <v>-0.16411764705882348</v>
      </c>
      <c r="AO295">
        <v>552</v>
      </c>
      <c r="AP295" s="5">
        <f t="shared" ca="1" si="95"/>
        <v>14.21</v>
      </c>
      <c r="AQ295" s="5">
        <f t="shared" ca="1" si="96"/>
        <v>7843.92</v>
      </c>
      <c r="AR295" s="75">
        <f t="shared" si="97"/>
        <v>17</v>
      </c>
      <c r="AS295" s="5">
        <f t="shared" si="98"/>
        <v>9384</v>
      </c>
      <c r="AT295" s="193">
        <f t="shared" ca="1" si="99"/>
        <v>-1540.08</v>
      </c>
      <c r="AU295" s="28">
        <f t="shared" ca="1" si="89"/>
        <v>-5.6666683811740799E-3</v>
      </c>
    </row>
    <row r="296" spans="1:47" x14ac:dyDescent="0.2">
      <c r="A296" s="87" t="e" vm="279">
        <v>#VALUE!</v>
      </c>
      <c r="B296" s="87" t="str" cm="1">
        <f t="array" aca="1" ref="B296" ca="1">_FV(A296,"Ticker symbol",TRUE)</f>
        <v>ROK</v>
      </c>
      <c r="C296" s="233" cm="1">
        <f t="array" aca="1" ref="C296" ca="1">_FV(A296,"Change (%)",TRUE)</f>
        <v>1.4308000000000001E-2</v>
      </c>
      <c r="D296" s="87" cm="1">
        <f t="array" aca="1" ref="D296" ca="1">_FV(A296,"Price")</f>
        <v>406.92</v>
      </c>
      <c r="E296" s="65">
        <f t="shared" ca="1" si="94"/>
        <v>-0.22544971984665296</v>
      </c>
      <c r="F296" s="65"/>
      <c r="G296" s="65"/>
      <c r="H296" s="65"/>
      <c r="I296" s="87">
        <v>315.18</v>
      </c>
      <c r="J296" s="87" cm="1">
        <f t="array" aca="1" ref="J296" ca="1">_FV(A296,"High")</f>
        <v>409.4</v>
      </c>
      <c r="K296" s="87" cm="1">
        <f t="array" aca="1" ref="K296" ca="1">_FV(A296,"Low")</f>
        <v>402.33</v>
      </c>
      <c r="L296" s="87" cm="1">
        <f t="array" aca="1" ref="L296" ca="1">_FV(A296,"52 week high",TRUE)</f>
        <v>438.72</v>
      </c>
      <c r="M296" s="230">
        <f t="shared" ca="1" si="102"/>
        <v>394.84800000000001</v>
      </c>
      <c r="N296" s="231">
        <f t="shared" ca="1" si="103"/>
        <v>416.78399999999999</v>
      </c>
      <c r="O296" s="223" cm="1">
        <f t="array" aca="1" ref="O296" ca="1">_FV(A296,"52 week low",TRUE)</f>
        <v>240.13</v>
      </c>
      <c r="P296" s="223">
        <f t="shared" si="43"/>
        <v>42</v>
      </c>
      <c r="Q296" s="232">
        <f t="shared" ca="1" si="104"/>
        <v>1</v>
      </c>
      <c r="R296" s="232">
        <f t="shared" ca="1" si="105"/>
        <v>0</v>
      </c>
      <c r="S296" s="87" t="s">
        <v>75</v>
      </c>
      <c r="T296" s="87" t="s">
        <v>78</v>
      </c>
      <c r="U296" s="87" t="s">
        <v>26</v>
      </c>
      <c r="V296" s="57">
        <v>45742</v>
      </c>
      <c r="W296" s="57">
        <v>45740</v>
      </c>
      <c r="X296" s="87"/>
      <c r="Y296" s="87">
        <v>273.01</v>
      </c>
      <c r="Z296" s="87">
        <v>271.72000000000003</v>
      </c>
      <c r="AA296" s="87">
        <v>271.72000000000003</v>
      </c>
      <c r="AB296" s="87"/>
      <c r="AC296" s="87">
        <v>315.18</v>
      </c>
      <c r="AD296" s="87">
        <v>315.18</v>
      </c>
      <c r="AE296" s="65">
        <f t="shared" ca="1" si="100"/>
        <v>-0.22544971984665296</v>
      </c>
      <c r="AF296" s="87">
        <v>278.97000000000003</v>
      </c>
      <c r="AG296" s="87">
        <f>IF(Z296="-",+AF296/D296-1,AF296/AC296-1)</f>
        <v>-0.11488673139158567</v>
      </c>
      <c r="AH296" s="87">
        <v>251.94</v>
      </c>
      <c r="AI296" s="90">
        <f t="shared" ca="1" si="101"/>
        <v>-0.38086110291949282</v>
      </c>
      <c r="AJ296" s="66">
        <f t="shared" si="33"/>
        <v>0.19203591932872044</v>
      </c>
      <c r="AK296" s="90">
        <f t="shared" si="34"/>
        <v>0.19203591932872044</v>
      </c>
      <c r="AL296" s="150">
        <v>323.89999999999998</v>
      </c>
      <c r="AM296" s="219">
        <f t="shared" si="63"/>
        <v>0.19203591932872044</v>
      </c>
      <c r="AN296" s="28">
        <f t="shared" ca="1" si="36"/>
        <v>0.25631367706082142</v>
      </c>
      <c r="AO296">
        <v>31</v>
      </c>
      <c r="AP296" s="5">
        <f t="shared" ca="1" si="95"/>
        <v>406.92</v>
      </c>
      <c r="AQ296" s="5">
        <f t="shared" ca="1" si="96"/>
        <v>12614.52</v>
      </c>
      <c r="AR296" s="75">
        <f t="shared" si="97"/>
        <v>323.89999999999998</v>
      </c>
      <c r="AS296" s="5">
        <f t="shared" si="98"/>
        <v>10040.9</v>
      </c>
      <c r="AT296" s="193">
        <f t="shared" ca="1" si="99"/>
        <v>2573.6200000000008</v>
      </c>
      <c r="AU296" s="28">
        <f t="shared" ca="1" si="89"/>
        <v>9.4695412440634515E-3</v>
      </c>
    </row>
    <row r="297" spans="1:47" x14ac:dyDescent="0.2">
      <c r="A297" s="87" t="e" vm="280">
        <v>#VALUE!</v>
      </c>
      <c r="B297" s="87" t="str" cm="1">
        <f t="array" aca="1" ref="B297" ca="1">_FV(A297,"Ticker symbol",TRUE)</f>
        <v>TSLA</v>
      </c>
      <c r="C297" s="233" cm="1">
        <f t="array" aca="1" ref="C297" ca="1">_FV(A297,"Change (%)",TRUE)</f>
        <v>5.9930000000000009E-3</v>
      </c>
      <c r="D297" s="87" cm="1">
        <f t="array" aca="1" ref="D297" ca="1">_FV(A297,"Price")</f>
        <v>378.55500000000001</v>
      </c>
      <c r="E297" s="65">
        <f t="shared" ref="E297:E302" ca="1" si="106">AE297</f>
        <v>4.9992735533806121E-2</v>
      </c>
      <c r="F297" s="65"/>
      <c r="G297" s="65"/>
      <c r="H297" s="65"/>
      <c r="I297" s="87">
        <v>397.48</v>
      </c>
      <c r="J297" s="87" cm="1">
        <f t="array" aca="1" ref="J297" ca="1">_FV(A297,"High")</f>
        <v>380.78</v>
      </c>
      <c r="K297" s="87" cm="1">
        <f t="array" aca="1" ref="K297" ca="1">_FV(A297,"Low")</f>
        <v>364.02</v>
      </c>
      <c r="L297" s="87" cm="1">
        <f t="array" aca="1" ref="L297" ca="1">_FV(A297,"52 week high",TRUE)</f>
        <v>498.83</v>
      </c>
      <c r="M297" s="230">
        <f t="shared" ca="1" si="102"/>
        <v>448.947</v>
      </c>
      <c r="N297" s="231">
        <f t="shared" ca="1" si="103"/>
        <v>473.88849999999996</v>
      </c>
      <c r="O297" s="223" cm="1">
        <f t="array" aca="1" ref="O297" ca="1">_FV(A297,"52 week low",TRUE)</f>
        <v>270.77999999999997</v>
      </c>
      <c r="P297" s="223">
        <f t="shared" si="43"/>
        <v>43</v>
      </c>
      <c r="Q297" s="232">
        <f t="shared" ca="1" si="104"/>
        <v>0</v>
      </c>
      <c r="R297" s="232">
        <f t="shared" ca="1" si="105"/>
        <v>0</v>
      </c>
      <c r="S297" s="87" t="s">
        <v>75</v>
      </c>
      <c r="T297" s="87" t="s">
        <v>78</v>
      </c>
      <c r="U297" s="87" t="s">
        <v>26</v>
      </c>
      <c r="V297" s="57">
        <v>45777</v>
      </c>
      <c r="W297" s="57">
        <v>45777</v>
      </c>
      <c r="X297" s="87"/>
      <c r="Y297" s="87">
        <v>295.06</v>
      </c>
      <c r="Z297" s="87">
        <v>275.38</v>
      </c>
      <c r="AA297" s="87">
        <v>275.38</v>
      </c>
      <c r="AB297" s="87"/>
      <c r="AC297" s="87">
        <v>397.48</v>
      </c>
      <c r="AD297" s="87" t="e">
        <f>+Tabla2[[#This Row],[Objetivo div2]]+Tabla2[[#This Row],[Div.]]</f>
        <v>#VALUE!</v>
      </c>
      <c r="AE297" s="65">
        <f t="shared" ca="1" si="100"/>
        <v>4.9992735533806121E-2</v>
      </c>
      <c r="AF297" s="87">
        <v>301.36</v>
      </c>
      <c r="AG297" s="87">
        <f t="shared" ref="AG297:AG302" ca="1" si="107">IF(Z297="-",+AF297/D297-1,AF297/D297-1)</f>
        <v>-0.20392017012059016</v>
      </c>
      <c r="AH297" s="87">
        <v>243.98</v>
      </c>
      <c r="AI297" s="90">
        <f t="shared" ca="1" si="101"/>
        <v>-0.35549655928464829</v>
      </c>
      <c r="AJ297" s="66">
        <f t="shared" si="33"/>
        <v>0.29275909652117083</v>
      </c>
      <c r="AK297" s="90">
        <f t="shared" si="34"/>
        <v>0.29275909652117083</v>
      </c>
      <c r="AL297" s="150">
        <v>356</v>
      </c>
      <c r="AM297" s="219">
        <f t="shared" si="63"/>
        <v>0.29275909652117083</v>
      </c>
      <c r="AN297" s="28">
        <f t="shared" ca="1" si="36"/>
        <v>6.3356741573033837E-2</v>
      </c>
      <c r="AO297">
        <v>25</v>
      </c>
      <c r="AP297" s="5">
        <f t="shared" ref="AP297:AP302" ca="1" si="108">+D297</f>
        <v>378.55500000000001</v>
      </c>
      <c r="AQ297" s="5">
        <f t="shared" ref="AQ297:AQ302" ca="1" si="109">+AO297*AP297</f>
        <v>9463.875</v>
      </c>
      <c r="AR297" s="75">
        <f t="shared" ref="AR297:AR302" si="110">+AL297</f>
        <v>356</v>
      </c>
      <c r="AS297" s="5">
        <f t="shared" ref="AS297:AS302" si="111">+AO297*AR297</f>
        <v>8900</v>
      </c>
      <c r="AT297" s="193">
        <f t="shared" ref="AT297:AT302" ca="1" si="112">+AQ297-AS297</f>
        <v>563.875</v>
      </c>
      <c r="AU297" s="28">
        <f t="shared" ca="1" si="89"/>
        <v>2.0747575667722029E-3</v>
      </c>
    </row>
    <row r="298" spans="1:47" x14ac:dyDescent="0.2">
      <c r="A298" s="87" t="e" vm="281">
        <v>#VALUE!</v>
      </c>
      <c r="B298" s="87" t="str" cm="1">
        <f t="array" aca="1" ref="B298" ca="1">_FV(A298,"Ticker symbol",TRUE)</f>
        <v>NNE</v>
      </c>
      <c r="C298" s="233" cm="1">
        <f t="array" aca="1" ref="C298" ca="1">_FV(A298,"Change (%)",TRUE)</f>
        <v>5.1643000000000001E-2</v>
      </c>
      <c r="D298" s="87" cm="1">
        <f t="array" aca="1" ref="D298" ca="1">_FV(A298,"Price")</f>
        <v>25.76</v>
      </c>
      <c r="E298" s="65">
        <f t="shared" ca="1" si="106"/>
        <v>0.5485248447204969</v>
      </c>
      <c r="F298" s="65"/>
      <c r="G298" s="65"/>
      <c r="H298" s="65"/>
      <c r="I298" s="87">
        <v>39.89</v>
      </c>
      <c r="J298" s="87" cm="1">
        <f t="array" aca="1" ref="J298" ca="1">_FV(A298,"High")</f>
        <v>25.99</v>
      </c>
      <c r="K298" s="87" cm="1">
        <f t="array" aca="1" ref="K298" ca="1">_FV(A298,"Low")</f>
        <v>23.896999999999998</v>
      </c>
      <c r="L298" s="87" cm="1">
        <f t="array" aca="1" ref="L298" ca="1">_FV(A298,"52 week high",TRUE)</f>
        <v>60.87</v>
      </c>
      <c r="M298" s="230">
        <f t="shared" ca="1" si="102"/>
        <v>54.783000000000001</v>
      </c>
      <c r="N298" s="231">
        <f t="shared" ca="1" si="103"/>
        <v>57.826499999999996</v>
      </c>
      <c r="O298" s="223" cm="1">
        <f t="array" aca="1" ref="O298" ca="1">_FV(A298,"52 week low",TRUE)</f>
        <v>18.930099999999999</v>
      </c>
      <c r="P298" s="223">
        <f t="shared" si="43"/>
        <v>44</v>
      </c>
      <c r="Q298" s="232">
        <f t="shared" ca="1" si="104"/>
        <v>0</v>
      </c>
      <c r="R298" s="232">
        <f t="shared" ca="1" si="105"/>
        <v>0</v>
      </c>
      <c r="S298" s="87" t="s">
        <v>182</v>
      </c>
      <c r="T298" s="87" t="s">
        <v>78</v>
      </c>
      <c r="U298" s="87" t="s">
        <v>199</v>
      </c>
      <c r="V298" s="57" t="s">
        <v>11</v>
      </c>
      <c r="W298" s="57">
        <v>45807</v>
      </c>
      <c r="X298" s="87"/>
      <c r="Y298" s="87">
        <v>29</v>
      </c>
      <c r="Z298" s="87">
        <v>29</v>
      </c>
      <c r="AA298" s="87">
        <v>29</v>
      </c>
      <c r="AB298" s="87"/>
      <c r="AC298" s="87">
        <v>39.89</v>
      </c>
      <c r="AD298" s="87" t="e">
        <f>+Tabla2[[#This Row],[Objetivo div2]]+Tabla2[[#This Row],[Div.]]</f>
        <v>#VALUE!</v>
      </c>
      <c r="AE298" s="65">
        <f t="shared" ref="AE298:AE303" ca="1" si="113">IF(Z298="-",+AC298/Y298-1,AC298/D298-1)</f>
        <v>0.5485248447204969</v>
      </c>
      <c r="AF298" s="87">
        <v>47.5</v>
      </c>
      <c r="AG298" s="87">
        <f t="shared" ca="1" si="107"/>
        <v>0.84394409937888182</v>
      </c>
      <c r="AH298" s="87">
        <v>27</v>
      </c>
      <c r="AI298" s="90">
        <f t="shared" ref="AI298:AI303" ca="1" si="114">IF(Z298="-",AH298/Y298-1,+AH298/D298-1)</f>
        <v>4.8136645962732816E-2</v>
      </c>
      <c r="AJ298" s="66">
        <f t="shared" si="33"/>
        <v>0.28275862068965529</v>
      </c>
      <c r="AK298" s="90">
        <f t="shared" si="34"/>
        <v>0.28275862068965529</v>
      </c>
      <c r="AL298" s="150">
        <v>37.200000000000003</v>
      </c>
      <c r="AM298" s="219">
        <f t="shared" si="63"/>
        <v>0.28275862068965529</v>
      </c>
      <c r="AN298" s="28">
        <f t="shared" ca="1" si="36"/>
        <v>-0.30752688172043008</v>
      </c>
      <c r="AO298">
        <v>200</v>
      </c>
      <c r="AP298" s="5">
        <f t="shared" ca="1" si="108"/>
        <v>25.76</v>
      </c>
      <c r="AQ298" s="5">
        <f t="shared" ca="1" si="109"/>
        <v>5152</v>
      </c>
      <c r="AR298" s="75">
        <f t="shared" si="110"/>
        <v>37.200000000000003</v>
      </c>
      <c r="AS298" s="5">
        <f t="shared" si="111"/>
        <v>7440.0000000000009</v>
      </c>
      <c r="AT298" s="193">
        <f t="shared" ca="1" si="112"/>
        <v>-2288.0000000000009</v>
      </c>
      <c r="AU298" s="28">
        <f t="shared" ca="1" si="89"/>
        <v>-8.4186128357788548E-3</v>
      </c>
    </row>
    <row r="299" spans="1:47" x14ac:dyDescent="0.2">
      <c r="A299" s="87" t="e" vm="218">
        <v>#VALUE!</v>
      </c>
      <c r="B299" s="87" t="str" cm="1">
        <f t="array" aca="1" ref="B299" ca="1">_FV(A299,"Ticker symbol",TRUE)</f>
        <v>FLR</v>
      </c>
      <c r="C299" s="233" cm="1">
        <f t="array" aca="1" ref="C299" ca="1">_FV(A299,"Change (%)",TRUE)</f>
        <v>7.1739999999999998E-2</v>
      </c>
      <c r="D299" s="87" cm="1">
        <f t="array" aca="1" ref="D299" ca="1">_FV(A299,"Price")</f>
        <v>51.69</v>
      </c>
      <c r="E299" s="65">
        <f t="shared" ca="1" si="106"/>
        <v>3.1921067904817191E-2</v>
      </c>
      <c r="F299" s="65"/>
      <c r="G299" s="65"/>
      <c r="H299" s="65"/>
      <c r="I299" s="87">
        <v>53.34</v>
      </c>
      <c r="J299" s="87" cm="1">
        <f t="array" aca="1" ref="J299" ca="1">_FV(A299,"High")</f>
        <v>51.82</v>
      </c>
      <c r="K299" s="87" cm="1">
        <f t="array" aca="1" ref="K299" ca="1">_FV(A299,"Low")</f>
        <v>48.46</v>
      </c>
      <c r="L299" s="87" cm="1">
        <f t="array" aca="1" ref="L299" ca="1">_FV(A299,"52 week high",TRUE)</f>
        <v>57.5</v>
      </c>
      <c r="M299" s="230">
        <f t="shared" ca="1" si="102"/>
        <v>51.75</v>
      </c>
      <c r="N299" s="231">
        <f t="shared" ca="1" si="103"/>
        <v>54.625</v>
      </c>
      <c r="O299" s="223" cm="1">
        <f t="array" aca="1" ref="O299" ca="1">_FV(A299,"52 week low",TRUE)</f>
        <v>33.82</v>
      </c>
      <c r="P299" s="223">
        <f t="shared" si="43"/>
        <v>45</v>
      </c>
      <c r="Q299" s="232">
        <f t="shared" ca="1" si="104"/>
        <v>0</v>
      </c>
      <c r="R299" s="232">
        <f t="shared" ca="1" si="105"/>
        <v>0</v>
      </c>
      <c r="S299" s="87" t="s">
        <v>75</v>
      </c>
      <c r="T299" s="87" t="s">
        <v>78</v>
      </c>
      <c r="U299" s="87" t="s">
        <v>26</v>
      </c>
      <c r="V299" s="57">
        <v>45804</v>
      </c>
      <c r="W299" s="57">
        <v>45804</v>
      </c>
      <c r="X299" s="87"/>
      <c r="Y299" s="87">
        <v>41.76</v>
      </c>
      <c r="Z299" s="87">
        <v>41.76</v>
      </c>
      <c r="AA299" s="87">
        <v>41.76</v>
      </c>
      <c r="AB299" s="87"/>
      <c r="AC299" s="87">
        <v>53.34</v>
      </c>
      <c r="AD299" s="87" t="e">
        <f>+Tabla2[[#This Row],[Objetivo div2]]+Tabla2[[#This Row],[Div.]]</f>
        <v>#VALUE!</v>
      </c>
      <c r="AE299" s="65">
        <f t="shared" ca="1" si="113"/>
        <v>3.1921067904817191E-2</v>
      </c>
      <c r="AF299" s="87">
        <v>55.8</v>
      </c>
      <c r="AG299" s="87">
        <f t="shared" ca="1" si="107"/>
        <v>7.9512478235635564E-2</v>
      </c>
      <c r="AH299" s="87">
        <v>35.979999999999997</v>
      </c>
      <c r="AI299" s="90">
        <f t="shared" ca="1" si="114"/>
        <v>-0.30392725865738057</v>
      </c>
      <c r="AJ299" s="66">
        <f t="shared" si="33"/>
        <v>0.27278735632183926</v>
      </c>
      <c r="AK299" s="90">
        <f t="shared" si="34"/>
        <v>0.27278735632183926</v>
      </c>
      <c r="AL299" s="150">
        <v>53.151600000000002</v>
      </c>
      <c r="AM299" s="219">
        <f t="shared" si="63"/>
        <v>0.27278735632183926</v>
      </c>
      <c r="AN299" s="28">
        <f t="shared" ca="1" si="36"/>
        <v>-2.7498701826473737E-2</v>
      </c>
      <c r="AO299">
        <v>216</v>
      </c>
      <c r="AP299" s="5">
        <f t="shared" ca="1" si="108"/>
        <v>51.69</v>
      </c>
      <c r="AQ299" s="5">
        <f t="shared" ca="1" si="109"/>
        <v>11165.039999999999</v>
      </c>
      <c r="AR299" s="75">
        <f t="shared" si="110"/>
        <v>53.151600000000002</v>
      </c>
      <c r="AS299" s="5">
        <f t="shared" si="111"/>
        <v>11480.7456</v>
      </c>
      <c r="AT299" s="193">
        <f t="shared" ca="1" si="112"/>
        <v>-315.70560000000114</v>
      </c>
      <c r="AU299" s="28">
        <f t="shared" ca="1" si="89"/>
        <v>-1.161627279933249E-3</v>
      </c>
    </row>
    <row r="300" spans="1:47" x14ac:dyDescent="0.2">
      <c r="A300" s="87" t="e" vm="282">
        <v>#VALUE!</v>
      </c>
      <c r="B300" s="87" t="str" cm="1">
        <f t="array" aca="1" ref="B300" ca="1">_FV(A300,"Ticker symbol",TRUE)</f>
        <v>FLNC</v>
      </c>
      <c r="C300" s="233" cm="1">
        <f t="array" aca="1" ref="C300" ca="1">_FV(A300,"Change (%)",TRUE)</f>
        <v>-1.495E-3</v>
      </c>
      <c r="D300" s="87" cm="1">
        <f t="array" aca="1" ref="D300" ca="1">_FV(A300,"Price")</f>
        <v>13.36</v>
      </c>
      <c r="E300" s="65">
        <f t="shared" ca="1" si="106"/>
        <v>-0.51946107784431139</v>
      </c>
      <c r="F300" s="65"/>
      <c r="G300" s="65"/>
      <c r="H300" s="65"/>
      <c r="I300" s="87">
        <v>6.42</v>
      </c>
      <c r="J300" s="87" cm="1">
        <f t="array" aca="1" ref="J300" ca="1">_FV(A300,"High")</f>
        <v>13.92</v>
      </c>
      <c r="K300" s="87" cm="1">
        <f t="array" aca="1" ref="K300" ca="1">_FV(A300,"Low")</f>
        <v>12.565</v>
      </c>
      <c r="L300" s="87" cm="1">
        <f t="array" aca="1" ref="L300" ca="1">_FV(A300,"52 week high",TRUE)</f>
        <v>33.51</v>
      </c>
      <c r="M300" s="230">
        <f t="shared" ca="1" si="102"/>
        <v>30.158999999999999</v>
      </c>
      <c r="N300" s="231">
        <f t="shared" ca="1" si="103"/>
        <v>31.834499999999995</v>
      </c>
      <c r="O300" s="223" cm="1">
        <f t="array" aca="1" ref="O300" ca="1">_FV(A300,"52 week low",TRUE)</f>
        <v>3.82</v>
      </c>
      <c r="P300" s="223">
        <f t="shared" si="43"/>
        <v>46</v>
      </c>
      <c r="Q300" s="232">
        <f t="shared" ca="1" si="104"/>
        <v>0</v>
      </c>
      <c r="R300" s="232">
        <f t="shared" ca="1" si="105"/>
        <v>0</v>
      </c>
      <c r="S300" s="87" t="s">
        <v>75</v>
      </c>
      <c r="T300" s="87" t="s">
        <v>78</v>
      </c>
      <c r="U300" s="87" t="s">
        <v>26</v>
      </c>
      <c r="V300" s="57">
        <v>45824</v>
      </c>
      <c r="W300" s="57">
        <v>45824</v>
      </c>
      <c r="X300" s="87"/>
      <c r="Y300" s="87">
        <v>5.0599999999999996</v>
      </c>
      <c r="Z300" s="87">
        <v>5.05</v>
      </c>
      <c r="AA300" s="87">
        <v>5.05</v>
      </c>
      <c r="AB300" s="87"/>
      <c r="AC300" s="87">
        <v>6.42</v>
      </c>
      <c r="AD300" s="87" t="e">
        <f>+Tabla2[[#This Row],[Objetivo div2]]+Tabla2[[#This Row],[Div.]]</f>
        <v>#VALUE!</v>
      </c>
      <c r="AE300" s="65">
        <f t="shared" ca="1" si="113"/>
        <v>-0.51946107784431139</v>
      </c>
      <c r="AF300" s="87">
        <v>7.57</v>
      </c>
      <c r="AG300" s="87">
        <f t="shared" ca="1" si="107"/>
        <v>-0.43338323353293406</v>
      </c>
      <c r="AH300" s="87">
        <v>4.38</v>
      </c>
      <c r="AI300" s="90">
        <f t="shared" ca="1" si="114"/>
        <v>-0.67215568862275443</v>
      </c>
      <c r="AJ300" s="66">
        <f t="shared" si="33"/>
        <v>0.63960396039603951</v>
      </c>
      <c r="AK300" s="90">
        <f t="shared" si="34"/>
        <v>0.63960396039603951</v>
      </c>
      <c r="AL300" s="150">
        <v>8.2799999999999994</v>
      </c>
      <c r="AM300" s="219">
        <f t="shared" si="63"/>
        <v>0.63960396039603951</v>
      </c>
      <c r="AN300" s="28">
        <f t="shared" ca="1" si="36"/>
        <v>0.61352657004830924</v>
      </c>
      <c r="AO300">
        <v>1425</v>
      </c>
      <c r="AP300" s="5">
        <f t="shared" ca="1" si="108"/>
        <v>13.36</v>
      </c>
      <c r="AQ300" s="5">
        <f t="shared" ca="1" si="109"/>
        <v>19038</v>
      </c>
      <c r="AR300" s="75">
        <f t="shared" si="110"/>
        <v>8.2799999999999994</v>
      </c>
      <c r="AS300" s="5">
        <f t="shared" si="111"/>
        <v>11798.999999999998</v>
      </c>
      <c r="AT300" s="193">
        <f t="shared" ca="1" si="112"/>
        <v>7239.0000000000018</v>
      </c>
      <c r="AU300" s="28">
        <f t="shared" ca="1" si="89"/>
        <v>2.6635637376837031E-2</v>
      </c>
    </row>
    <row r="301" spans="1:47" x14ac:dyDescent="0.2">
      <c r="A301" s="87" t="e" vm="283">
        <v>#VALUE!</v>
      </c>
      <c r="B301" s="87" t="str" cm="1">
        <f t="array" aca="1" ref="B301" ca="1">_FV(A301,"Ticker symbol",TRUE)</f>
        <v>KGX</v>
      </c>
      <c r="C301" s="233" cm="1">
        <f t="array" aca="1" ref="C301" ca="1">_FV(A301,"Change (%)",TRUE)</f>
        <v>-2.9970000000000001E-3</v>
      </c>
      <c r="D301" s="87" cm="1">
        <f t="array" aca="1" ref="D301" ca="1">_FV(A301,"Price")</f>
        <v>43.25</v>
      </c>
      <c r="E301" s="65">
        <f t="shared" ca="1" si="106"/>
        <v>0.22635838150289023</v>
      </c>
      <c r="F301" s="65"/>
      <c r="G301" s="65"/>
      <c r="H301" s="65"/>
      <c r="I301" s="87">
        <f>53.74-H301</f>
        <v>53.74</v>
      </c>
      <c r="J301" s="87" cm="1">
        <f t="array" aca="1" ref="J301" ca="1">_FV(A301,"High")</f>
        <v>44.3</v>
      </c>
      <c r="K301" s="87" cm="1">
        <f t="array" aca="1" ref="K301" ca="1">_FV(A301,"Low")</f>
        <v>43.11</v>
      </c>
      <c r="L301" s="87" cm="1">
        <f t="array" aca="1" ref="L301" ca="1">_FV(A301,"52 week high",TRUE)</f>
        <v>70.45</v>
      </c>
      <c r="M301" s="230">
        <f ca="1">+L301*0.9</f>
        <v>63.405000000000001</v>
      </c>
      <c r="N301" s="231">
        <f ca="1">+L301*0.95</f>
        <v>66.927499999999995</v>
      </c>
      <c r="O301" s="223" cm="1">
        <f t="array" aca="1" ref="O301" ca="1">_FV(A301,"52 week low",TRUE)</f>
        <v>35.479999999999997</v>
      </c>
      <c r="P301" s="223">
        <f t="shared" si="43"/>
        <v>47</v>
      </c>
      <c r="Q301" s="232">
        <f ca="1">GESTEP(D301,M301)</f>
        <v>0</v>
      </c>
      <c r="R301" s="232">
        <f ca="1">GESTEP(D301,N301)</f>
        <v>0</v>
      </c>
      <c r="S301" s="87" t="s">
        <v>75</v>
      </c>
      <c r="T301" s="87" t="s">
        <v>78</v>
      </c>
      <c r="U301" s="87" t="s">
        <v>26</v>
      </c>
      <c r="V301" s="57">
        <v>45502</v>
      </c>
      <c r="W301" s="57">
        <v>45502</v>
      </c>
      <c r="X301" s="87"/>
      <c r="Y301" s="87"/>
      <c r="Z301" s="87">
        <f>42.6-AB301</f>
        <v>41.9</v>
      </c>
      <c r="AA301" s="87">
        <v>42.6</v>
      </c>
      <c r="AB301" s="87">
        <f>0.7+'dividendos 26'!E354</f>
        <v>0.7</v>
      </c>
      <c r="AC301" s="87">
        <f>53.74-AB301</f>
        <v>53.04</v>
      </c>
      <c r="AD301" s="87" t="e">
        <f>+Tabla2[[#This Row],[Objetivo div2]]+Tabla2[[#This Row],[Div.]]</f>
        <v>#VALUE!</v>
      </c>
      <c r="AE301" s="65">
        <f t="shared" ca="1" si="113"/>
        <v>0.22635838150289023</v>
      </c>
      <c r="AF301" s="87">
        <v>53.25</v>
      </c>
      <c r="AG301" s="87">
        <f t="shared" ca="1" si="107"/>
        <v>0.23121387283237005</v>
      </c>
      <c r="AH301" s="87">
        <f>37.09-AB301</f>
        <v>36.39</v>
      </c>
      <c r="AI301" s="90">
        <f t="shared" ca="1" si="114"/>
        <v>-0.15861271676300581</v>
      </c>
      <c r="AJ301" s="66">
        <f t="shared" si="33"/>
        <v>0.28878281622911706</v>
      </c>
      <c r="AK301" s="90">
        <f t="shared" si="34"/>
        <v>0.26760563380281677</v>
      </c>
      <c r="AL301" s="150">
        <v>54</v>
      </c>
      <c r="AM301" s="219">
        <f t="shared" si="63"/>
        <v>0.28878281622911706</v>
      </c>
      <c r="AN301" s="28">
        <f t="shared" ca="1" si="36"/>
        <v>-0.19907407407407407</v>
      </c>
      <c r="AO301">
        <v>220</v>
      </c>
      <c r="AP301" s="5">
        <f t="shared" ca="1" si="108"/>
        <v>43.25</v>
      </c>
      <c r="AQ301" s="5">
        <f t="shared" ca="1" si="109"/>
        <v>9515</v>
      </c>
      <c r="AR301" s="75">
        <f t="shared" si="110"/>
        <v>54</v>
      </c>
      <c r="AS301" s="5">
        <f t="shared" si="111"/>
        <v>11880</v>
      </c>
      <c r="AT301" s="193">
        <f t="shared" ca="1" si="112"/>
        <v>-2365</v>
      </c>
      <c r="AU301" s="28">
        <f t="shared" ca="1" si="89"/>
        <v>-8.701931536982949E-3</v>
      </c>
    </row>
    <row r="302" spans="1:47" x14ac:dyDescent="0.2">
      <c r="A302" s="87" t="e" vm="284">
        <v>#VALUE!</v>
      </c>
      <c r="B302" s="87" t="str" cm="1">
        <f t="array" aca="1" ref="B302" ca="1">_FV(A302,"Ticker symbol",TRUE)</f>
        <v>SANM</v>
      </c>
      <c r="C302" s="233" cm="1">
        <f t="array" aca="1" ref="C302" ca="1">_FV(A302,"Change (%)",TRUE)</f>
        <v>-2.1232000000000001E-2</v>
      </c>
      <c r="D302" s="87" cm="1">
        <f t="array" aca="1" ref="D302" ca="1">_FV(A302,"Price")</f>
        <v>188.08</v>
      </c>
      <c r="E302" s="65">
        <f t="shared" ca="1" si="106"/>
        <v>-0.51254785197788177</v>
      </c>
      <c r="F302" s="65"/>
      <c r="G302" s="65"/>
      <c r="H302" s="65"/>
      <c r="I302" s="87">
        <v>91.68</v>
      </c>
      <c r="J302" s="87" cm="1">
        <f t="array" aca="1" ref="J302" ca="1">_FV(A302,"High")</f>
        <v>197.63</v>
      </c>
      <c r="K302" s="87" cm="1">
        <f t="array" aca="1" ref="K302" ca="1">_FV(A302,"Low")</f>
        <v>183.08500000000001</v>
      </c>
      <c r="L302" s="87" cm="1">
        <f t="array" aca="1" ref="L302" ca="1">_FV(A302,"52 week high",TRUE)</f>
        <v>197.63</v>
      </c>
      <c r="M302" s="230">
        <f ca="1">+L302*0.9</f>
        <v>177.86699999999999</v>
      </c>
      <c r="N302" s="231">
        <f ca="1">+L302*0.95</f>
        <v>187.74849999999998</v>
      </c>
      <c r="O302" s="223" cm="1">
        <f t="array" aca="1" ref="O302" ca="1">_FV(A302,"52 week low",TRUE)</f>
        <v>74.900000000000006</v>
      </c>
      <c r="P302" s="223">
        <f t="shared" si="43"/>
        <v>48</v>
      </c>
      <c r="Q302" s="232">
        <f ca="1">GESTEP(D302,M302)</f>
        <v>1</v>
      </c>
      <c r="R302" s="232">
        <f ca="1">GESTEP(D302,N302)</f>
        <v>1</v>
      </c>
      <c r="S302" s="87" t="s">
        <v>166</v>
      </c>
      <c r="T302" s="87" t="s">
        <v>78</v>
      </c>
      <c r="U302" s="87" t="s">
        <v>88</v>
      </c>
      <c r="V302" s="57">
        <v>45671</v>
      </c>
      <c r="W302" s="57">
        <v>45671</v>
      </c>
      <c r="X302" s="87" t="s">
        <v>11</v>
      </c>
      <c r="Y302" s="87">
        <v>80.209999999999994</v>
      </c>
      <c r="Z302" s="87">
        <v>80.209999999999994</v>
      </c>
      <c r="AA302" s="87">
        <v>80.209999999999994</v>
      </c>
      <c r="AB302" s="87"/>
      <c r="AC302" s="87">
        <v>91.68</v>
      </c>
      <c r="AD302" s="87" t="e">
        <f>+Tabla2[[#This Row],[Objetivo div2]]+Tabla2[[#This Row],[Div.]]</f>
        <v>#VALUE!</v>
      </c>
      <c r="AE302" s="65">
        <f t="shared" ca="1" si="113"/>
        <v>-0.51254785197788177</v>
      </c>
      <c r="AF302" s="87">
        <v>97.5</v>
      </c>
      <c r="AG302" s="87">
        <f t="shared" ca="1" si="107"/>
        <v>-0.48160357294768186</v>
      </c>
      <c r="AH302" s="87">
        <v>74.48</v>
      </c>
      <c r="AI302" s="90">
        <f t="shared" ca="1" si="114"/>
        <v>-0.60399829859634191</v>
      </c>
      <c r="AJ302" s="66">
        <f t="shared" si="33"/>
        <v>0.30033661638199738</v>
      </c>
      <c r="AK302" s="90">
        <f t="shared" si="34"/>
        <v>0.30033661638199738</v>
      </c>
      <c r="AL302" s="150">
        <v>104.3</v>
      </c>
      <c r="AM302" s="219">
        <f t="shared" si="63"/>
        <v>0.30033661638199738</v>
      </c>
      <c r="AN302" s="28">
        <f t="shared" ca="1" si="36"/>
        <v>0.80325982742090152</v>
      </c>
      <c r="AO302">
        <v>100</v>
      </c>
      <c r="AP302" s="5">
        <f t="shared" ca="1" si="108"/>
        <v>188.08</v>
      </c>
      <c r="AQ302" s="5">
        <f t="shared" ca="1" si="109"/>
        <v>18808</v>
      </c>
      <c r="AR302" s="75">
        <f t="shared" si="110"/>
        <v>104.3</v>
      </c>
      <c r="AS302" s="5">
        <f t="shared" si="111"/>
        <v>10430</v>
      </c>
      <c r="AT302" s="193">
        <f t="shared" ca="1" si="112"/>
        <v>8378</v>
      </c>
      <c r="AU302" s="28">
        <f t="shared" ca="1" si="89"/>
        <v>3.0826546476466442E-2</v>
      </c>
    </row>
    <row r="303" spans="1:47" x14ac:dyDescent="0.2">
      <c r="A303" s="87" t="e" vm="111">
        <v>#VALUE!</v>
      </c>
      <c r="B303" s="87" t="str" cm="1">
        <f t="array" aca="1" ref="B303" ca="1">_FV(A303,"Ticker symbol",TRUE)</f>
        <v>MARA</v>
      </c>
      <c r="C303" s="233" cm="1">
        <f t="array" aca="1" ref="C303" ca="1">_FV(A303,"Change (%)",TRUE)</f>
        <v>-3.9518999999999999E-2</v>
      </c>
      <c r="D303" s="87" cm="1">
        <f t="array" aca="1" ref="D303" ca="1">_FV(A303,"Price")</f>
        <v>11.18</v>
      </c>
      <c r="E303" s="65">
        <f t="shared" ref="E303:E312" ca="1" si="115">AE303</f>
        <v>0.87745974955277273</v>
      </c>
      <c r="F303" s="65"/>
      <c r="G303" s="65"/>
      <c r="H303" s="65"/>
      <c r="I303" s="87">
        <v>20.99</v>
      </c>
      <c r="J303" s="87" cm="1">
        <f t="array" aca="1" ref="J303" ca="1">_FV(A303,"High")</f>
        <v>11.66</v>
      </c>
      <c r="K303" s="87" cm="1">
        <f t="array" aca="1" ref="K303" ca="1">_FV(A303,"Low")</f>
        <v>11.085000000000001</v>
      </c>
      <c r="L303" s="87" cm="1">
        <f t="array" aca="1" ref="L303" ca="1">_FV(A303,"52 week high",TRUE)</f>
        <v>23.45</v>
      </c>
      <c r="M303" s="230">
        <f t="shared" ref="M303:M309" ca="1" si="116">+L303*0.9</f>
        <v>21.105</v>
      </c>
      <c r="N303" s="231">
        <f t="shared" ref="N303:N308" ca="1" si="117">+L303*0.95</f>
        <v>22.2775</v>
      </c>
      <c r="O303" s="223" cm="1">
        <f t="array" aca="1" ref="O303" ca="1">_FV(A303,"52 week low",TRUE)</f>
        <v>6.66</v>
      </c>
      <c r="P303" s="223">
        <f t="shared" si="43"/>
        <v>49</v>
      </c>
      <c r="Q303" s="232">
        <f t="shared" ref="Q303:Q308" ca="1" si="118">GESTEP(D303,M303)</f>
        <v>0</v>
      </c>
      <c r="R303" s="232">
        <f t="shared" ref="R303:R308" ca="1" si="119">GESTEP(D303,N303)</f>
        <v>0</v>
      </c>
      <c r="S303" s="87" t="s">
        <v>75</v>
      </c>
      <c r="T303" s="87" t="s">
        <v>78</v>
      </c>
      <c r="U303" s="87" t="s">
        <v>199</v>
      </c>
      <c r="V303" s="57">
        <v>45789</v>
      </c>
      <c r="W303" s="57">
        <v>45793</v>
      </c>
      <c r="X303" s="87"/>
      <c r="Y303" s="87">
        <v>16.16</v>
      </c>
      <c r="Z303" s="87">
        <v>16.16</v>
      </c>
      <c r="AA303" s="87">
        <v>16.16</v>
      </c>
      <c r="AB303" s="87"/>
      <c r="AC303" s="87">
        <v>20.99</v>
      </c>
      <c r="AD303" s="87" t="e">
        <f>+Tabla2[[#This Row],[Objetivo div2]]+Tabla2[[#This Row],[Div.]]</f>
        <v>#VALUE!</v>
      </c>
      <c r="AE303" s="65">
        <f t="shared" ca="1" si="113"/>
        <v>0.87745974955277273</v>
      </c>
      <c r="AF303" s="87">
        <v>20.27</v>
      </c>
      <c r="AG303" s="87">
        <f t="shared" ref="AG303:AG312" ca="1" si="120">IF(Z303="-",+AF303/D303-1,AF303/D303-1)</f>
        <v>0.81305903398926649</v>
      </c>
      <c r="AH303" s="87">
        <v>13.74</v>
      </c>
      <c r="AI303" s="90">
        <f t="shared" ca="1" si="114"/>
        <v>0.22898032200357776</v>
      </c>
      <c r="AJ303" s="66">
        <f t="shared" si="33"/>
        <v>0.30569306930693085</v>
      </c>
      <c r="AK303" s="90">
        <f t="shared" si="34"/>
        <v>0.30569306930693085</v>
      </c>
      <c r="AL303" s="150">
        <v>21.1</v>
      </c>
      <c r="AM303" s="219">
        <f t="shared" si="63"/>
        <v>0.30569306930693085</v>
      </c>
      <c r="AN303" s="28">
        <f t="shared" ca="1" si="36"/>
        <v>-0.47014218009478681</v>
      </c>
      <c r="AO303">
        <v>370</v>
      </c>
      <c r="AP303" s="5">
        <f t="shared" ref="AP303:AP312" ca="1" si="121">+D303</f>
        <v>11.18</v>
      </c>
      <c r="AQ303" s="5">
        <f t="shared" ref="AQ303:AQ312" ca="1" si="122">+AO303*AP303</f>
        <v>4136.5999999999995</v>
      </c>
      <c r="AR303" s="75">
        <f t="shared" ref="AR303:AR312" si="123">+AL303</f>
        <v>21.1</v>
      </c>
      <c r="AS303" s="5">
        <f t="shared" ref="AS303:AS312" si="124">+AO303*AR303</f>
        <v>7807.0000000000009</v>
      </c>
      <c r="AT303" s="193">
        <f t="shared" ref="AT303:AT312" ca="1" si="125">+AQ303-AS303</f>
        <v>-3670.4000000000015</v>
      </c>
      <c r="AU303" s="28">
        <f t="shared" ca="1" si="89"/>
        <v>-1.350510338830538E-2</v>
      </c>
    </row>
    <row r="304" spans="1:47" x14ac:dyDescent="0.2">
      <c r="A304" s="87" t="e" vm="285">
        <v>#VALUE!</v>
      </c>
      <c r="B304" s="87" t="str" cm="1">
        <f t="array" aca="1" ref="B304" ca="1">_FV(A304,"Ticker symbol",TRUE)</f>
        <v>JOBY</v>
      </c>
      <c r="C304" s="233" cm="1">
        <f t="array" aca="1" ref="C304" ca="1">_FV(A304,"Change (%)",TRUE)</f>
        <v>6.4118000000000008E-2</v>
      </c>
      <c r="D304" s="87" cm="1">
        <f t="array" aca="1" ref="D304" ca="1">_FV(A304,"Price")</f>
        <v>9.0449999999999999</v>
      </c>
      <c r="E304" s="65">
        <f t="shared" ca="1" si="115"/>
        <v>-1.7136539524599148E-2</v>
      </c>
      <c r="F304" s="65"/>
      <c r="G304" s="65"/>
      <c r="H304" s="65"/>
      <c r="I304" s="87">
        <v>8.89</v>
      </c>
      <c r="J304" s="87" cm="1">
        <f t="array" aca="1" ref="J304" ca="1">_FV(A304,"High")</f>
        <v>9.1298999999999992</v>
      </c>
      <c r="K304" s="87" cm="1">
        <f t="array" aca="1" ref="K304" ca="1">_FV(A304,"Low")</f>
        <v>8.57</v>
      </c>
      <c r="L304" s="87" cm="1">
        <f t="array" aca="1" ref="L304" ca="1">_FV(A304,"52 week high",TRUE)</f>
        <v>20.95</v>
      </c>
      <c r="M304" s="230">
        <f t="shared" ca="1" si="116"/>
        <v>18.855</v>
      </c>
      <c r="N304" s="231">
        <f t="shared" ca="1" si="117"/>
        <v>19.9025</v>
      </c>
      <c r="O304" s="223" cm="1">
        <f t="array" aca="1" ref="O304" ca="1">_FV(A304,"52 week low",TRUE)</f>
        <v>6.14</v>
      </c>
      <c r="P304" s="223">
        <f t="shared" si="43"/>
        <v>50</v>
      </c>
      <c r="Q304" s="232">
        <f t="shared" ca="1" si="118"/>
        <v>0</v>
      </c>
      <c r="R304" s="232">
        <f t="shared" ca="1" si="119"/>
        <v>0</v>
      </c>
      <c r="S304" s="87" t="s">
        <v>75</v>
      </c>
      <c r="T304" s="87" t="s">
        <v>78</v>
      </c>
      <c r="U304" s="87" t="s">
        <v>26</v>
      </c>
      <c r="V304" s="57">
        <v>45170</v>
      </c>
      <c r="W304" s="57">
        <v>45170</v>
      </c>
      <c r="X304" s="87" t="s">
        <v>11</v>
      </c>
      <c r="Y304" s="87">
        <v>7.47</v>
      </c>
      <c r="Z304" s="87">
        <v>7.46</v>
      </c>
      <c r="AA304" s="87">
        <v>7.46</v>
      </c>
      <c r="AB304" s="87"/>
      <c r="AC304" s="87">
        <v>8.89</v>
      </c>
      <c r="AD304" s="87" t="e">
        <f>+Tabla2[[#This Row],[Objetivo div2]]+Tabla2[[#This Row],[Div.]]</f>
        <v>#VALUE!</v>
      </c>
      <c r="AE304" s="65">
        <f t="shared" ref="AE304:AE312" ca="1" si="126">IF(Z304="-",+AC304/Y304-1,AC304/D304-1)</f>
        <v>-1.7136539524599148E-2</v>
      </c>
      <c r="AF304" s="87">
        <v>8.25</v>
      </c>
      <c r="AG304" s="87">
        <f t="shared" ca="1" si="120"/>
        <v>-8.7893864013267042E-2</v>
      </c>
      <c r="AH304" s="87">
        <v>6.79</v>
      </c>
      <c r="AI304" s="90">
        <f t="shared" ref="AI304:AI312" ca="1" si="127">IF(Z304="-",AH304/Y304-1,+AH304/D304-1)</f>
        <v>-0.24930901050304033</v>
      </c>
      <c r="AJ304" s="66">
        <f t="shared" si="33"/>
        <v>1.1648793565683646</v>
      </c>
      <c r="AK304" s="90">
        <f t="shared" si="34"/>
        <v>1.1648793565683646</v>
      </c>
      <c r="AL304" s="150">
        <v>16.149999999999999</v>
      </c>
      <c r="AM304" s="219">
        <f t="shared" si="63"/>
        <v>1.1648793565683646</v>
      </c>
      <c r="AN304" s="28">
        <f t="shared" ca="1" si="36"/>
        <v>-0.43993808049535599</v>
      </c>
      <c r="AO304">
        <v>1100</v>
      </c>
      <c r="AP304" s="5">
        <f t="shared" ca="1" si="121"/>
        <v>9.0449999999999999</v>
      </c>
      <c r="AQ304" s="5">
        <f t="shared" ca="1" si="122"/>
        <v>9949.5</v>
      </c>
      <c r="AR304" s="75">
        <f t="shared" si="123"/>
        <v>16.149999999999999</v>
      </c>
      <c r="AS304" s="5">
        <f t="shared" si="124"/>
        <v>17765</v>
      </c>
      <c r="AT304" s="193">
        <f t="shared" ca="1" si="125"/>
        <v>-7815.5</v>
      </c>
      <c r="AU304" s="28">
        <f t="shared" ca="1" si="89"/>
        <v>-2.8756848172215743E-2</v>
      </c>
    </row>
    <row r="305" spans="1:47" x14ac:dyDescent="0.2">
      <c r="A305" s="87" t="e" vm="286">
        <v>#VALUE!</v>
      </c>
      <c r="B305" s="87" t="str" cm="1">
        <f t="array" aca="1" ref="B305" ca="1">_FV(A305,"Ticker symbol",TRUE)</f>
        <v>NEX</v>
      </c>
      <c r="C305" s="233" cm="1">
        <f t="array" aca="1" ref="C305" ca="1">_FV(A305,"Change (%)",TRUE)</f>
        <v>-5.091E-3</v>
      </c>
      <c r="D305" s="87" cm="1">
        <f t="array" aca="1" ref="D305" ca="1">_FV(A305,"Price")</f>
        <v>136.80000000000001</v>
      </c>
      <c r="E305" s="65" t="e">
        <f t="shared" ca="1" si="115"/>
        <v>#VALUE!</v>
      </c>
      <c r="F305" s="65"/>
      <c r="G305" s="65"/>
      <c r="H305" s="65"/>
      <c r="I305" s="87" t="e">
        <f>115.9-Tabla2[[#This Row],[Div.]]</f>
        <v>#VALUE!</v>
      </c>
      <c r="J305" s="87" cm="1">
        <f t="array" aca="1" ref="J305" ca="1">_FV(A305,"High")</f>
        <v>140.19999999999999</v>
      </c>
      <c r="K305" s="87" cm="1">
        <f t="array" aca="1" ref="K305" ca="1">_FV(A305,"Low")</f>
        <v>135.6</v>
      </c>
      <c r="L305" s="87" cm="1">
        <f t="array" aca="1" ref="L305" ca="1">_FV(A305,"52 week high",TRUE)</f>
        <v>145.30000000000001</v>
      </c>
      <c r="M305" s="230">
        <f t="shared" ca="1" si="116"/>
        <v>130.77000000000001</v>
      </c>
      <c r="N305" s="231">
        <f t="shared" ca="1" si="117"/>
        <v>138.035</v>
      </c>
      <c r="O305" s="223" cm="1">
        <f t="array" aca="1" ref="O305" ca="1">_FV(A305,"52 week low",TRUE)</f>
        <v>89.8</v>
      </c>
      <c r="P305" s="223">
        <f t="shared" si="43"/>
        <v>51</v>
      </c>
      <c r="Q305" s="232">
        <f t="shared" ca="1" si="118"/>
        <v>1</v>
      </c>
      <c r="R305" s="232">
        <f t="shared" ca="1" si="119"/>
        <v>0</v>
      </c>
      <c r="S305" s="87" t="s">
        <v>75</v>
      </c>
      <c r="T305" s="87" t="s">
        <v>78</v>
      </c>
      <c r="U305" s="87" t="s">
        <v>26</v>
      </c>
      <c r="V305" s="57">
        <v>45735</v>
      </c>
      <c r="W305" s="57">
        <v>45735</v>
      </c>
      <c r="X305" s="87"/>
      <c r="Y305" s="87">
        <v>101.7</v>
      </c>
      <c r="Z305" s="87">
        <f>+AA305-AB305</f>
        <v>96.281700000000001</v>
      </c>
      <c r="AA305" s="87">
        <v>98.881699999999995</v>
      </c>
      <c r="AB305" s="87">
        <v>2.6</v>
      </c>
      <c r="AC305" s="87" t="e">
        <f>115.9-Tabla2[[#This Row],[Div.]]</f>
        <v>#VALUE!</v>
      </c>
      <c r="AD305" s="87">
        <v>115.9</v>
      </c>
      <c r="AE305" s="65" t="e">
        <f t="shared" ca="1" si="126"/>
        <v>#VALUE!</v>
      </c>
      <c r="AF305" s="87">
        <v>136.81</v>
      </c>
      <c r="AG305" s="87">
        <f t="shared" ca="1" si="120"/>
        <v>7.3099415204502804E-5</v>
      </c>
      <c r="AH305" s="87" t="e">
        <f>91.1-Tabla2[[#This Row],[Div.]]</f>
        <v>#VALUE!</v>
      </c>
      <c r="AI305" s="90" t="e">
        <f t="shared" ca="1" si="127"/>
        <v>#VALUE!</v>
      </c>
      <c r="AJ305" s="66">
        <f t="shared" si="33"/>
        <v>0.22868624047975894</v>
      </c>
      <c r="AK305" s="90">
        <f t="shared" si="34"/>
        <v>0.19637910755984178</v>
      </c>
      <c r="AL305" s="150">
        <v>118.3</v>
      </c>
      <c r="AM305" s="219">
        <f t="shared" si="63"/>
        <v>0.22868624047975894</v>
      </c>
      <c r="AN305" s="28">
        <f t="shared" ca="1" si="36"/>
        <v>0.15638207945900273</v>
      </c>
      <c r="AO305">
        <v>120</v>
      </c>
      <c r="AP305" s="5">
        <f t="shared" ca="1" si="121"/>
        <v>136.80000000000001</v>
      </c>
      <c r="AQ305" s="5">
        <f t="shared" ca="1" si="122"/>
        <v>16416</v>
      </c>
      <c r="AR305" s="75">
        <f t="shared" si="123"/>
        <v>118.3</v>
      </c>
      <c r="AS305" s="5">
        <f t="shared" si="124"/>
        <v>14196</v>
      </c>
      <c r="AT305" s="193">
        <f t="shared" ca="1" si="125"/>
        <v>2220</v>
      </c>
      <c r="AU305" s="28">
        <f t="shared" ca="1" si="89"/>
        <v>8.1684093074427672E-3</v>
      </c>
    </row>
    <row r="306" spans="1:47" x14ac:dyDescent="0.2">
      <c r="A306" s="87" t="e" vm="4">
        <v>#VALUE!</v>
      </c>
      <c r="B306" s="87" t="str" cm="1">
        <f t="array" aca="1" ref="B306" ca="1">_FV(A306,"Ticker symbol",TRUE)</f>
        <v>ANA</v>
      </c>
      <c r="C306" s="233" cm="1">
        <f t="array" aca="1" ref="C306" ca="1">_FV(A306,"Change (%)",TRUE)</f>
        <v>2.1079000000000001E-2</v>
      </c>
      <c r="D306" s="87" cm="1">
        <f t="array" aca="1" ref="D306" ca="1">_FV(A306,"Price")</f>
        <v>242.2</v>
      </c>
      <c r="E306" s="65" t="e">
        <f t="shared" ca="1" si="115"/>
        <v>#VALUE!</v>
      </c>
      <c r="F306" s="65"/>
      <c r="G306" s="65"/>
      <c r="H306" s="65"/>
      <c r="I306" s="87" t="e">
        <f>156-Tabla2[[#This Row],[Div.]]</f>
        <v>#VALUE!</v>
      </c>
      <c r="J306" s="87" cm="1">
        <f t="array" aca="1" ref="J306" ca="1">_FV(A306,"High")</f>
        <v>249</v>
      </c>
      <c r="K306" s="87" cm="1">
        <f t="array" aca="1" ref="K306" ca="1">_FV(A306,"Low")</f>
        <v>237.8</v>
      </c>
      <c r="L306" s="87" cm="1">
        <f t="array" aca="1" ref="L306" ca="1">_FV(A306,"52 week high",TRUE)</f>
        <v>260</v>
      </c>
      <c r="M306" s="230">
        <f t="shared" ca="1" si="116"/>
        <v>234</v>
      </c>
      <c r="N306" s="231">
        <f t="shared" ca="1" si="117"/>
        <v>247</v>
      </c>
      <c r="O306" s="223" cm="1">
        <f t="array" aca="1" ref="O306" ca="1">_FV(A306,"52 week low",TRUE)</f>
        <v>122.6</v>
      </c>
      <c r="P306" s="223">
        <f t="shared" si="43"/>
        <v>52</v>
      </c>
      <c r="Q306" s="232">
        <f t="shared" ca="1" si="118"/>
        <v>1</v>
      </c>
      <c r="R306" s="232">
        <f t="shared" ca="1" si="119"/>
        <v>0</v>
      </c>
      <c r="S306" s="87" t="s">
        <v>206</v>
      </c>
      <c r="T306" s="87" t="s">
        <v>78</v>
      </c>
      <c r="U306" s="87" t="s">
        <v>26</v>
      </c>
      <c r="V306" s="57">
        <v>45796</v>
      </c>
      <c r="W306" s="57">
        <v>45796</v>
      </c>
      <c r="X306" s="87"/>
      <c r="Y306" s="87">
        <v>133.9</v>
      </c>
      <c r="Z306" s="87">
        <f>133.2-AB306</f>
        <v>127.91999999999999</v>
      </c>
      <c r="AA306" s="87">
        <v>133.19999999999999</v>
      </c>
      <c r="AB306" s="87">
        <v>5.28</v>
      </c>
      <c r="AC306" s="87" t="e">
        <f>156-Tabla2[[#This Row],[Div.]]</f>
        <v>#VALUE!</v>
      </c>
      <c r="AD306" s="87" t="e">
        <f>+Tabla2[[#This Row],[Objetivo div2]]+Tabla2[[#This Row],[Div.]]</f>
        <v>#VALUE!</v>
      </c>
      <c r="AE306" s="65" t="e">
        <f t="shared" ca="1" si="126"/>
        <v>#VALUE!</v>
      </c>
      <c r="AF306" s="87">
        <v>140.35</v>
      </c>
      <c r="AG306" s="87">
        <f t="shared" ca="1" si="120"/>
        <v>-0.42052023121387283</v>
      </c>
      <c r="AH306" s="87" t="e">
        <f>103-Tabla2[[#This Row],[Div.]]</f>
        <v>#VALUE!</v>
      </c>
      <c r="AI306" s="90" t="e">
        <f t="shared" ca="1" si="127"/>
        <v>#VALUE!</v>
      </c>
      <c r="AJ306" s="66">
        <f t="shared" si="33"/>
        <v>0.37116948092557855</v>
      </c>
      <c r="AK306" s="90">
        <f t="shared" si="34"/>
        <v>0.31681681681681706</v>
      </c>
      <c r="AL306" s="150">
        <v>175.4</v>
      </c>
      <c r="AM306" s="219">
        <f t="shared" si="63"/>
        <v>0.37116948092557855</v>
      </c>
      <c r="AN306" s="28">
        <f t="shared" ca="1" si="36"/>
        <v>0.38084378563283905</v>
      </c>
      <c r="AO306">
        <v>80</v>
      </c>
      <c r="AP306" s="5">
        <f t="shared" ca="1" si="121"/>
        <v>242.2</v>
      </c>
      <c r="AQ306" s="5">
        <f t="shared" ca="1" si="122"/>
        <v>19376</v>
      </c>
      <c r="AR306" s="75">
        <f t="shared" si="123"/>
        <v>175.4</v>
      </c>
      <c r="AS306" s="5">
        <f t="shared" si="124"/>
        <v>14032</v>
      </c>
      <c r="AT306" s="193">
        <f t="shared" ca="1" si="125"/>
        <v>5344</v>
      </c>
      <c r="AU306" s="28">
        <f t="shared" ca="1" si="89"/>
        <v>1.9663053756294662E-2</v>
      </c>
    </row>
    <row r="307" spans="1:47" x14ac:dyDescent="0.2">
      <c r="A307" s="87" t="e" vm="287">
        <v>#VALUE!</v>
      </c>
      <c r="B307" s="87" t="str" cm="1">
        <f t="array" aca="1" ref="B307" ca="1">_FV(A307,"Ticker symbol",TRUE)</f>
        <v>BE</v>
      </c>
      <c r="C307" s="233" cm="1">
        <f t="array" aca="1" ref="C307" ca="1">_FV(A307,"Change (%)",TRUE)</f>
        <v>1.6395E-2</v>
      </c>
      <c r="D307" s="87" cm="1">
        <f t="array" aca="1" ref="D307" ca="1">_FV(A307,"Price")</f>
        <v>234.96</v>
      </c>
      <c r="E307" s="65">
        <f t="shared" ca="1" si="115"/>
        <v>-0.83903643173306097</v>
      </c>
      <c r="F307" s="65"/>
      <c r="G307" s="65"/>
      <c r="H307" s="65"/>
      <c r="I307" s="87">
        <v>37.82</v>
      </c>
      <c r="J307" s="87" cm="1">
        <f t="array" aca="1" ref="J307" ca="1">_FV(A307,"High")</f>
        <v>239.05</v>
      </c>
      <c r="K307" s="87" cm="1">
        <f t="array" aca="1" ref="K307" ca="1">_FV(A307,"Low")</f>
        <v>225.51</v>
      </c>
      <c r="L307" s="87" cm="1">
        <f t="array" aca="1" ref="L307" ca="1">_FV(A307,"52 week high",TRUE)</f>
        <v>242.2029</v>
      </c>
      <c r="M307" s="230">
        <f t="shared" ca="1" si="116"/>
        <v>217.98260999999999</v>
      </c>
      <c r="N307" s="231">
        <f t="shared" ca="1" si="117"/>
        <v>230.09275499999998</v>
      </c>
      <c r="O307" s="223" cm="1">
        <f t="array" aca="1" ref="O307" ca="1">_FV(A307,"52 week low",TRUE)</f>
        <v>16.05</v>
      </c>
      <c r="P307" s="223">
        <f t="shared" si="43"/>
        <v>53</v>
      </c>
      <c r="Q307" s="232">
        <f t="shared" ca="1" si="118"/>
        <v>1</v>
      </c>
      <c r="R307" s="232">
        <f t="shared" ca="1" si="119"/>
        <v>1</v>
      </c>
      <c r="S307" s="87" t="s">
        <v>166</v>
      </c>
      <c r="T307" s="87" t="s">
        <v>78</v>
      </c>
      <c r="U307" s="87" t="s">
        <v>88</v>
      </c>
      <c r="V307" s="57">
        <v>45660</v>
      </c>
      <c r="W307" s="57">
        <v>45664</v>
      </c>
      <c r="X307" s="87" t="s">
        <v>11</v>
      </c>
      <c r="Y307" s="87">
        <v>24.9</v>
      </c>
      <c r="Z307" s="87">
        <v>24.5</v>
      </c>
      <c r="AA307" s="87">
        <v>24.5</v>
      </c>
      <c r="AB307" s="87"/>
      <c r="AC307" s="87">
        <v>37.82</v>
      </c>
      <c r="AD307" s="87" t="e">
        <f>+Tabla2[[#This Row],[Objetivo div2]]+Tabla2[[#This Row],[Div.]]</f>
        <v>#VALUE!</v>
      </c>
      <c r="AE307" s="65">
        <f t="shared" ca="1" si="126"/>
        <v>-0.83903643173306097</v>
      </c>
      <c r="AF307" s="87">
        <v>22.89</v>
      </c>
      <c r="AG307" s="87">
        <f t="shared" ca="1" si="120"/>
        <v>-0.90257916241062308</v>
      </c>
      <c r="AH307" s="87" t="s">
        <v>11</v>
      </c>
      <c r="AI307" s="90" t="e">
        <f t="shared" ca="1" si="127"/>
        <v>#VALUE!</v>
      </c>
      <c r="AJ307" s="66">
        <f t="shared" si="33"/>
        <v>0.59183673469387754</v>
      </c>
      <c r="AK307" s="90">
        <f t="shared" si="34"/>
        <v>0.59183673469387754</v>
      </c>
      <c r="AL307" s="150">
        <v>39</v>
      </c>
      <c r="AM307" s="219">
        <f t="shared" si="63"/>
        <v>0.59183673469387754</v>
      </c>
      <c r="AN307" s="28">
        <f t="shared" ca="1" si="36"/>
        <v>5.0246153846153847</v>
      </c>
      <c r="AO307">
        <v>200</v>
      </c>
      <c r="AP307" s="5">
        <f t="shared" ca="1" si="121"/>
        <v>234.96</v>
      </c>
      <c r="AQ307" s="5">
        <f t="shared" ca="1" si="122"/>
        <v>46992</v>
      </c>
      <c r="AR307" s="75">
        <f t="shared" si="123"/>
        <v>39</v>
      </c>
      <c r="AS307" s="5">
        <f t="shared" si="124"/>
        <v>7800</v>
      </c>
      <c r="AT307" s="193">
        <f t="shared" ca="1" si="125"/>
        <v>39192</v>
      </c>
      <c r="AU307" s="28">
        <f t="shared" ca="1" si="89"/>
        <v>0.14420553944923287</v>
      </c>
    </row>
    <row r="308" spans="1:47" x14ac:dyDescent="0.2">
      <c r="A308" s="87" t="e" vm="288">
        <v>#VALUE!</v>
      </c>
      <c r="B308" s="87" t="str" cm="1">
        <f t="array" aca="1" ref="B308" ca="1">_FV(A308,"Ticker symbol",TRUE)</f>
        <v>SPIE</v>
      </c>
      <c r="C308" s="233" cm="1">
        <f t="array" aca="1" ref="C308" ca="1">_FV(A308,"Change (%)",TRUE)</f>
        <v>2.4660000000000003E-3</v>
      </c>
      <c r="D308" s="87" cm="1">
        <f t="array" aca="1" ref="D308" ca="1">_FV(A308,"Price")</f>
        <v>48.78</v>
      </c>
      <c r="E308" s="65">
        <f t="shared" ca="1" si="115"/>
        <v>5.5350553505533195E-3</v>
      </c>
      <c r="F308" s="65"/>
      <c r="G308" s="65"/>
      <c r="H308" s="65"/>
      <c r="I308" s="87">
        <f>49.8-H308</f>
        <v>49.8</v>
      </c>
      <c r="J308" s="87" cm="1">
        <f t="array" aca="1" ref="J308" ca="1">_FV(A308,"High")</f>
        <v>49.86</v>
      </c>
      <c r="K308" s="87" cm="1">
        <f t="array" aca="1" ref="K308" ca="1">_FV(A308,"Low")</f>
        <v>48.78</v>
      </c>
      <c r="L308" s="87" cm="1">
        <f t="array" aca="1" ref="L308" ca="1">_FV(A308,"52 week high",TRUE)</f>
        <v>54.55</v>
      </c>
      <c r="M308" s="230">
        <f t="shared" ca="1" si="116"/>
        <v>49.094999999999999</v>
      </c>
      <c r="N308" s="231">
        <f t="shared" ca="1" si="117"/>
        <v>51.822499999999998</v>
      </c>
      <c r="O308" s="223" cm="1">
        <f t="array" aca="1" ref="O308" ca="1">_FV(A308,"52 week low",TRUE)</f>
        <v>40.659999999999997</v>
      </c>
      <c r="P308" s="223">
        <f t="shared" si="43"/>
        <v>54</v>
      </c>
      <c r="Q308" s="232">
        <f t="shared" ca="1" si="118"/>
        <v>0</v>
      </c>
      <c r="R308" s="232">
        <f t="shared" ca="1" si="119"/>
        <v>0</v>
      </c>
      <c r="S308" s="87" t="s">
        <v>75</v>
      </c>
      <c r="T308" s="87" t="s">
        <v>78</v>
      </c>
      <c r="U308" s="87" t="s">
        <v>189</v>
      </c>
      <c r="V308" s="57">
        <v>45775</v>
      </c>
      <c r="W308" s="57">
        <v>45775</v>
      </c>
      <c r="X308" s="87"/>
      <c r="Y308" s="87">
        <v>40.76</v>
      </c>
      <c r="Z308" s="87">
        <f>40.76-AB308</f>
        <v>40.01</v>
      </c>
      <c r="AA308" s="87">
        <v>40.76</v>
      </c>
      <c r="AB308" s="87">
        <v>0.75</v>
      </c>
      <c r="AC308" s="87">
        <f>49.8-AB308</f>
        <v>49.05</v>
      </c>
      <c r="AD308" s="87" t="e">
        <f>+Tabla2[[#This Row],[Objetivo div2]]+Tabla2[[#This Row],[Div.]]</f>
        <v>#VALUE!</v>
      </c>
      <c r="AE308" s="65">
        <f t="shared" ca="1" si="126"/>
        <v>5.5350553505533195E-3</v>
      </c>
      <c r="AF308" s="87">
        <v>44.34</v>
      </c>
      <c r="AG308" s="87">
        <f t="shared" ca="1" si="120"/>
        <v>-9.1020910209102079E-2</v>
      </c>
      <c r="AH308" s="87" t="e">
        <f>36.24-Tabla2[[#This Row],[Div.]]</f>
        <v>#VALUE!</v>
      </c>
      <c r="AI308" s="90" t="e">
        <f t="shared" ca="1" si="127"/>
        <v>#VALUE!</v>
      </c>
      <c r="AJ308" s="66">
        <f t="shared" si="33"/>
        <v>0.34716320919770061</v>
      </c>
      <c r="AK308" s="90">
        <f t="shared" si="34"/>
        <v>0.32237487733071646</v>
      </c>
      <c r="AL308" s="150">
        <v>53.9</v>
      </c>
      <c r="AM308" s="219">
        <f t="shared" si="63"/>
        <v>0.34716320919770061</v>
      </c>
      <c r="AN308" s="28">
        <f t="shared" ca="1" si="36"/>
        <v>-9.4990723562152102E-2</v>
      </c>
      <c r="AO308">
        <v>125</v>
      </c>
      <c r="AP308" s="5">
        <f t="shared" ca="1" si="121"/>
        <v>48.78</v>
      </c>
      <c r="AQ308" s="5">
        <f t="shared" ca="1" si="122"/>
        <v>6097.5</v>
      </c>
      <c r="AR308" s="75">
        <f t="shared" si="123"/>
        <v>53.9</v>
      </c>
      <c r="AS308" s="5">
        <f t="shared" si="124"/>
        <v>6737.5</v>
      </c>
      <c r="AT308" s="193">
        <f t="shared" ca="1" si="125"/>
        <v>-640</v>
      </c>
      <c r="AU308" s="28">
        <f t="shared" ca="1" si="89"/>
        <v>-2.3548567372807978E-3</v>
      </c>
    </row>
    <row r="309" spans="1:47" x14ac:dyDescent="0.2">
      <c r="A309" s="87" t="e" vm="289">
        <v>#VALUE!</v>
      </c>
      <c r="B309" s="87" t="str" cm="1">
        <f t="array" aca="1" ref="B309" ca="1">_FV(A309,"Ticker symbol",TRUE)</f>
        <v>LR</v>
      </c>
      <c r="C309" s="233" cm="1">
        <f t="array" aca="1" ref="C309" ca="1">_FV(A309,"Change (%)",TRUE)</f>
        <v>-1.3443E-2</v>
      </c>
      <c r="D309" s="87" cm="1">
        <f t="array" aca="1" ref="D309" ca="1">_FV(A309,"Price")</f>
        <v>150.44999999999999</v>
      </c>
      <c r="E309" s="65">
        <f t="shared" ca="1" si="115"/>
        <v>-0.18743768693918239</v>
      </c>
      <c r="F309" s="65"/>
      <c r="G309" s="65"/>
      <c r="H309" s="65"/>
      <c r="I309" s="87">
        <f>124.45-H309</f>
        <v>124.45</v>
      </c>
      <c r="J309" s="87" cm="1">
        <f t="array" aca="1" ref="J309" ca="1">_FV(A309,"High")</f>
        <v>153.65</v>
      </c>
      <c r="K309" s="87" cm="1">
        <f t="array" aca="1" ref="K309" ca="1">_FV(A309,"Low")</f>
        <v>149.4</v>
      </c>
      <c r="L309" s="87" cm="1">
        <f t="array" aca="1" ref="L309" ca="1">_FV(A309,"52 week high",TRUE)</f>
        <v>157.35</v>
      </c>
      <c r="M309" s="230">
        <f t="shared" ca="1" si="116"/>
        <v>141.61500000000001</v>
      </c>
      <c r="N309" s="231">
        <f t="shared" ref="N309:N314" ca="1" si="128">+L309*0.95</f>
        <v>149.48249999999999</v>
      </c>
      <c r="O309" s="223" cm="1">
        <f t="array" aca="1" ref="O309" ca="1">_FV(A309,"52 week low",TRUE)</f>
        <v>94.36</v>
      </c>
      <c r="P309" s="223">
        <f t="shared" si="43"/>
        <v>55</v>
      </c>
      <c r="Q309" s="232">
        <f t="shared" ref="Q309:Q317" ca="1" si="129">GESTEP(D309,M309)</f>
        <v>1</v>
      </c>
      <c r="R309" s="232">
        <f t="shared" ref="R309:R317" ca="1" si="130">GESTEP(D309,N309)</f>
        <v>1</v>
      </c>
      <c r="S309" s="87" t="s">
        <v>75</v>
      </c>
      <c r="T309" s="87" t="s">
        <v>78</v>
      </c>
      <c r="U309" s="87" t="s">
        <v>26</v>
      </c>
      <c r="V309" s="57">
        <v>45425</v>
      </c>
      <c r="W309" s="57">
        <v>45425</v>
      </c>
      <c r="X309" s="87"/>
      <c r="Y309" s="87">
        <v>103.1</v>
      </c>
      <c r="Z309" s="87">
        <f>103.1-AB309</f>
        <v>100.89999999999999</v>
      </c>
      <c r="AA309" s="87">
        <f>103.1</f>
        <v>103.1</v>
      </c>
      <c r="AB309" s="87">
        <v>2.2000000000000002</v>
      </c>
      <c r="AC309" s="87">
        <f>124.45-AB309</f>
        <v>122.25</v>
      </c>
      <c r="AD309" s="87">
        <f>+AC309+AB309</f>
        <v>124.45</v>
      </c>
      <c r="AE309" s="65">
        <f t="shared" ca="1" si="126"/>
        <v>-0.18743768693918239</v>
      </c>
      <c r="AF309" s="87">
        <v>117.11</v>
      </c>
      <c r="AG309" s="87">
        <f t="shared" ca="1" si="120"/>
        <v>-0.2216018610834164</v>
      </c>
      <c r="AH309" s="87">
        <f>92.44-AB309</f>
        <v>90.24</v>
      </c>
      <c r="AI309" s="90">
        <f t="shared" ca="1" si="127"/>
        <v>-0.40019940179461611</v>
      </c>
      <c r="AJ309" s="66">
        <f t="shared" si="33"/>
        <v>0.30079286422200213</v>
      </c>
      <c r="AK309" s="90">
        <f t="shared" si="34"/>
        <v>0.27303588748787599</v>
      </c>
      <c r="AL309" s="150">
        <v>131.25</v>
      </c>
      <c r="AM309" s="219">
        <f t="shared" si="63"/>
        <v>0.30079286422200213</v>
      </c>
      <c r="AN309" s="28">
        <f t="shared" ca="1" si="36"/>
        <v>0.14628571428571413</v>
      </c>
      <c r="AO309">
        <v>105</v>
      </c>
      <c r="AP309" s="5">
        <f t="shared" ca="1" si="121"/>
        <v>150.44999999999999</v>
      </c>
      <c r="AQ309" s="5">
        <f t="shared" ca="1" si="122"/>
        <v>15797.249999999998</v>
      </c>
      <c r="AR309" s="75">
        <f t="shared" si="123"/>
        <v>131.25</v>
      </c>
      <c r="AS309" s="5">
        <f t="shared" si="124"/>
        <v>13781.25</v>
      </c>
      <c r="AT309" s="193">
        <f t="shared" ca="1" si="125"/>
        <v>2015.9999999999982</v>
      </c>
      <c r="AU309" s="28">
        <f t="shared" ca="1" si="89"/>
        <v>7.4177987224345061E-3</v>
      </c>
    </row>
    <row r="310" spans="1:47" x14ac:dyDescent="0.2">
      <c r="A310" s="87" t="e" vm="290">
        <v>#VALUE!</v>
      </c>
      <c r="B310" s="87" t="str" cm="1">
        <f t="array" aca="1" ref="B310" ca="1">_FV(A310,"Ticker symbol",TRUE)</f>
        <v>SLR</v>
      </c>
      <c r="C310" s="233" cm="1">
        <f t="array" aca="1" ref="C310" ca="1">_FV(A310,"Change (%)",TRUE)</f>
        <v>2.5527000000000001E-2</v>
      </c>
      <c r="D310" s="87" cm="1">
        <f t="array" aca="1" ref="D310" ca="1">_FV(A310,"Price")</f>
        <v>25.31</v>
      </c>
      <c r="E310" s="65">
        <f t="shared" ca="1" si="115"/>
        <v>-0.61280126432240212</v>
      </c>
      <c r="F310" s="65"/>
      <c r="G310" s="65"/>
      <c r="H310" s="65"/>
      <c r="I310" s="87">
        <v>9.8000000000000007</v>
      </c>
      <c r="J310" s="87" cm="1">
        <f t="array" aca="1" ref="J310" ca="1">_FV(A310,"High")</f>
        <v>25.49</v>
      </c>
      <c r="K310" s="87" cm="1">
        <f t="array" aca="1" ref="K310" ca="1">_FV(A310,"Low")</f>
        <v>25.06</v>
      </c>
      <c r="L310" s="87" cm="1">
        <f t="array" aca="1" ref="L310" ca="1">_FV(A310,"52 week high",TRUE)</f>
        <v>25.85</v>
      </c>
      <c r="M310" s="230">
        <f t="shared" ref="M310:M315" ca="1" si="131">+L310*0.9</f>
        <v>23.265000000000001</v>
      </c>
      <c r="N310" s="231">
        <f t="shared" ca="1" si="128"/>
        <v>24.557500000000001</v>
      </c>
      <c r="O310" s="223" cm="1">
        <f t="array" aca="1" ref="O310" ca="1">_FV(A310,"52 week low",TRUE)</f>
        <v>6.2480000000000002</v>
      </c>
      <c r="P310" s="223">
        <f t="shared" si="43"/>
        <v>56</v>
      </c>
      <c r="Q310" s="232">
        <f t="shared" ca="1" si="129"/>
        <v>1</v>
      </c>
      <c r="R310" s="232">
        <f t="shared" ca="1" si="130"/>
        <v>1</v>
      </c>
      <c r="S310" s="87" t="s">
        <v>181</v>
      </c>
      <c r="T310" s="87" t="s">
        <v>78</v>
      </c>
      <c r="U310" s="87" t="s">
        <v>26</v>
      </c>
      <c r="V310" s="57">
        <v>45814</v>
      </c>
      <c r="W310" s="57">
        <v>45814</v>
      </c>
      <c r="X310" s="87"/>
      <c r="Y310" s="87">
        <v>8.6999999999999993</v>
      </c>
      <c r="Z310" s="87">
        <f>8.7</f>
        <v>8.6999999999999993</v>
      </c>
      <c r="AA310" s="87">
        <v>8.6999999999999993</v>
      </c>
      <c r="AB310" s="87">
        <v>0</v>
      </c>
      <c r="AC310" s="87">
        <v>9.8000000000000007</v>
      </c>
      <c r="AD310" s="87">
        <v>9.8000000000000007</v>
      </c>
      <c r="AE310" s="65">
        <f t="shared" ca="1" si="126"/>
        <v>-0.61280126432240212</v>
      </c>
      <c r="AF310" s="87">
        <v>11.88</v>
      </c>
      <c r="AG310" s="87">
        <f t="shared" ca="1" si="120"/>
        <v>-0.53062030817858541</v>
      </c>
      <c r="AH310" s="87" t="s">
        <v>11</v>
      </c>
      <c r="AI310" s="90" t="e">
        <f t="shared" ca="1" si="127"/>
        <v>#VALUE!</v>
      </c>
      <c r="AJ310" s="66">
        <f t="shared" si="33"/>
        <v>0.61609195402298877</v>
      </c>
      <c r="AK310" s="90">
        <f t="shared" si="34"/>
        <v>0.61609195402298877</v>
      </c>
      <c r="AL310" s="150">
        <v>14.06</v>
      </c>
      <c r="AM310" s="219">
        <f t="shared" si="63"/>
        <v>0.61609195402298877</v>
      </c>
      <c r="AN310" s="28">
        <f t="shared" ca="1" si="36"/>
        <v>0.80014224751066831</v>
      </c>
      <c r="AO310">
        <v>919</v>
      </c>
      <c r="AP310" s="5">
        <f t="shared" ca="1" si="121"/>
        <v>25.31</v>
      </c>
      <c r="AQ310" s="5">
        <f t="shared" ca="1" si="122"/>
        <v>23259.89</v>
      </c>
      <c r="AR310" s="75">
        <f t="shared" si="123"/>
        <v>14.06</v>
      </c>
      <c r="AS310" s="5">
        <f t="shared" si="124"/>
        <v>12921.140000000001</v>
      </c>
      <c r="AT310" s="193">
        <f t="shared" ca="1" si="125"/>
        <v>10338.749999999998</v>
      </c>
      <c r="AU310" s="28">
        <f t="shared" ca="1" si="89"/>
        <v>3.8041054832127878E-2</v>
      </c>
    </row>
    <row r="311" spans="1:47" x14ac:dyDescent="0.2">
      <c r="A311" s="87" t="e" vm="291">
        <v>#VALUE!</v>
      </c>
      <c r="B311" s="87" t="str" cm="1">
        <f t="array" aca="1" ref="B311" ca="1">_FV(A311,"Ticker symbol",TRUE)</f>
        <v>SPAI</v>
      </c>
      <c r="C311" s="233" cm="1">
        <f t="array" aca="1" ref="C311" ca="1">_FV(A311,"Change (%)",TRUE)</f>
        <v>-1.8349000000000001E-2</v>
      </c>
      <c r="D311" s="87" cm="1">
        <f t="array" aca="1" ref="D311" ca="1">_FV(A311,"Price")</f>
        <v>4.28</v>
      </c>
      <c r="E311" s="65">
        <f t="shared" ca="1" si="115"/>
        <v>0.54439252336448596</v>
      </c>
      <c r="F311" s="65"/>
      <c r="G311" s="65"/>
      <c r="H311" s="65"/>
      <c r="I311" s="87">
        <v>6.61</v>
      </c>
      <c r="J311" s="87" cm="1">
        <f t="array" aca="1" ref="J311" ca="1">_FV(A311,"High")</f>
        <v>4.5</v>
      </c>
      <c r="K311" s="87" cm="1">
        <f t="array" aca="1" ref="K311" ca="1">_FV(A311,"Low")</f>
        <v>4.2625999999999999</v>
      </c>
      <c r="L311" s="87" cm="1">
        <f t="array" aca="1" ref="L311" ca="1">_FV(A311,"52 week high",TRUE)</f>
        <v>9.1599000000000004</v>
      </c>
      <c r="M311" s="230">
        <f t="shared" ca="1" si="131"/>
        <v>8.2439100000000014</v>
      </c>
      <c r="N311" s="231">
        <f t="shared" ca="1" si="128"/>
        <v>8.701905</v>
      </c>
      <c r="O311" s="223" cm="1">
        <f t="array" aca="1" ref="O311" ca="1">_FV(A311,"52 week low",TRUE)</f>
        <v>2.39</v>
      </c>
      <c r="P311" s="223">
        <f t="shared" si="43"/>
        <v>57</v>
      </c>
      <c r="Q311" s="232">
        <f t="shared" ca="1" si="129"/>
        <v>0</v>
      </c>
      <c r="R311" s="232">
        <f t="shared" ca="1" si="130"/>
        <v>0</v>
      </c>
      <c r="S311" s="87" t="s">
        <v>166</v>
      </c>
      <c r="T311" s="87" t="s">
        <v>78</v>
      </c>
      <c r="U311" s="87" t="s">
        <v>88</v>
      </c>
      <c r="V311" s="57">
        <v>45663</v>
      </c>
      <c r="W311" s="57">
        <v>45663</v>
      </c>
      <c r="X311" s="87" t="s">
        <v>11</v>
      </c>
      <c r="Y311" s="87">
        <v>4.3600000000000003</v>
      </c>
      <c r="Z311" s="87">
        <v>4.46</v>
      </c>
      <c r="AA311" s="87">
        <v>4.46</v>
      </c>
      <c r="AB311" s="87"/>
      <c r="AC311" s="87">
        <v>6.61</v>
      </c>
      <c r="AD311" s="87">
        <f>+AC311</f>
        <v>6.61</v>
      </c>
      <c r="AE311" s="65">
        <f t="shared" ca="1" si="126"/>
        <v>0.54439252336448596</v>
      </c>
      <c r="AF311" s="87" t="s">
        <v>11</v>
      </c>
      <c r="AG311" s="87" t="e">
        <f t="shared" ca="1" si="120"/>
        <v>#VALUE!</v>
      </c>
      <c r="AH311" s="87">
        <v>3.49</v>
      </c>
      <c r="AI311" s="90">
        <f t="shared" ca="1" si="127"/>
        <v>-0.18457943925233644</v>
      </c>
      <c r="AJ311" s="66">
        <f t="shared" si="33"/>
        <v>0.547085201793722</v>
      </c>
      <c r="AK311" s="90">
        <f t="shared" si="34"/>
        <v>0.547085201793722</v>
      </c>
      <c r="AL311" s="150">
        <v>6.9</v>
      </c>
      <c r="AM311" s="219">
        <f t="shared" si="63"/>
        <v>0.547085201793722</v>
      </c>
      <c r="AN311" s="28">
        <f t="shared" ca="1" si="36"/>
        <v>-0.37971014492753619</v>
      </c>
      <c r="AO311">
        <v>530</v>
      </c>
      <c r="AP311" s="5">
        <f t="shared" ca="1" si="121"/>
        <v>4.28</v>
      </c>
      <c r="AQ311" s="5">
        <f t="shared" ca="1" si="122"/>
        <v>2268.4</v>
      </c>
      <c r="AR311" s="75">
        <f t="shared" si="123"/>
        <v>6.9</v>
      </c>
      <c r="AS311" s="5">
        <f t="shared" si="124"/>
        <v>3657</v>
      </c>
      <c r="AT311" s="193">
        <f t="shared" ca="1" si="125"/>
        <v>-1388.6</v>
      </c>
      <c r="AU311" s="28">
        <f t="shared" ca="1" si="89"/>
        <v>-5.1093032271689303E-3</v>
      </c>
    </row>
    <row r="312" spans="1:47" x14ac:dyDescent="0.2">
      <c r="A312" s="87" t="e" vm="292">
        <v>#VALUE!</v>
      </c>
      <c r="B312" s="87" t="str" cm="1">
        <f t="array" aca="1" ref="B312" ca="1">_FV(A312,"Ticker symbol",TRUE)</f>
        <v>INCY</v>
      </c>
      <c r="C312" s="233" cm="1">
        <f t="array" aca="1" ref="C312" ca="1">_FV(A312,"Change (%)",TRUE)</f>
        <v>1.1252E-2</v>
      </c>
      <c r="D312" s="87" cm="1">
        <f t="array" aca="1" ref="D312" ca="1">_FV(A312,"Price")</f>
        <v>95.715000000000003</v>
      </c>
      <c r="E312" s="65">
        <f t="shared" ca="1" si="115"/>
        <v>-0.20399101499242545</v>
      </c>
      <c r="F312" s="65"/>
      <c r="G312" s="65"/>
      <c r="H312" s="65"/>
      <c r="I312" s="87">
        <v>76.19</v>
      </c>
      <c r="J312" s="87" cm="1">
        <f t="array" aca="1" ref="J312" ca="1">_FV(A312,"High")</f>
        <v>97.66</v>
      </c>
      <c r="K312" s="87" cm="1">
        <f t="array" aca="1" ref="K312" ca="1">_FV(A312,"Low")</f>
        <v>94.5</v>
      </c>
      <c r="L312" s="87" cm="1">
        <f t="array" aca="1" ref="L312" ca="1">_FV(A312,"52 week high",TRUE)</f>
        <v>112.29</v>
      </c>
      <c r="M312" s="230">
        <f t="shared" ca="1" si="131"/>
        <v>101.06100000000001</v>
      </c>
      <c r="N312" s="231">
        <f t="shared" ca="1" si="128"/>
        <v>106.6755</v>
      </c>
      <c r="O312" s="223" cm="1">
        <f t="array" aca="1" ref="O312" ca="1">_FV(A312,"52 week low",TRUE)</f>
        <v>57.77</v>
      </c>
      <c r="P312" s="223">
        <f t="shared" si="43"/>
        <v>58</v>
      </c>
      <c r="Q312" s="232">
        <f t="shared" ca="1" si="129"/>
        <v>0</v>
      </c>
      <c r="R312" s="232">
        <f t="shared" ca="1" si="130"/>
        <v>0</v>
      </c>
      <c r="S312" s="87" t="s">
        <v>75</v>
      </c>
      <c r="T312" s="87" t="s">
        <v>78</v>
      </c>
      <c r="U312" s="87" t="s">
        <v>88</v>
      </c>
      <c r="V312" s="57">
        <v>45796</v>
      </c>
      <c r="W312" s="57">
        <v>45796</v>
      </c>
      <c r="X312" s="87"/>
      <c r="Y312" s="87">
        <v>63.36</v>
      </c>
      <c r="Z312" s="87">
        <v>63.17</v>
      </c>
      <c r="AA312" s="87">
        <v>63.17</v>
      </c>
      <c r="AB312" s="87"/>
      <c r="AC312" s="87">
        <v>76.19</v>
      </c>
      <c r="AD312" s="87" t="e">
        <f>+Tabla2[[#This Row],[Objetivo div2]]+Tabla2[[#This Row],[Div.]]</f>
        <v>#VALUE!</v>
      </c>
      <c r="AE312" s="65">
        <f t="shared" ca="1" si="126"/>
        <v>-0.20399101499242545</v>
      </c>
      <c r="AF312" s="87">
        <v>73.84</v>
      </c>
      <c r="AG312" s="87">
        <f t="shared" ca="1" si="120"/>
        <v>-0.22854307057410017</v>
      </c>
      <c r="AH312" s="87">
        <v>56.94</v>
      </c>
      <c r="AI312" s="90">
        <f t="shared" ca="1" si="127"/>
        <v>-0.40510891709763364</v>
      </c>
      <c r="AJ312" s="66">
        <f t="shared" si="33"/>
        <v>0.39148329903435175</v>
      </c>
      <c r="AK312" s="90">
        <f t="shared" si="34"/>
        <v>0.39148329903435175</v>
      </c>
      <c r="AL312" s="150">
        <v>87.9</v>
      </c>
      <c r="AM312" s="219">
        <f t="shared" si="63"/>
        <v>0.39148329903435175</v>
      </c>
      <c r="AN312" s="28">
        <f t="shared" ca="1" si="36"/>
        <v>8.8907849829351404E-2</v>
      </c>
      <c r="AO312">
        <v>160</v>
      </c>
      <c r="AP312" s="5">
        <f t="shared" ca="1" si="121"/>
        <v>95.715000000000003</v>
      </c>
      <c r="AQ312" s="5">
        <f t="shared" ca="1" si="122"/>
        <v>15314.400000000001</v>
      </c>
      <c r="AR312" s="75">
        <f t="shared" si="123"/>
        <v>87.9</v>
      </c>
      <c r="AS312" s="5">
        <f t="shared" si="124"/>
        <v>14064</v>
      </c>
      <c r="AT312" s="193">
        <f t="shared" ca="1" si="125"/>
        <v>1250.4000000000015</v>
      </c>
      <c r="AU312" s="28">
        <f t="shared" ca="1" si="89"/>
        <v>4.6008013504623638E-3</v>
      </c>
    </row>
    <row r="313" spans="1:47" x14ac:dyDescent="0.2">
      <c r="A313" s="87" t="e" vm="254">
        <v>#VALUE!</v>
      </c>
      <c r="B313" s="87" t="str" cm="1">
        <f t="array" aca="1" ref="B313" ca="1">_FV(A313,"Ticker symbol",TRUE)</f>
        <v>LYV</v>
      </c>
      <c r="C313" s="233" cm="1">
        <f t="array" aca="1" ref="C313" ca="1">_FV(A313,"Change (%)",TRUE)</f>
        <v>-1.2770000000000001E-4</v>
      </c>
      <c r="D313" s="87" cm="1">
        <f t="array" aca="1" ref="D313" ca="1">_FV(A313,"Price")</f>
        <v>156.62</v>
      </c>
      <c r="E313" s="65">
        <f ca="1">AE313</f>
        <v>-0.3906269952751884</v>
      </c>
      <c r="F313" s="65"/>
      <c r="G313" s="65"/>
      <c r="H313" s="65"/>
      <c r="I313" s="87">
        <v>95.44</v>
      </c>
      <c r="J313" s="87" cm="1">
        <f t="array" aca="1" ref="J313" ca="1">_FV(A313,"High")</f>
        <v>158</v>
      </c>
      <c r="K313" s="87" cm="1">
        <f t="array" aca="1" ref="K313" ca="1">_FV(A313,"Low")</f>
        <v>154.54</v>
      </c>
      <c r="L313" s="87" cm="1">
        <f t="array" aca="1" ref="L313" ca="1">_FV(A313,"52 week high",TRUE)</f>
        <v>175.25</v>
      </c>
      <c r="M313" s="230">
        <f t="shared" ca="1" si="131"/>
        <v>157.72499999999999</v>
      </c>
      <c r="N313" s="231">
        <f t="shared" ca="1" si="128"/>
        <v>166.48749999999998</v>
      </c>
      <c r="O313" s="223" cm="1">
        <f t="array" aca="1" ref="O313" ca="1">_FV(A313,"52 week low",TRUE)</f>
        <v>125.34</v>
      </c>
      <c r="P313" s="223">
        <f t="shared" si="43"/>
        <v>59</v>
      </c>
      <c r="Q313" s="232">
        <f t="shared" ca="1" si="129"/>
        <v>0</v>
      </c>
      <c r="R313" s="232">
        <f t="shared" ca="1" si="130"/>
        <v>0</v>
      </c>
      <c r="S313" s="87" t="s">
        <v>75</v>
      </c>
      <c r="T313" s="87" t="s">
        <v>78</v>
      </c>
      <c r="U313" s="87" t="s">
        <v>26</v>
      </c>
      <c r="V313" s="57">
        <v>45181</v>
      </c>
      <c r="W313" s="57">
        <v>45181</v>
      </c>
      <c r="X313" s="87" t="s">
        <v>11</v>
      </c>
      <c r="Y313" s="87">
        <v>82.58</v>
      </c>
      <c r="Z313" s="87">
        <v>81.66</v>
      </c>
      <c r="AA313" s="87">
        <v>81.66</v>
      </c>
      <c r="AB313" s="87"/>
      <c r="AC313" s="87">
        <v>95.44</v>
      </c>
      <c r="AD313" s="87" t="e">
        <f>+Tabla2[[#This Row],[Objetivo div2]]+Tabla2[[#This Row],[Div.]]</f>
        <v>#VALUE!</v>
      </c>
      <c r="AE313" s="65">
        <f ca="1">IF(Z313="-",+AC313/Y313-1,AC313/D313-1)</f>
        <v>-0.3906269952751884</v>
      </c>
      <c r="AF313" s="87">
        <v>177.95</v>
      </c>
      <c r="AG313" s="87">
        <f ca="1">IF(Z313="-",+AF313/D313-1,AF313/D313-1)</f>
        <v>0.13618950325628898</v>
      </c>
      <c r="AH313" s="87">
        <v>76.290000000000006</v>
      </c>
      <c r="AI313" s="90">
        <f ca="1">IF(Z313="-",AH313/Y313-1,+AH313/D313-1)</f>
        <v>-0.51289745881752014</v>
      </c>
      <c r="AJ313" s="66">
        <f t="shared" si="33"/>
        <v>1.1062943913788881</v>
      </c>
      <c r="AK313" s="90">
        <f t="shared" si="34"/>
        <v>1.1062943913788881</v>
      </c>
      <c r="AL313" s="150">
        <v>172</v>
      </c>
      <c r="AM313" s="219">
        <f t="shared" si="63"/>
        <v>1.1062943913788881</v>
      </c>
      <c r="AN313" s="28">
        <f t="shared" ca="1" si="36"/>
        <v>-8.9418604651162803E-2</v>
      </c>
      <c r="AO313">
        <v>50</v>
      </c>
      <c r="AP313" s="5">
        <f t="shared" ref="AP313:AP320" ca="1" si="132">+D313</f>
        <v>156.62</v>
      </c>
      <c r="AQ313" s="5">
        <f t="shared" ref="AQ313:AQ320" ca="1" si="133">+AO313*AP313</f>
        <v>7831</v>
      </c>
      <c r="AR313" s="75">
        <f t="shared" ref="AR313:AR320" si="134">+AL313</f>
        <v>172</v>
      </c>
      <c r="AS313" s="5">
        <f t="shared" ref="AS313:AS320" si="135">+AO313*AR313</f>
        <v>8600</v>
      </c>
      <c r="AT313" s="193">
        <f t="shared" ref="AT313:AT320" ca="1" si="136">+AQ313-AS313</f>
        <v>-769</v>
      </c>
      <c r="AU313" s="28">
        <f t="shared" ca="1" si="89"/>
        <v>-2.8295075483889586E-3</v>
      </c>
    </row>
    <row r="314" spans="1:47" x14ac:dyDescent="0.2">
      <c r="A314" s="87" t="e" vm="293">
        <v>#VALUE!</v>
      </c>
      <c r="B314" s="87" t="str" cm="1">
        <f t="array" aca="1" ref="B314" ca="1">_FV(A314,"Ticker symbol",TRUE)</f>
        <v>SITM</v>
      </c>
      <c r="C314" s="233" cm="1">
        <f t="array" aca="1" ref="C314" ca="1">_FV(A314,"Change (%)",TRUE)</f>
        <v>-3.9070000000000001E-2</v>
      </c>
      <c r="D314" s="87" cm="1">
        <f t="array" aca="1" ref="D314" ca="1">_FV(A314,"Price")</f>
        <v>547.98</v>
      </c>
      <c r="E314" s="65">
        <f ca="1">AE314</f>
        <v>-0.63688455783057774</v>
      </c>
      <c r="F314" s="65"/>
      <c r="G314" s="65"/>
      <c r="H314" s="65"/>
      <c r="I314" s="87">
        <v>198.98</v>
      </c>
      <c r="J314" s="87" cm="1">
        <f t="array" aca="1" ref="J314" ca="1">_FV(A314,"High")</f>
        <v>574.03</v>
      </c>
      <c r="K314" s="87" cm="1">
        <f t="array" aca="1" ref="K314" ca="1">_FV(A314,"Low")</f>
        <v>536.27269999999999</v>
      </c>
      <c r="L314" s="87" cm="1">
        <f t="array" aca="1" ref="L314" ca="1">_FV(A314,"52 week high",TRUE)</f>
        <v>591.13</v>
      </c>
      <c r="M314" s="230">
        <f t="shared" ca="1" si="131"/>
        <v>532.01700000000005</v>
      </c>
      <c r="N314" s="231">
        <f t="shared" ca="1" si="128"/>
        <v>561.57349999999997</v>
      </c>
      <c r="O314" s="223" cm="1">
        <f t="array" aca="1" ref="O314" ca="1">_FV(A314,"52 week low",TRUE)</f>
        <v>138.74</v>
      </c>
      <c r="P314" s="223">
        <f t="shared" si="43"/>
        <v>60</v>
      </c>
      <c r="Q314" s="232">
        <f t="shared" ca="1" si="129"/>
        <v>1</v>
      </c>
      <c r="R314" s="232">
        <f t="shared" ca="1" si="130"/>
        <v>0</v>
      </c>
      <c r="S314" s="87" t="s">
        <v>75</v>
      </c>
      <c r="T314" s="87" t="s">
        <v>78</v>
      </c>
      <c r="U314" s="87" t="s">
        <v>26</v>
      </c>
      <c r="V314" s="57">
        <v>45488</v>
      </c>
      <c r="W314" s="57">
        <v>45488</v>
      </c>
      <c r="X314" s="87" t="s">
        <v>11</v>
      </c>
      <c r="Y314" s="87">
        <v>153.76</v>
      </c>
      <c r="Z314" s="87">
        <v>153.76</v>
      </c>
      <c r="AA314" s="87">
        <v>153.76</v>
      </c>
      <c r="AB314" s="87"/>
      <c r="AC314" s="87">
        <v>198.98</v>
      </c>
      <c r="AD314" s="87" t="e">
        <f>+Tabla2[[#This Row],[Objetivo div2]]+Tabla2[[#This Row],[Div.]]</f>
        <v>#VALUE!</v>
      </c>
      <c r="AE314" s="65">
        <f ca="1">IF(Z314="-",+AC314/Y314-1,AC314/D314-1)</f>
        <v>-0.63688455783057774</v>
      </c>
      <c r="AF314" s="87">
        <v>249.29</v>
      </c>
      <c r="AG314" s="87">
        <f ca="1">IF(Z314="-",+AF314/D314-1,AF314/D314-1)</f>
        <v>-0.54507463776050225</v>
      </c>
      <c r="AH314" s="87">
        <v>131.47999999999999</v>
      </c>
      <c r="AI314" s="90">
        <f ca="1">IF(Z314="-",AH314/Y314-1,+AH314/D314-1)</f>
        <v>-0.76006423592101902</v>
      </c>
      <c r="AJ314" s="66">
        <f t="shared" si="33"/>
        <v>0.92026534859521347</v>
      </c>
      <c r="AK314" s="90">
        <f t="shared" si="34"/>
        <v>0.92026534859521347</v>
      </c>
      <c r="AL314" s="150">
        <v>295.26</v>
      </c>
      <c r="AM314" s="219">
        <f t="shared" si="63"/>
        <v>0.92026534859521347</v>
      </c>
      <c r="AN314" s="28">
        <f t="shared" ca="1" si="36"/>
        <v>0.85592359276569807</v>
      </c>
      <c r="AO314">
        <v>46</v>
      </c>
      <c r="AP314" s="5">
        <f t="shared" ca="1" si="132"/>
        <v>547.98</v>
      </c>
      <c r="AQ314" s="5">
        <f t="shared" ca="1" si="133"/>
        <v>25207.08</v>
      </c>
      <c r="AR314" s="75">
        <f t="shared" si="134"/>
        <v>295.26</v>
      </c>
      <c r="AS314" s="5">
        <f t="shared" si="135"/>
        <v>13581.96</v>
      </c>
      <c r="AT314" s="193">
        <f t="shared" ca="1" si="136"/>
        <v>11625.120000000003</v>
      </c>
      <c r="AU314" s="28">
        <f t="shared" ca="1" si="89"/>
        <v>4.277420649015274E-2</v>
      </c>
    </row>
    <row r="315" spans="1:47" x14ac:dyDescent="0.2">
      <c r="A315" s="87" t="e" vm="294">
        <v>#VALUE!</v>
      </c>
      <c r="B315" s="87" t="str" cm="1">
        <f t="array" aca="1" ref="B315" ca="1">_FV(A315,"Ticker symbol",TRUE)</f>
        <v>EVRG</v>
      </c>
      <c r="C315" s="233" cm="1">
        <f t="array" aca="1" ref="C315" ca="1">_FV(A315,"Change (%)",TRUE)</f>
        <v>4.4320000000000002E-3</v>
      </c>
      <c r="D315" s="87" cm="1">
        <f t="array" aca="1" ref="D315" ca="1">_FV(A315,"Price")</f>
        <v>81.59</v>
      </c>
      <c r="E315" s="65">
        <f ca="1">AE315</f>
        <v>-0.13420762348327009</v>
      </c>
      <c r="F315" s="65"/>
      <c r="G315" s="65"/>
      <c r="H315" s="65"/>
      <c r="I315" s="87">
        <f>71.31-H315</f>
        <v>71.31</v>
      </c>
      <c r="J315" s="87" cm="1">
        <f t="array" aca="1" ref="J315" ca="1">_FV(A315,"High")</f>
        <v>82.13</v>
      </c>
      <c r="K315" s="87" cm="1">
        <f t="array" aca="1" ref="K315" ca="1">_FV(A315,"Low")</f>
        <v>81.165000000000006</v>
      </c>
      <c r="L315" s="87" cm="1">
        <f t="array" aca="1" ref="L315" ca="1">_FV(A315,"52 week high",TRUE)</f>
        <v>85.27</v>
      </c>
      <c r="M315" s="230">
        <f t="shared" ca="1" si="131"/>
        <v>76.742999999999995</v>
      </c>
      <c r="N315" s="231">
        <f ca="1">+L315*0.95</f>
        <v>81.006499999999988</v>
      </c>
      <c r="O315" s="223" cm="1">
        <f t="array" aca="1" ref="O315" ca="1">_FV(A315,"52 week low",TRUE)</f>
        <v>63.29</v>
      </c>
      <c r="P315" s="223">
        <f t="shared" si="43"/>
        <v>61</v>
      </c>
      <c r="Q315" s="232">
        <f t="shared" ca="1" si="129"/>
        <v>1</v>
      </c>
      <c r="R315" s="232">
        <f t="shared" ca="1" si="130"/>
        <v>1</v>
      </c>
      <c r="S315" s="87" t="s">
        <v>75</v>
      </c>
      <c r="T315" s="87" t="s">
        <v>78</v>
      </c>
      <c r="U315" s="87" t="s">
        <v>88</v>
      </c>
      <c r="V315" s="57">
        <v>45607</v>
      </c>
      <c r="W315" s="57">
        <v>45607</v>
      </c>
      <c r="X315" s="87" t="s">
        <v>11</v>
      </c>
      <c r="Y315" s="87">
        <v>62.71</v>
      </c>
      <c r="Z315" s="87">
        <f>62.4-AB315</f>
        <v>61.73</v>
      </c>
      <c r="AA315" s="87">
        <v>62.4</v>
      </c>
      <c r="AB315" s="87">
        <f>0.67+'dividendos 26'!E395</f>
        <v>0.67</v>
      </c>
      <c r="AC315" s="87">
        <f>71.31-AB315</f>
        <v>70.64</v>
      </c>
      <c r="AD315" s="87" t="e">
        <f>+Tabla2[[#This Row],[Objetivo div2]]+Tabla2[[#This Row],[Div.]]</f>
        <v>#VALUE!</v>
      </c>
      <c r="AE315" s="65">
        <f ca="1">IF(Z315="-",+AC315/Y315-1,AC315/D315-1)</f>
        <v>-0.13420762348327009</v>
      </c>
      <c r="AF315" s="87">
        <v>75.599999999999994</v>
      </c>
      <c r="AG315" s="87">
        <f ca="1">IF(Z315="-",+AF315/D315-1,AF315/D315-1)</f>
        <v>-7.3415859786738702E-2</v>
      </c>
      <c r="AH315" s="87" t="e">
        <f>58.41-Tabla2[[#This Row],[Div.]]</f>
        <v>#VALUE!</v>
      </c>
      <c r="AI315" s="90" t="e">
        <f ca="1">IF(Z315="-",AH315/Y315-1,+AH315/D315-1)</f>
        <v>#VALUE!</v>
      </c>
      <c r="AJ315" s="66">
        <f t="shared" si="33"/>
        <v>0.17446946379394146</v>
      </c>
      <c r="AK315" s="90">
        <f t="shared" si="34"/>
        <v>0.16185897435897445</v>
      </c>
      <c r="AL315" s="150">
        <v>72.5</v>
      </c>
      <c r="AM315" s="219">
        <f t="shared" si="63"/>
        <v>0.17446946379394146</v>
      </c>
      <c r="AN315" s="28">
        <f t="shared" ca="1" si="36"/>
        <v>0.12537931034482774</v>
      </c>
      <c r="AO315">
        <v>160</v>
      </c>
      <c r="AP315" s="5">
        <f t="shared" ca="1" si="132"/>
        <v>81.59</v>
      </c>
      <c r="AQ315" s="5">
        <f t="shared" ca="1" si="133"/>
        <v>13054.400000000001</v>
      </c>
      <c r="AR315" s="75">
        <f t="shared" si="134"/>
        <v>72.5</v>
      </c>
      <c r="AS315" s="5">
        <f t="shared" si="135"/>
        <v>11600</v>
      </c>
      <c r="AT315" s="193">
        <f t="shared" ca="1" si="136"/>
        <v>1454.4000000000015</v>
      </c>
      <c r="AU315" s="28">
        <f t="shared" ca="1" si="89"/>
        <v>5.351411935470618E-3</v>
      </c>
    </row>
    <row r="316" spans="1:47" x14ac:dyDescent="0.2">
      <c r="A316" s="87" t="e" vm="295">
        <v>#VALUE!</v>
      </c>
      <c r="B316" s="87" t="str" cm="1">
        <f t="array" aca="1" ref="B316" ca="1">_FV(A316,"Ticker symbol",TRUE)</f>
        <v>ARQT</v>
      </c>
      <c r="C316" s="233" cm="1">
        <f t="array" aca="1" ref="C316" ca="1">_FV(A316,"Change (%)",TRUE)</f>
        <v>6.8789999999999997E-3</v>
      </c>
      <c r="D316" s="87" cm="1">
        <f t="array" aca="1" ref="D316" ca="1">_FV(A316,"Price")</f>
        <v>23.42</v>
      </c>
      <c r="E316" s="65">
        <f ca="1">AE316</f>
        <v>-0.46285226302305726</v>
      </c>
      <c r="F316" s="65" t="e">
        <f>+Tabla2[[#This Row],[Rentab. Parcial]]</f>
        <v>#VALUE!</v>
      </c>
      <c r="G316" s="65"/>
      <c r="H316" s="65"/>
      <c r="I316" s="87">
        <v>12.58</v>
      </c>
      <c r="J316" s="87" cm="1">
        <f t="array" aca="1" ref="J316" ca="1">_FV(A316,"High")</f>
        <v>24.15</v>
      </c>
      <c r="K316" s="87" cm="1">
        <f t="array" aca="1" ref="K316" ca="1">_FV(A316,"Low")</f>
        <v>23.15</v>
      </c>
      <c r="L316" s="87" cm="1">
        <f t="array" aca="1" ref="L316" ca="1">_FV(A316,"52 week high",TRUE)</f>
        <v>31.77</v>
      </c>
      <c r="M316" s="230">
        <f ca="1">+L316*0.9</f>
        <v>28.593</v>
      </c>
      <c r="N316" s="231">
        <f ca="1">+L316*0.95</f>
        <v>30.1815</v>
      </c>
      <c r="O316" s="223" cm="1">
        <f t="array" aca="1" ref="O316" ca="1">_FV(A316,"52 week low",TRUE)</f>
        <v>12.42</v>
      </c>
      <c r="P316" s="223">
        <f t="shared" si="43"/>
        <v>62</v>
      </c>
      <c r="Q316" s="232">
        <f t="shared" ca="1" si="129"/>
        <v>0</v>
      </c>
      <c r="R316" s="232">
        <f t="shared" ca="1" si="130"/>
        <v>0</v>
      </c>
      <c r="S316" s="87" t="s">
        <v>75</v>
      </c>
      <c r="T316" s="87" t="s">
        <v>78</v>
      </c>
      <c r="U316" s="87" t="s">
        <v>88</v>
      </c>
      <c r="V316" s="57">
        <v>45422</v>
      </c>
      <c r="W316" s="57">
        <v>45422</v>
      </c>
      <c r="X316" s="87"/>
      <c r="Y316" s="87">
        <v>8.36</v>
      </c>
      <c r="Z316" s="87">
        <v>8.36</v>
      </c>
      <c r="AA316" s="87">
        <v>8.36</v>
      </c>
      <c r="AB316" s="87"/>
      <c r="AC316" s="87">
        <v>12.58</v>
      </c>
      <c r="AD316" s="87" t="e">
        <f>+Tabla2[[#This Row],[Objetivo div2]]+Tabla2[[#This Row],[Div.]]</f>
        <v>#VALUE!</v>
      </c>
      <c r="AE316" s="65">
        <f ca="1">IF(Z316="-",+AC316/Y316-1,AC316/D316-1)</f>
        <v>-0.46285226302305726</v>
      </c>
      <c r="AF316" s="87">
        <v>22.75</v>
      </c>
      <c r="AG316" s="87">
        <f ca="1">IF(Z316="-",+AF316/D316-1,AF316/D316-1)</f>
        <v>-2.8608027327070906E-2</v>
      </c>
      <c r="AH316" s="87">
        <v>7.49</v>
      </c>
      <c r="AI316" s="90">
        <f ca="1">IF(Z316="-",AH316/Y316-1,+AH316/D316-1)</f>
        <v>-0.68018787361229727</v>
      </c>
      <c r="AJ316" s="66">
        <f>IF(Z316="-","-",+(AL316/Z316)-1)</f>
        <v>1.2667464114832536</v>
      </c>
      <c r="AK316" s="90">
        <f>IF(AA316="-","-",+(AL316/AA316)-1)</f>
        <v>1.2667464114832536</v>
      </c>
      <c r="AL316" s="150">
        <v>18.95</v>
      </c>
      <c r="AM316" s="219">
        <f t="shared" si="63"/>
        <v>1.2667464114832536</v>
      </c>
      <c r="AN316" s="28">
        <f t="shared" ca="1" si="36"/>
        <v>0.23588390501319267</v>
      </c>
      <c r="AO316">
        <v>300</v>
      </c>
      <c r="AP316" s="5">
        <f t="shared" ca="1" si="132"/>
        <v>23.42</v>
      </c>
      <c r="AQ316" s="5">
        <f t="shared" ca="1" si="133"/>
        <v>7026.0000000000009</v>
      </c>
      <c r="AR316" s="75">
        <f t="shared" si="134"/>
        <v>18.95</v>
      </c>
      <c r="AS316" s="5">
        <f t="shared" si="135"/>
        <v>5685</v>
      </c>
      <c r="AT316" s="193">
        <f t="shared" ca="1" si="136"/>
        <v>1341.0000000000009</v>
      </c>
      <c r="AU316" s="28">
        <f t="shared" ca="1" si="89"/>
        <v>4.9341607573336749E-3</v>
      </c>
    </row>
    <row r="317" spans="1:47" x14ac:dyDescent="0.2">
      <c r="A317" s="87" t="e" vm="296">
        <v>#VALUE!</v>
      </c>
      <c r="B317" s="87" t="str" cm="1">
        <f t="array" aca="1" ref="B317" ca="1">_FV(A317,"Ticker symbol",TRUE)</f>
        <v>WULF</v>
      </c>
      <c r="C317" s="233" cm="1">
        <f t="array" aca="1" ref="C317" ca="1">_FV(A317,"Change (%)",TRUE)</f>
        <v>7.0965E-2</v>
      </c>
      <c r="D317" s="87" cm="1">
        <f t="array" aca="1" ref="D317" ca="1">_FV(A317,"Price")</f>
        <v>21.43</v>
      </c>
      <c r="E317" s="65">
        <f ca="1">AE317</f>
        <v>-0.68035464302379844</v>
      </c>
      <c r="F317" s="65" t="e">
        <f>+Tabla2[[#This Row],[Rentab. Parcial]]</f>
        <v>#VALUE!</v>
      </c>
      <c r="G317" s="65"/>
      <c r="H317" s="65"/>
      <c r="I317" s="87">
        <v>6.85</v>
      </c>
      <c r="J317" s="87" cm="1">
        <f t="array" aca="1" ref="J317" ca="1">_FV(A317,"High")</f>
        <v>21.46</v>
      </c>
      <c r="K317" s="87" cm="1">
        <f t="array" aca="1" ref="K317" ca="1">_FV(A317,"Low")</f>
        <v>20</v>
      </c>
      <c r="L317" s="87" cm="1">
        <f t="array" aca="1" ref="L317" ca="1">_FV(A317,"52 week high",TRUE)</f>
        <v>21.6</v>
      </c>
      <c r="M317" s="230">
        <f ca="1">+L317*0.9</f>
        <v>19.440000000000001</v>
      </c>
      <c r="N317" s="231">
        <f ca="1">+L317*0.95</f>
        <v>20.52</v>
      </c>
      <c r="O317" s="223" cm="1">
        <f t="array" aca="1" ref="O317" ca="1">_FV(A317,"52 week low",TRUE)</f>
        <v>2.67</v>
      </c>
      <c r="P317" s="223">
        <f t="shared" si="43"/>
        <v>63</v>
      </c>
      <c r="Q317" s="232">
        <f t="shared" ca="1" si="129"/>
        <v>1</v>
      </c>
      <c r="R317" s="232">
        <f t="shared" ca="1" si="130"/>
        <v>1</v>
      </c>
      <c r="S317" s="87" t="s">
        <v>166</v>
      </c>
      <c r="T317" s="87" t="s">
        <v>78</v>
      </c>
      <c r="U317" s="87" t="s">
        <v>88</v>
      </c>
      <c r="V317" s="57">
        <v>45660</v>
      </c>
      <c r="W317" s="57">
        <v>45664</v>
      </c>
      <c r="X317" s="87" t="s">
        <v>11</v>
      </c>
      <c r="Y317" s="87">
        <v>6.25</v>
      </c>
      <c r="Z317" s="87">
        <v>6.25</v>
      </c>
      <c r="AA317" s="87">
        <v>6.25</v>
      </c>
      <c r="AB317" s="87"/>
      <c r="AC317" s="87">
        <v>6.85</v>
      </c>
      <c r="AD317" s="87" t="e">
        <f>+Tabla2[[#This Row],[Objetivo div2]]+Tabla2[[#This Row],[Div.]]</f>
        <v>#VALUE!</v>
      </c>
      <c r="AE317" s="65">
        <f ca="1">IF(Z317="-",+AC317/Y317-1,AC317/D317-1)</f>
        <v>-0.68035464302379844</v>
      </c>
      <c r="AF317" s="87">
        <v>12.86</v>
      </c>
      <c r="AG317" s="87">
        <f ca="1">IF(Z317="-",+AF317/D317-1,AF317/D317-1)</f>
        <v>-0.39990667288847415</v>
      </c>
      <c r="AH317" s="87">
        <v>5.07</v>
      </c>
      <c r="AI317" s="90">
        <f ca="1">IF(Z317="-",AH317/Y317-1,+AH317/D317-1)</f>
        <v>-0.76341577228184787</v>
      </c>
      <c r="AJ317" s="66">
        <f ca="1">IF(Z317="-","-",+(D317/Z317)-1)</f>
        <v>2.4287999999999998</v>
      </c>
      <c r="AK317" s="90">
        <f ca="1">IF(AA317="-","-",+(D317/AA317)-1)</f>
        <v>2.4287999999999998</v>
      </c>
      <c r="AL317" s="150">
        <v>12.36</v>
      </c>
      <c r="AM317" s="219">
        <f t="shared" si="63"/>
        <v>0.9775999999999998</v>
      </c>
      <c r="AN317" s="28">
        <f t="shared" ca="1" si="36"/>
        <v>0.7338187702265373</v>
      </c>
      <c r="AO317">
        <v>400</v>
      </c>
      <c r="AP317" s="5">
        <f t="shared" ca="1" si="132"/>
        <v>21.43</v>
      </c>
      <c r="AQ317" s="5">
        <f t="shared" ca="1" si="133"/>
        <v>8572</v>
      </c>
      <c r="AR317" s="75">
        <f t="shared" si="134"/>
        <v>12.36</v>
      </c>
      <c r="AS317" s="5">
        <f t="shared" si="135"/>
        <v>4944</v>
      </c>
      <c r="AT317" s="193">
        <f t="shared" ca="1" si="136"/>
        <v>3628</v>
      </c>
      <c r="AU317" s="28">
        <f t="shared" ca="1" si="89"/>
        <v>1.3349094129460523E-2</v>
      </c>
    </row>
    <row r="318" spans="1:47" x14ac:dyDescent="0.2">
      <c r="A318" s="87" t="e" vm="297">
        <v>#VALUE!</v>
      </c>
      <c r="B318" s="87" t="s">
        <v>244</v>
      </c>
      <c r="C318" s="233" cm="1">
        <f t="array" aca="1" ref="C318" ca="1">_FV(A318,"Change (%)",TRUE)</f>
        <v>6.0720000000000001E-4</v>
      </c>
      <c r="D318" s="87" cm="1">
        <f t="array" aca="1" ref="D318" ca="1">_FV(A318,"Price")</f>
        <v>49.44</v>
      </c>
      <c r="E318" s="65">
        <v>-2.1908252900986747E-2</v>
      </c>
      <c r="F318" s="65">
        <v>0.16500551359295224</v>
      </c>
      <c r="G318" s="65"/>
      <c r="H318" s="65"/>
      <c r="I318" s="87">
        <v>45.094920000000002</v>
      </c>
      <c r="J318" s="87">
        <v>46.125</v>
      </c>
      <c r="K318" s="87">
        <v>45.545000000000002</v>
      </c>
      <c r="L318" s="87">
        <v>46.27</v>
      </c>
      <c r="M318" s="230">
        <v>41.643000000000001</v>
      </c>
      <c r="N318" s="231">
        <v>43.956499999999998</v>
      </c>
      <c r="O318" s="223">
        <v>37.58</v>
      </c>
      <c r="P318" s="223">
        <v>248</v>
      </c>
      <c r="Q318" s="232">
        <v>1</v>
      </c>
      <c r="R318" s="232">
        <v>1</v>
      </c>
      <c r="S318" s="87" t="s">
        <v>75</v>
      </c>
      <c r="T318" s="87" t="s">
        <v>78</v>
      </c>
      <c r="U318" s="87" t="s">
        <v>26</v>
      </c>
      <c r="V318" s="57">
        <v>45685</v>
      </c>
      <c r="W318" s="57">
        <v>45685</v>
      </c>
      <c r="X318" s="87" t="s">
        <v>11</v>
      </c>
      <c r="Y318" s="87">
        <v>41.01</v>
      </c>
      <c r="Z318" s="87">
        <v>39.574919999999999</v>
      </c>
      <c r="AA318" s="87">
        <v>40.75</v>
      </c>
      <c r="AB318" s="87">
        <v>1.1750800000000001</v>
      </c>
      <c r="AC318" s="87">
        <v>45.094920000000002</v>
      </c>
      <c r="AD318" s="87">
        <v>46.27</v>
      </c>
      <c r="AE318" s="65">
        <v>-2.1908252900986747E-2</v>
      </c>
      <c r="AF318" s="87">
        <v>46.09</v>
      </c>
      <c r="AG318" s="87">
        <v>-3.2534432274144987E-4</v>
      </c>
      <c r="AH318" s="87">
        <v>37.204920000000001</v>
      </c>
      <c r="AI318" s="90">
        <v>-0.19303936666305166</v>
      </c>
      <c r="AJ318" s="66">
        <v>0.16500551359295224</v>
      </c>
      <c r="AK318" s="90">
        <v>0.13141104294478523</v>
      </c>
      <c r="AL318" s="150">
        <v>46.05</v>
      </c>
      <c r="AM318" s="219">
        <f t="shared" si="63"/>
        <v>0.16361574451698191</v>
      </c>
      <c r="AN318" s="28">
        <f t="shared" ca="1" si="36"/>
        <v>7.3615635179153038E-2</v>
      </c>
      <c r="AO318">
        <v>250</v>
      </c>
      <c r="AP318" s="5">
        <f t="shared" ca="1" si="132"/>
        <v>49.44</v>
      </c>
      <c r="AQ318" s="5">
        <f t="shared" ca="1" si="133"/>
        <v>12360</v>
      </c>
      <c r="AR318" s="75">
        <f t="shared" si="134"/>
        <v>46.05</v>
      </c>
      <c r="AS318" s="5">
        <f t="shared" si="135"/>
        <v>11512.5</v>
      </c>
      <c r="AT318" s="193">
        <f t="shared" ca="1" si="136"/>
        <v>847.5</v>
      </c>
      <c r="AU318" s="28">
        <f t="shared" ca="1" si="89"/>
        <v>3.1183454450710566E-3</v>
      </c>
    </row>
    <row r="319" spans="1:47" x14ac:dyDescent="0.2">
      <c r="A319" s="87" t="e" vm="298">
        <v>#VALUE!</v>
      </c>
      <c r="B319" s="87" t="str" cm="1">
        <f t="array" aca="1" ref="B319" ca="1">_FV(A319,"Ticker symbol",TRUE)</f>
        <v>ETNB</v>
      </c>
      <c r="C319" s="233" cm="1">
        <f t="array" aca="1" ref="C319" ca="1">_FV(A319,"Change (%)",TRUE)</f>
        <v>0</v>
      </c>
      <c r="D319" s="87" cm="1">
        <f t="array" aca="1" ref="D319" ca="1">_FV(A319,"Price")</f>
        <v>14.84</v>
      </c>
      <c r="E319" s="65">
        <f ca="1">AE319</f>
        <v>-0.33625336927223726</v>
      </c>
      <c r="F319" s="65" t="e">
        <f>+Tabla2[[#This Row],[Rentab. Parcial]]</f>
        <v>#VALUE!</v>
      </c>
      <c r="G319" s="65"/>
      <c r="H319" s="65"/>
      <c r="I319" s="87">
        <v>9.85</v>
      </c>
      <c r="J319" s="87" cm="1">
        <f t="array" aca="1" ref="J319" ca="1">_FV(A319,"High")</f>
        <v>14.87</v>
      </c>
      <c r="K319" s="87" cm="1">
        <f t="array" aca="1" ref="K319" ca="1">_FV(A319,"Low")</f>
        <v>14.82</v>
      </c>
      <c r="L319" s="87">
        <v>46.27</v>
      </c>
      <c r="M319" s="230">
        <v>41.643000000000001</v>
      </c>
      <c r="N319" s="231">
        <v>43.956499999999998</v>
      </c>
      <c r="O319" s="223">
        <v>37.58</v>
      </c>
      <c r="P319" s="223">
        <v>248</v>
      </c>
      <c r="Q319" s="232">
        <v>1</v>
      </c>
      <c r="R319" s="232">
        <v>1</v>
      </c>
      <c r="S319" s="87" t="s">
        <v>76</v>
      </c>
      <c r="T319" s="87" t="s">
        <v>78</v>
      </c>
      <c r="U319" s="87" t="s">
        <v>88</v>
      </c>
      <c r="V319" s="57">
        <v>45498</v>
      </c>
      <c r="W319" s="57">
        <v>45498</v>
      </c>
      <c r="X319" s="87" t="s">
        <v>11</v>
      </c>
      <c r="Y319" s="87">
        <v>9.84</v>
      </c>
      <c r="Z319" s="87">
        <v>9.7550000000000008</v>
      </c>
      <c r="AA319" s="87">
        <f>+Z319</f>
        <v>9.7550000000000008</v>
      </c>
      <c r="AB319" s="87"/>
      <c r="AC319" s="87">
        <v>9.85</v>
      </c>
      <c r="AD319" s="87">
        <v>11.09</v>
      </c>
      <c r="AE319" s="65">
        <f ca="1">IF(Z319="-",+AC319/Y319-1,AC319/D319-1)</f>
        <v>-0.33625336927223726</v>
      </c>
      <c r="AF319" s="87">
        <v>27.55</v>
      </c>
      <c r="AG319" s="87">
        <f ca="1">IF(Z319="-",+AF319/D319-1,AF319/D319-1)</f>
        <v>0.85646900269541781</v>
      </c>
      <c r="AH319" s="87" t="s">
        <v>11</v>
      </c>
      <c r="AI319" s="90" t="e">
        <f ca="1">IF(Z319="-",AH319/Y319-1,+AH319/D319-1)</f>
        <v>#VALUE!</v>
      </c>
      <c r="AJ319" s="66">
        <f ca="1">IF(Z319="-","-",+(D319/Z319)-1)</f>
        <v>0.52127114300358768</v>
      </c>
      <c r="AK319" s="90">
        <f ca="1">IF(AA319="-","-",+(D319/AA319)-1)</f>
        <v>0.52127114300358768</v>
      </c>
      <c r="AL319" s="150">
        <v>14.88</v>
      </c>
      <c r="AM319" s="219">
        <f t="shared" si="63"/>
        <v>0.52537160430548435</v>
      </c>
      <c r="AN319" s="28">
        <f t="shared" ref="AN319:AN325" ca="1" si="137">+D319/AL319-1</f>
        <v>-2.6881720430108613E-3</v>
      </c>
      <c r="AO319">
        <v>481</v>
      </c>
      <c r="AP319" s="5">
        <f t="shared" ca="1" si="132"/>
        <v>14.84</v>
      </c>
      <c r="AQ319" s="5">
        <f t="shared" ca="1" si="133"/>
        <v>7138.04</v>
      </c>
      <c r="AR319" s="75">
        <f t="shared" si="134"/>
        <v>14.88</v>
      </c>
      <c r="AS319" s="5">
        <f t="shared" si="135"/>
        <v>7157.2800000000007</v>
      </c>
      <c r="AT319" s="193">
        <f t="shared" ca="1" si="136"/>
        <v>-19.240000000000691</v>
      </c>
      <c r="AU319" s="28">
        <f t="shared" ref="AU319:AU334" ca="1" si="138">+AT319/$AT$342</f>
        <v>-7.0792880664506525E-5</v>
      </c>
    </row>
    <row r="320" spans="1:47" x14ac:dyDescent="0.2">
      <c r="A320" s="87" t="e" vm="107">
        <v>#VALUE!</v>
      </c>
      <c r="B320" s="87" t="str" cm="1">
        <f t="array" aca="1" ref="B320" ca="1">_FV(A320,"Ticker symbol",TRUE)</f>
        <v>LWLG</v>
      </c>
      <c r="C320" s="233" cm="1">
        <f t="array" aca="1" ref="C320" ca="1">_FV(A320,"Change (%)",TRUE)</f>
        <v>-1.6976000000000002E-2</v>
      </c>
      <c r="D320" s="87" cm="1">
        <f t="array" aca="1" ref="D320" ca="1">_FV(A320,"Price")</f>
        <v>12.45</v>
      </c>
      <c r="E320" s="65">
        <f ca="1">AE320</f>
        <v>-0.20883534136546178</v>
      </c>
      <c r="F320" s="65" t="e">
        <f>+Tabla2[[#This Row],[Rentab. Parcial]]</f>
        <v>#VALUE!</v>
      </c>
      <c r="G320" s="65"/>
      <c r="H320" s="65"/>
      <c r="I320" s="87">
        <v>9.85</v>
      </c>
      <c r="J320" s="87" cm="1">
        <f t="array" aca="1" ref="J320" ca="1">_FV(A320,"High")</f>
        <v>12.75</v>
      </c>
      <c r="K320" s="87" cm="1">
        <f t="array" aca="1" ref="K320" ca="1">_FV(A320,"Low")</f>
        <v>11.5</v>
      </c>
      <c r="L320" s="87">
        <v>46.27</v>
      </c>
      <c r="M320" s="230">
        <v>41.643000000000001</v>
      </c>
      <c r="N320" s="231">
        <v>43.956499999999998</v>
      </c>
      <c r="O320" s="223">
        <v>37.58</v>
      </c>
      <c r="P320" s="223">
        <v>248</v>
      </c>
      <c r="Q320" s="232">
        <v>1</v>
      </c>
      <c r="R320" s="232">
        <v>1</v>
      </c>
      <c r="S320" s="87" t="s">
        <v>76</v>
      </c>
      <c r="T320" s="87" t="s">
        <v>78</v>
      </c>
      <c r="U320" s="87" t="s">
        <v>88</v>
      </c>
      <c r="V320" s="57">
        <v>45498</v>
      </c>
      <c r="W320" s="57">
        <v>45498</v>
      </c>
      <c r="X320" s="87" t="s">
        <v>11</v>
      </c>
      <c r="Y320" s="87">
        <v>1.1200000000000001</v>
      </c>
      <c r="Z320" s="87">
        <v>1.1200000000000001</v>
      </c>
      <c r="AA320" s="87">
        <v>1.1200000000000001</v>
      </c>
      <c r="AB320" s="87"/>
      <c r="AC320" s="87">
        <v>9.85</v>
      </c>
      <c r="AD320" s="87">
        <v>11.09</v>
      </c>
      <c r="AE320" s="65">
        <f ca="1">IF(Z320="-",+AC320/Y320-1,AC320/D320-1)</f>
        <v>-0.20883534136546178</v>
      </c>
      <c r="AF320" s="87">
        <v>28.55</v>
      </c>
      <c r="AG320" s="87">
        <f ca="1">IF(Z320="-",+AF320/D320-1,AF320/D320-1)</f>
        <v>1.2931726907630523</v>
      </c>
      <c r="AH320" s="87" t="s">
        <v>11</v>
      </c>
      <c r="AI320" s="90" t="e">
        <f ca="1">IF(Z320="-",AH320/Y320-1,+AH320/D320-1)</f>
        <v>#VALUE!</v>
      </c>
      <c r="AJ320" s="66">
        <f ca="1">IF(Z320="-","-",+(D320/Z320)-1)</f>
        <v>10.116071428571427</v>
      </c>
      <c r="AK320" s="90">
        <f ca="1">IF(AA320="-","-",+(D320/AA320)-1)</f>
        <v>10.116071428571427</v>
      </c>
      <c r="AL320" s="150">
        <v>5.29</v>
      </c>
      <c r="AM320" s="219">
        <f t="shared" si="63"/>
        <v>3.7232142857142856</v>
      </c>
      <c r="AN320" s="28">
        <f t="shared" ca="1" si="137"/>
        <v>1.3534971644612477</v>
      </c>
      <c r="AO320">
        <v>300</v>
      </c>
      <c r="AP320" s="5">
        <f t="shared" ca="1" si="132"/>
        <v>12.45</v>
      </c>
      <c r="AQ320" s="5">
        <f t="shared" ca="1" si="133"/>
        <v>3735</v>
      </c>
      <c r="AR320" s="75">
        <f t="shared" si="134"/>
        <v>5.29</v>
      </c>
      <c r="AS320" s="5">
        <f t="shared" si="135"/>
        <v>1587</v>
      </c>
      <c r="AT320" s="193">
        <f t="shared" ca="1" si="136"/>
        <v>2148</v>
      </c>
      <c r="AU320" s="28">
        <f t="shared" ca="1" si="138"/>
        <v>7.903487924498678E-3</v>
      </c>
    </row>
    <row r="321" spans="1:49" x14ac:dyDescent="0.2">
      <c r="A321" s="87" t="e" vm="299">
        <v>#VALUE!</v>
      </c>
      <c r="B321" s="87" t="s">
        <v>247</v>
      </c>
      <c r="C321" s="233" cm="1">
        <f t="array" aca="1" ref="C321" ca="1">_FV(A321,"Change (%)",TRUE)</f>
        <v>-2.7248000000000001E-2</v>
      </c>
      <c r="D321" s="87" cm="1">
        <f t="array" aca="1" ref="D321" ca="1">_FV(A321,"Price")</f>
        <v>3.57</v>
      </c>
      <c r="E321" s="65">
        <v>-0.70576760517588921</v>
      </c>
      <c r="F321" s="65">
        <v>3.9212800000000003</v>
      </c>
      <c r="G321" s="65"/>
      <c r="H321" s="65"/>
      <c r="I321" s="87">
        <v>1.81</v>
      </c>
      <c r="J321" s="87">
        <v>6.4377000000000004</v>
      </c>
      <c r="K321" s="87">
        <v>5.55</v>
      </c>
      <c r="L321" s="87">
        <v>6.4377000000000004</v>
      </c>
      <c r="M321" s="230">
        <v>5.7939300000000005</v>
      </c>
      <c r="N321" s="231">
        <v>6.1158150000000004</v>
      </c>
      <c r="O321" s="223">
        <v>0.68</v>
      </c>
      <c r="P321" s="223">
        <v>293</v>
      </c>
      <c r="Q321" s="232">
        <v>1</v>
      </c>
      <c r="R321" s="232">
        <v>1</v>
      </c>
      <c r="S321" s="87" t="s">
        <v>76</v>
      </c>
      <c r="T321" s="87" t="s">
        <v>78</v>
      </c>
      <c r="U321" s="87" t="s">
        <v>88</v>
      </c>
      <c r="V321" s="57">
        <v>45644</v>
      </c>
      <c r="W321" s="57">
        <v>45644</v>
      </c>
      <c r="X321" s="87"/>
      <c r="Y321" s="87" t="s">
        <v>11</v>
      </c>
      <c r="Z321" s="87">
        <v>1.25</v>
      </c>
      <c r="AA321" s="87">
        <v>1.25</v>
      </c>
      <c r="AB321" s="87"/>
      <c r="AC321" s="87">
        <v>1.81</v>
      </c>
      <c r="AD321" s="87">
        <v>1.81</v>
      </c>
      <c r="AE321" s="65">
        <v>-0.70576760517588921</v>
      </c>
      <c r="AF321" s="87">
        <v>3.36</v>
      </c>
      <c r="AG321" s="87">
        <v>-0.4538006372325899</v>
      </c>
      <c r="AH321" s="87" t="s">
        <v>11</v>
      </c>
      <c r="AI321" s="90" t="e">
        <v>#VALUE!</v>
      </c>
      <c r="AJ321" s="66">
        <v>3.9212800000000003</v>
      </c>
      <c r="AK321" s="90">
        <v>3.9212800000000003</v>
      </c>
      <c r="AL321" s="150">
        <v>6.2</v>
      </c>
      <c r="AM321" s="219">
        <f t="shared" si="63"/>
        <v>3.96</v>
      </c>
      <c r="AN321" s="28">
        <f t="shared" ca="1" si="137"/>
        <v>-0.42419354838709677</v>
      </c>
      <c r="AO321">
        <v>2000</v>
      </c>
      <c r="AP321" s="5">
        <f t="shared" ref="AP321:AP326" ca="1" si="139">+D321</f>
        <v>3.57</v>
      </c>
      <c r="AQ321" s="5">
        <f t="shared" ref="AQ321:AQ326" ca="1" si="140">+AO321*AP321</f>
        <v>7140</v>
      </c>
      <c r="AR321" s="75">
        <f t="shared" ref="AR321:AR326" si="141">+AL321</f>
        <v>6.2</v>
      </c>
      <c r="AS321" s="5">
        <f t="shared" ref="AS321:AS326" si="142">+AO321*AR321</f>
        <v>12400</v>
      </c>
      <c r="AT321" s="193">
        <f t="shared" ref="AT321:AT326" ca="1" si="143">+AQ321-AS321</f>
        <v>-5260</v>
      </c>
      <c r="AU321" s="28">
        <f t="shared" ca="1" si="138"/>
        <v>-1.9353978809526558E-2</v>
      </c>
      <c r="AW321" s="75">
        <v>219522.15000000002</v>
      </c>
    </row>
    <row r="322" spans="1:49" x14ac:dyDescent="0.2">
      <c r="A322" s="87" t="e" vm="300">
        <v>#VALUE!</v>
      </c>
      <c r="B322" s="87" t="str" cm="1">
        <f t="array" aca="1" ref="B322" ca="1">_FV(A322,"Ticker symbol",TRUE)</f>
        <v>QSI</v>
      </c>
      <c r="C322" s="233" cm="1">
        <f t="array" aca="1" ref="C322" ca="1">_FV(A322,"Change (%)",TRUE)</f>
        <v>-6.0719999999999993E-3</v>
      </c>
      <c r="D322" s="87" cm="1">
        <f t="array" aca="1" ref="D322" ca="1">_FV(A322,"Price")</f>
        <v>0.90029999999999999</v>
      </c>
      <c r="E322" s="65">
        <f ca="1">AE322</f>
        <v>1.177052093746529</v>
      </c>
      <c r="F322" s="65" t="e">
        <f>+Tabla2[[#This Row],[Rentab. Parcial]]</f>
        <v>#VALUE!</v>
      </c>
      <c r="G322" s="65"/>
      <c r="H322" s="65"/>
      <c r="I322" s="87">
        <v>1.96</v>
      </c>
      <c r="J322" s="87" cm="1">
        <f t="array" aca="1" ref="J322" ca="1">_FV(A322,"High")</f>
        <v>0.94</v>
      </c>
      <c r="K322" s="87" cm="1">
        <f t="array" aca="1" ref="K322" ca="1">_FV(A322,"Low")</f>
        <v>0.87139999999999995</v>
      </c>
      <c r="L322" s="87" cm="1">
        <f t="array" aca="1" ref="L322" ca="1">_FV(A322,"52 week high",TRUE)</f>
        <v>3.1</v>
      </c>
      <c r="M322" s="230">
        <f ca="1">+L322*0.9</f>
        <v>2.79</v>
      </c>
      <c r="N322" s="231">
        <f ca="1">+L322*0.95</f>
        <v>2.9449999999999998</v>
      </c>
      <c r="O322" s="223" cm="1">
        <f t="array" aca="1" ref="O322" ca="1">_FV(A322,"52 week low",TRUE)</f>
        <v>0.69120000000000004</v>
      </c>
      <c r="P322" s="223">
        <v>293</v>
      </c>
      <c r="Q322" s="232">
        <f ca="1">GESTEP(D322,M322)</f>
        <v>0</v>
      </c>
      <c r="R322" s="232">
        <f ca="1">GESTEP(D322,N322)</f>
        <v>0</v>
      </c>
      <c r="S322" s="87" t="s">
        <v>75</v>
      </c>
      <c r="T322" s="87" t="s">
        <v>78</v>
      </c>
      <c r="U322" s="87" t="s">
        <v>88</v>
      </c>
      <c r="V322" s="57">
        <v>45936</v>
      </c>
      <c r="W322" s="57">
        <v>45936</v>
      </c>
      <c r="X322" s="87" t="s">
        <v>246</v>
      </c>
      <c r="Y322" s="87">
        <v>1.78</v>
      </c>
      <c r="Z322" s="87">
        <v>1.78</v>
      </c>
      <c r="AA322" s="87">
        <v>1.78</v>
      </c>
      <c r="AB322" s="87"/>
      <c r="AC322" s="87">
        <v>1.96</v>
      </c>
      <c r="AD322" s="87" t="e">
        <f>+Tabla2[[#This Row],[Objetivo div2]]+Tabla2[[#This Row],[Div.]]</f>
        <v>#VALUE!</v>
      </c>
      <c r="AE322" s="65">
        <f ca="1">IF(Z322="-",+AC322/Y322-1,AC322/D322-1)</f>
        <v>1.177052093746529</v>
      </c>
      <c r="AF322" s="87">
        <v>2.66</v>
      </c>
      <c r="AG322" s="87">
        <f ca="1">IF(Z322="-",+AF322/D322-1,AF322/D322-1)</f>
        <v>1.9545706986560036</v>
      </c>
      <c r="AH322" s="87">
        <v>1.43</v>
      </c>
      <c r="AI322" s="90">
        <f ca="1">IF(Z322="-",AH322/Y322-1,+AH322/D322-1)</f>
        <v>0.58835943574364102</v>
      </c>
      <c r="AJ322" s="66">
        <f ca="1">IF(Z322="-","-",+(D322/Z322)-1)</f>
        <v>-0.49421348314606739</v>
      </c>
      <c r="AK322" s="90">
        <f ca="1">IF(AA322="-","-",+(D322/AA322)-1)</f>
        <v>-0.49421348314606739</v>
      </c>
      <c r="AL322" s="150">
        <v>1.96</v>
      </c>
      <c r="AM322" s="219">
        <f t="shared" si="63"/>
        <v>0.101123595505618</v>
      </c>
      <c r="AN322" s="28">
        <f t="shared" ca="1" si="137"/>
        <v>-0.54066326530612252</v>
      </c>
      <c r="AO322">
        <v>3000</v>
      </c>
      <c r="AP322" s="5">
        <f t="shared" ca="1" si="139"/>
        <v>0.90029999999999999</v>
      </c>
      <c r="AQ322" s="5">
        <f t="shared" ca="1" si="140"/>
        <v>2700.9</v>
      </c>
      <c r="AR322" s="75">
        <f t="shared" si="141"/>
        <v>1.96</v>
      </c>
      <c r="AS322" s="5">
        <f t="shared" si="142"/>
        <v>5880</v>
      </c>
      <c r="AT322" s="193">
        <f t="shared" ca="1" si="143"/>
        <v>-3179.1</v>
      </c>
      <c r="AU322" s="28">
        <f t="shared" ca="1" si="138"/>
        <v>-1.1697382896077163E-2</v>
      </c>
    </row>
    <row r="323" spans="1:49" x14ac:dyDescent="0.2">
      <c r="A323" s="87" t="e" vm="268">
        <v>#VALUE!</v>
      </c>
      <c r="B323" s="87" t="str" cm="1">
        <f t="array" aca="1" ref="B323" ca="1">_FV(A323,"Ticker symbol",TRUE)</f>
        <v>MVST</v>
      </c>
      <c r="C323" s="233" cm="1">
        <f t="array" aca="1" ref="C323" ca="1">_FV(A323,"Change (%)",TRUE)</f>
        <v>2.6455000000000003E-2</v>
      </c>
      <c r="D323" s="87" cm="1">
        <f t="array" aca="1" ref="D323" ca="1">_FV(A323,"Price")</f>
        <v>1.94</v>
      </c>
      <c r="E323" s="65">
        <f ca="1">AE323</f>
        <v>0.91752577319587636</v>
      </c>
      <c r="F323" s="65" t="e">
        <f>+Tabla2[[#This Row],[Rentab. Parcial]]</f>
        <v>#VALUE!</v>
      </c>
      <c r="G323" s="65"/>
      <c r="H323" s="65"/>
      <c r="I323" s="87">
        <v>3.72</v>
      </c>
      <c r="J323" s="87" cm="1">
        <f t="array" aca="1" ref="J323" ca="1">_FV(A323,"High")</f>
        <v>1.97</v>
      </c>
      <c r="K323" s="87" cm="1">
        <f t="array" aca="1" ref="K323" ca="1">_FV(A323,"Low")</f>
        <v>1.88</v>
      </c>
      <c r="L323" s="87" cm="1">
        <f t="array" aca="1" ref="L323" ca="1">_FV(A323,"52 week high",TRUE)</f>
        <v>7.12</v>
      </c>
      <c r="M323" s="230">
        <f ca="1">+L323*0.9</f>
        <v>6.4080000000000004</v>
      </c>
      <c r="N323" s="231">
        <f ca="1">+L323*0.95</f>
        <v>6.7639999999999993</v>
      </c>
      <c r="O323" s="223" cm="1">
        <f t="array" aca="1" ref="O323" ca="1">_FV(A323,"52 week low",TRUE)</f>
        <v>1.37</v>
      </c>
      <c r="P323" s="223">
        <v>293</v>
      </c>
      <c r="Q323" s="232">
        <f ca="1">GESTEP(D323,M323)</f>
        <v>0</v>
      </c>
      <c r="R323" s="232">
        <f ca="1">GESTEP(D323,N323)</f>
        <v>0</v>
      </c>
      <c r="S323" s="87" t="s">
        <v>76</v>
      </c>
      <c r="T323" s="87" t="s">
        <v>78</v>
      </c>
      <c r="U323" s="87" t="s">
        <v>88</v>
      </c>
      <c r="V323" s="57">
        <v>45909</v>
      </c>
      <c r="W323" s="57">
        <v>45909</v>
      </c>
      <c r="X323" s="87"/>
      <c r="Y323" s="87">
        <v>2.9</v>
      </c>
      <c r="Z323" s="87">
        <f>2.85-AB323</f>
        <v>2.85</v>
      </c>
      <c r="AA323" s="87" t="e">
        <f>+Tabla2[[#This Row],[Precio compra]]+Tabla2[[#This Row],[Div.]]</f>
        <v>#VALUE!</v>
      </c>
      <c r="AB323" s="87"/>
      <c r="AC323" s="87">
        <v>3.72</v>
      </c>
      <c r="AD323" s="87" t="e">
        <f>+Tabla2[[#This Row],[Objetivo div2]]+Tabla2[[#This Row],[Div.]]</f>
        <v>#VALUE!</v>
      </c>
      <c r="AE323" s="65">
        <f ca="1">IF(Z323="-",+AC323/Y323-1,AC323/D323-1)</f>
        <v>0.91752577319587636</v>
      </c>
      <c r="AF323" s="87">
        <v>5.5</v>
      </c>
      <c r="AG323" s="87">
        <f ca="1">IF(Z323="-",+AF323/D323-1,AF323/D323-1)</f>
        <v>1.8350515463917527</v>
      </c>
      <c r="AH323" s="87">
        <v>2.4900000000000002</v>
      </c>
      <c r="AI323" s="90">
        <f ca="1">IF(Z323="-",AH323/Y323-1,+AH323/D323-1)</f>
        <v>0.28350515463917536</v>
      </c>
      <c r="AJ323" s="66">
        <f ca="1">IF(Z323="-","-",+(D323/Z323)-1)</f>
        <v>-0.31929824561403508</v>
      </c>
      <c r="AK323" s="90" t="e">
        <f>IF(AA323="-","-",+(D323/AA323)-1)</f>
        <v>#VALUE!</v>
      </c>
      <c r="AL323" s="150">
        <v>5.3</v>
      </c>
      <c r="AM323" s="219">
        <f t="shared" si="63"/>
        <v>0.85964912280701733</v>
      </c>
      <c r="AN323" s="28">
        <f t="shared" ca="1" si="137"/>
        <v>-0.63396226415094337</v>
      </c>
      <c r="AO323">
        <v>1450</v>
      </c>
      <c r="AP323" s="5">
        <f t="shared" ca="1" si="139"/>
        <v>1.94</v>
      </c>
      <c r="AQ323" s="5">
        <f t="shared" ca="1" si="140"/>
        <v>2813</v>
      </c>
      <c r="AR323" s="75">
        <f t="shared" si="141"/>
        <v>5.3</v>
      </c>
      <c r="AS323" s="5">
        <f t="shared" si="142"/>
        <v>7685</v>
      </c>
      <c r="AT323" s="193">
        <f t="shared" ca="1" si="143"/>
        <v>-4872</v>
      </c>
      <c r="AU323" s="28">
        <f t="shared" ca="1" si="138"/>
        <v>-1.7926346912550073E-2</v>
      </c>
    </row>
    <row r="324" spans="1:49" x14ac:dyDescent="0.2">
      <c r="A324" s="87" t="e" vm="185">
        <v>#VALUE!</v>
      </c>
      <c r="B324" s="87" t="str" cm="1">
        <f t="array" aca="1" ref="B324" ca="1">_FV(A324,"Ticker symbol",TRUE)</f>
        <v>VERI</v>
      </c>
      <c r="C324" s="233" cm="1">
        <f t="array" aca="1" ref="C324" ca="1">_FV(A324,"Change (%)",TRUE)</f>
        <v>-2.2422000000000001E-2</v>
      </c>
      <c r="D324" s="87" cm="1">
        <f t="array" aca="1" ref="D324" ca="1">_FV(A324,"Price")</f>
        <v>2.1800000000000002</v>
      </c>
      <c r="E324" s="65">
        <f ca="1">AE324</f>
        <v>0.84128440366972468</v>
      </c>
      <c r="F324" s="65" t="e">
        <f>+Tabla2[[#This Row],[Rentab. Parcial]]</f>
        <v>#VALUE!</v>
      </c>
      <c r="G324" s="65"/>
      <c r="H324" s="65"/>
      <c r="I324" s="87">
        <v>4.0140000000000002</v>
      </c>
      <c r="J324" s="87" cm="1">
        <f t="array" aca="1" ref="J324" ca="1">_FV(A324,"High")</f>
        <v>2.2799999999999998</v>
      </c>
      <c r="K324" s="87" cm="1">
        <f t="array" aca="1" ref="K324" ca="1">_FV(A324,"Low")</f>
        <v>2.1408999999999998</v>
      </c>
      <c r="L324" s="87" cm="1">
        <f t="array" aca="1" ref="L324" ca="1">_FV(A324,"52 week high",TRUE)</f>
        <v>9.42</v>
      </c>
      <c r="M324" s="230">
        <f ca="1">+L324*0.9</f>
        <v>8.4779999999999998</v>
      </c>
      <c r="N324" s="231">
        <f ca="1">+L324*0.95</f>
        <v>8.9489999999999998</v>
      </c>
      <c r="O324" s="223" cm="1">
        <f t="array" aca="1" ref="O324" ca="1">_FV(A324,"52 week low",TRUE)</f>
        <v>1.22</v>
      </c>
      <c r="P324" s="223">
        <v>293</v>
      </c>
      <c r="Q324" s="232">
        <f ca="1">GESTEP(D324,M324)</f>
        <v>0</v>
      </c>
      <c r="R324" s="232">
        <f ca="1">GESTEP(D324,N324)</f>
        <v>0</v>
      </c>
      <c r="S324" s="87" t="s">
        <v>75</v>
      </c>
      <c r="T324" s="87" t="s">
        <v>78</v>
      </c>
      <c r="U324" s="87" t="s">
        <v>88</v>
      </c>
      <c r="V324" s="57">
        <v>45421</v>
      </c>
      <c r="W324" s="57">
        <v>45421</v>
      </c>
      <c r="X324" s="87"/>
      <c r="Y324" s="87">
        <v>3.33</v>
      </c>
      <c r="Z324" s="87">
        <v>4.0140000000000002</v>
      </c>
      <c r="AA324" s="87" t="e">
        <f>+Tabla2[[#This Row],[Precio compra]]+Tabla2[[#This Row],[Div.]]</f>
        <v>#VALUE!</v>
      </c>
      <c r="AB324" s="87"/>
      <c r="AC324" s="87">
        <v>4.0140000000000002</v>
      </c>
      <c r="AD324" s="87">
        <v>7</v>
      </c>
      <c r="AE324" s="65">
        <f ca="1">IF(Z324="-",+AC324/Y324-1,AC324/D324-1)</f>
        <v>0.84128440366972468</v>
      </c>
      <c r="AF324" s="87">
        <v>10.25</v>
      </c>
      <c r="AG324" s="87">
        <f ca="1">IF(Z324="-",+AF324/D324-1,AF324/D324-1)</f>
        <v>3.7018348623853203</v>
      </c>
      <c r="AH324" s="87">
        <v>4.09</v>
      </c>
      <c r="AI324" s="90">
        <f ca="1">IF(Z324="-",AH324/Y324-1,+AH324/D324-1)</f>
        <v>0.87614678899082543</v>
      </c>
      <c r="AJ324" s="66">
        <f ca="1">IF(Z324="-","-",+(D324/Z324)-1)</f>
        <v>-0.45690084703537615</v>
      </c>
      <c r="AK324" s="90" t="e">
        <f>IF(AA324="-","-",+(D324/AA324)-1)</f>
        <v>#VALUE!</v>
      </c>
      <c r="AL324" s="150">
        <v>9.25</v>
      </c>
      <c r="AM324" s="219">
        <f t="shared" si="63"/>
        <v>1.3044344793223717</v>
      </c>
      <c r="AN324" s="28">
        <f t="shared" ca="1" si="137"/>
        <v>-0.76432432432432429</v>
      </c>
      <c r="AO324">
        <v>248</v>
      </c>
      <c r="AP324" s="5">
        <f ca="1">+D324</f>
        <v>2.1800000000000002</v>
      </c>
      <c r="AQ324" s="5">
        <f t="shared" ca="1" si="140"/>
        <v>540.64</v>
      </c>
      <c r="AR324" s="75">
        <f t="shared" si="141"/>
        <v>9.25</v>
      </c>
      <c r="AS324" s="5">
        <f t="shared" si="142"/>
        <v>2294</v>
      </c>
      <c r="AT324" s="193">
        <f t="shared" ca="1" si="143"/>
        <v>-1753.3600000000001</v>
      </c>
      <c r="AU324" s="28">
        <f t="shared" ca="1" si="138"/>
        <v>-6.451424388872906E-3</v>
      </c>
    </row>
    <row r="325" spans="1:49" x14ac:dyDescent="0.2">
      <c r="A325" s="87" t="e" vm="300">
        <v>#VALUE!</v>
      </c>
      <c r="B325" s="87" t="str" cm="1">
        <f t="array" aca="1" ref="B325" ca="1">_FV(A325,"Ticker symbol",TRUE)</f>
        <v>QSI</v>
      </c>
      <c r="C325" s="233" cm="1">
        <f t="array" aca="1" ref="C325" ca="1">_FV(A325,"Change (%)",TRUE)</f>
        <v>-6.0719999999999993E-3</v>
      </c>
      <c r="D325" s="87" cm="1">
        <f t="array" aca="1" ref="D325" ca="1">_FV(A325,"Price")</f>
        <v>0.90029999999999999</v>
      </c>
      <c r="E325" s="65">
        <f ca="1">AE325</f>
        <v>1.177052093746529</v>
      </c>
      <c r="F325" s="65" t="e">
        <f>+Tabla2[[#This Row],[Rentab. Parcial]]</f>
        <v>#VALUE!</v>
      </c>
      <c r="G325" s="65"/>
      <c r="H325" s="65"/>
      <c r="I325" s="87">
        <v>1.96</v>
      </c>
      <c r="J325" s="87" cm="1">
        <f t="array" aca="1" ref="J325" ca="1">_FV(A325,"High")</f>
        <v>0.94</v>
      </c>
      <c r="K325" s="87" cm="1">
        <f t="array" aca="1" ref="K325" ca="1">_FV(A325,"Low")</f>
        <v>0.87139999999999995</v>
      </c>
      <c r="L325" s="87" cm="1">
        <f t="array" aca="1" ref="L325" ca="1">_FV(A325,"52 week high",TRUE)</f>
        <v>3.1</v>
      </c>
      <c r="M325" s="230">
        <f ca="1">+L325*0.9</f>
        <v>2.79</v>
      </c>
      <c r="N325" s="231">
        <f ca="1">+L325*0.95</f>
        <v>2.9449999999999998</v>
      </c>
      <c r="O325" s="223" cm="1">
        <f t="array" aca="1" ref="O325" ca="1">_FV(A325,"52 week low",TRUE)</f>
        <v>0.69120000000000004</v>
      </c>
      <c r="P325" s="223" t="e">
        <f ca="1">+TODAY()-Tabla2[[#This Row],[F. compra]]</f>
        <v>#VALUE!</v>
      </c>
      <c r="Q325" s="232">
        <f ca="1">GESTEP(D325,M325)</f>
        <v>0</v>
      </c>
      <c r="R325" s="232">
        <f ca="1">GESTEP(D325,N325)</f>
        <v>0</v>
      </c>
      <c r="S325" s="87" t="s">
        <v>75</v>
      </c>
      <c r="T325" s="87" t="s">
        <v>78</v>
      </c>
      <c r="U325" s="87" t="s">
        <v>88</v>
      </c>
      <c r="V325" s="57">
        <v>45936</v>
      </c>
      <c r="W325" s="57">
        <v>45936</v>
      </c>
      <c r="X325" s="87" t="s">
        <v>246</v>
      </c>
      <c r="Y325" s="87">
        <v>1.78</v>
      </c>
      <c r="Z325" s="87">
        <v>1.78</v>
      </c>
      <c r="AA325" s="87">
        <v>1.78</v>
      </c>
      <c r="AB325" s="87"/>
      <c r="AC325" s="87">
        <v>1.96</v>
      </c>
      <c r="AD325" s="87" t="e">
        <f>+Tabla2[[#This Row],[Objetivo div2]]+Tabla2[[#This Row],[Div.]]</f>
        <v>#VALUE!</v>
      </c>
      <c r="AE325" s="65">
        <f ca="1">IF(Z325="-",+AC325/Y325-1,AC325/D325-1)</f>
        <v>1.177052093746529</v>
      </c>
      <c r="AF325" s="87">
        <v>2.66</v>
      </c>
      <c r="AG325" s="87">
        <f ca="1">IF(Z325="-",+AF325/D325-1,AF325/D325-1)</f>
        <v>1.9545706986560036</v>
      </c>
      <c r="AH325" s="87">
        <v>1.43</v>
      </c>
      <c r="AI325" s="90">
        <f ca="1">IF(Z325="-",AH325/Y325-1,+AH325/D325-1)</f>
        <v>0.58835943574364102</v>
      </c>
      <c r="AJ325" s="66">
        <f ca="1">IF(Z325="-","-",+(D325/Z325)-1)</f>
        <v>-0.49421348314606739</v>
      </c>
      <c r="AK325" s="90">
        <f ca="1">IF(AA325="-","-",+(D325/AA325)-1)</f>
        <v>-0.49421348314606739</v>
      </c>
      <c r="AL325" s="150">
        <v>2.89</v>
      </c>
      <c r="AM325" s="219">
        <f t="shared" si="63"/>
        <v>0.62359550561797761</v>
      </c>
      <c r="AN325" s="28">
        <f t="shared" ca="1" si="137"/>
        <v>-0.68847750865051904</v>
      </c>
      <c r="AO325">
        <v>1500</v>
      </c>
      <c r="AP325" s="5">
        <f t="shared" ca="1" si="139"/>
        <v>0.90029999999999999</v>
      </c>
      <c r="AQ325" s="5">
        <f t="shared" ca="1" si="140"/>
        <v>1350.45</v>
      </c>
      <c r="AR325" s="75">
        <f t="shared" si="141"/>
        <v>2.89</v>
      </c>
      <c r="AS325" s="5">
        <f t="shared" si="142"/>
        <v>4335</v>
      </c>
      <c r="AT325" s="193">
        <f t="shared" ca="1" si="143"/>
        <v>-2984.55</v>
      </c>
      <c r="AU325" s="28">
        <f t="shared" ca="1" si="138"/>
        <v>-1.0981543242580322E-2</v>
      </c>
    </row>
    <row r="326" spans="1:49" x14ac:dyDescent="0.2">
      <c r="A326" s="87" t="e" vm="301">
        <v>#VALUE!</v>
      </c>
      <c r="B326" s="87" t="s">
        <v>255</v>
      </c>
      <c r="C326" s="233" cm="1">
        <f t="array" aca="1" ref="C326" ca="1">_FV(A326,"Change (%)",TRUE)</f>
        <v>-3.7124999999999998E-2</v>
      </c>
      <c r="D326" s="87" cm="1">
        <f t="array" aca="1" ref="D326" ca="1">_FV(A326,"Price")</f>
        <v>158.21</v>
      </c>
      <c r="E326" s="65">
        <v>-3.1396660400310195E-3</v>
      </c>
      <c r="F326" s="65">
        <v>0.31752862342954336</v>
      </c>
      <c r="G326" s="65"/>
      <c r="H326" s="65"/>
      <c r="I326" s="87">
        <v>90.146079999999998</v>
      </c>
      <c r="J326" s="87">
        <v>91.18</v>
      </c>
      <c r="K326" s="87">
        <v>89</v>
      </c>
      <c r="L326" s="87">
        <v>127.48</v>
      </c>
      <c r="M326" s="230">
        <v>114.732</v>
      </c>
      <c r="N326" s="231">
        <v>121.10599999999999</v>
      </c>
      <c r="O326" s="223">
        <v>47.085000000000001</v>
      </c>
      <c r="P326" s="223">
        <v>129</v>
      </c>
      <c r="Q326" s="232">
        <v>0</v>
      </c>
      <c r="R326" s="232">
        <v>0</v>
      </c>
      <c r="S326" s="87" t="s">
        <v>75</v>
      </c>
      <c r="T326" s="87" t="s">
        <v>78</v>
      </c>
      <c r="U326" s="87" t="s">
        <v>26</v>
      </c>
      <c r="V326" s="57">
        <v>45817</v>
      </c>
      <c r="W326" s="57">
        <v>45817</v>
      </c>
      <c r="X326" s="87"/>
      <c r="Y326" s="87">
        <v>69.06</v>
      </c>
      <c r="Z326" s="87">
        <v>68.636079999999993</v>
      </c>
      <c r="AA326" s="87">
        <v>68.709999999999994</v>
      </c>
      <c r="AB326" s="87">
        <v>7.392E-2</v>
      </c>
      <c r="AC326" s="87">
        <v>90.146079999999998</v>
      </c>
      <c r="AD326" s="87">
        <v>90.22</v>
      </c>
      <c r="AE326" s="65">
        <v>-3.1396660400310195E-3</v>
      </c>
      <c r="AF326" s="87">
        <v>87.74</v>
      </c>
      <c r="AG326" s="87">
        <v>-2.9746765453942392E-2</v>
      </c>
      <c r="AH326" s="87">
        <v>58.406079999999996</v>
      </c>
      <c r="AI326" s="90">
        <v>-0.35412938184230902</v>
      </c>
      <c r="AJ326" s="66">
        <v>0.31752862342954336</v>
      </c>
      <c r="AK326" s="90">
        <v>0.31611119196623516</v>
      </c>
      <c r="AL326" s="150">
        <v>90.22</v>
      </c>
      <c r="AM326" s="219">
        <f t="shared" si="63"/>
        <v>0.31446900813682843</v>
      </c>
      <c r="AN326" s="28">
        <f t="shared" ref="AN326:AN334" ca="1" si="144">+D326/AL326-1</f>
        <v>0.75360230547550433</v>
      </c>
      <c r="AO326">
        <v>176</v>
      </c>
      <c r="AP326" s="5">
        <f t="shared" ca="1" si="139"/>
        <v>158.21</v>
      </c>
      <c r="AQ326" s="5">
        <f t="shared" ca="1" si="140"/>
        <v>27844.960000000003</v>
      </c>
      <c r="AR326" s="75">
        <f t="shared" si="141"/>
        <v>90.22</v>
      </c>
      <c r="AS326" s="5">
        <f t="shared" si="142"/>
        <v>15878.72</v>
      </c>
      <c r="AT326" s="193">
        <f t="shared" ca="1" si="143"/>
        <v>11966.240000000003</v>
      </c>
      <c r="AU326" s="28">
        <f t="shared" ca="1" si="138"/>
        <v>4.4029345131123408E-2</v>
      </c>
    </row>
    <row r="327" spans="1:49" x14ac:dyDescent="0.2">
      <c r="A327" s="87" t="e" vm="302">
        <v>#VALUE!</v>
      </c>
      <c r="B327" s="87" t="s">
        <v>259</v>
      </c>
      <c r="C327" s="233" cm="1">
        <f t="array" aca="1" ref="C327" ca="1">_FV(A327,"Change (%)",TRUE)</f>
        <v>0</v>
      </c>
      <c r="D327" s="87" cm="1">
        <f t="array" aca="1" ref="D327" ca="1">_FV(A327,"Price")</f>
        <v>22</v>
      </c>
      <c r="E327" s="65">
        <v>0.90909090909090917</v>
      </c>
      <c r="F327" s="65">
        <v>-0.47368421052631571</v>
      </c>
      <c r="G327" s="65"/>
      <c r="H327" s="65"/>
      <c r="I327" s="87">
        <v>42</v>
      </c>
      <c r="J327" s="87">
        <v>22</v>
      </c>
      <c r="K327" s="87">
        <v>21.8</v>
      </c>
      <c r="L327" s="87">
        <v>24</v>
      </c>
      <c r="M327" s="230">
        <v>21.6</v>
      </c>
      <c r="N327" s="231">
        <v>22.799999999999997</v>
      </c>
      <c r="O327" s="223">
        <v>21</v>
      </c>
      <c r="P327" s="223">
        <v>777</v>
      </c>
      <c r="Q327" s="232">
        <v>1</v>
      </c>
      <c r="R327" s="232">
        <v>0</v>
      </c>
      <c r="S327" s="87" t="s">
        <v>75</v>
      </c>
      <c r="T327" s="87" t="s">
        <v>78</v>
      </c>
      <c r="U327" s="87" t="s">
        <v>72</v>
      </c>
      <c r="V327" s="57">
        <v>45173</v>
      </c>
      <c r="W327" s="57">
        <v>45173</v>
      </c>
      <c r="X327" s="87"/>
      <c r="Y327" s="87" t="s">
        <v>11</v>
      </c>
      <c r="Z327" s="87">
        <v>41.8</v>
      </c>
      <c r="AA327" s="87">
        <v>42.8</v>
      </c>
      <c r="AB327" s="87">
        <v>1</v>
      </c>
      <c r="AC327" s="87">
        <v>42</v>
      </c>
      <c r="AD327" s="87">
        <v>43</v>
      </c>
      <c r="AE327" s="65">
        <v>0.90909090909090917</v>
      </c>
      <c r="AF327" s="87" t="s">
        <v>11</v>
      </c>
      <c r="AG327" s="87" t="e">
        <v>#VALUE!</v>
      </c>
      <c r="AH327" s="87">
        <v>38.479999999999997</v>
      </c>
      <c r="AI327" s="90">
        <v>0.74909090909090903</v>
      </c>
      <c r="AJ327" s="66">
        <v>-0.47368421052631571</v>
      </c>
      <c r="AK327" s="90">
        <v>-0.4859813084112149</v>
      </c>
      <c r="AL327" s="150">
        <v>22.08</v>
      </c>
      <c r="AM327" s="219">
        <f t="shared" si="63"/>
        <v>-0.47177033492822962</v>
      </c>
      <c r="AN327" s="28">
        <f t="shared" ca="1" si="144"/>
        <v>-3.6231884057970065E-3</v>
      </c>
      <c r="AO327">
        <v>220</v>
      </c>
      <c r="AP327" s="5">
        <f ca="1">+D327</f>
        <v>22</v>
      </c>
      <c r="AQ327" s="5">
        <f t="shared" ref="AQ327:AQ334" ca="1" si="145">+AO327*AP327</f>
        <v>4840</v>
      </c>
      <c r="AR327" s="75">
        <f t="shared" ref="AR327:AR334" si="146">+AL327</f>
        <v>22.08</v>
      </c>
      <c r="AS327" s="5">
        <f t="shared" ref="AS327:AS334" si="147">+AO327*AR327</f>
        <v>4857.5999999999995</v>
      </c>
      <c r="AT327" s="193">
        <f ca="1">+AQ327-AS327</f>
        <v>-17.599999999999454</v>
      </c>
      <c r="AU327" s="28">
        <f t="shared" ca="1" si="138"/>
        <v>-6.4758560275219928E-5</v>
      </c>
    </row>
    <row r="328" spans="1:49" x14ac:dyDescent="0.2">
      <c r="A328" s="87" t="e" vm="303">
        <v>#VALUE!</v>
      </c>
      <c r="B328" s="87" t="s">
        <v>266</v>
      </c>
      <c r="C328" s="233" cm="1">
        <f t="array" aca="1" ref="C328" ca="1">_FV(A328,"Change (%)",TRUE)</f>
        <v>-2.8341999999999999E-2</v>
      </c>
      <c r="D328" s="87" cm="1">
        <f t="array" aca="1" ref="D328" ca="1">_FV(A328,"Price")</f>
        <v>501.9</v>
      </c>
      <c r="E328" s="65">
        <v>-0.10191082802547768</v>
      </c>
      <c r="F328" s="65">
        <v>0.39505010261982387</v>
      </c>
      <c r="G328" s="65"/>
      <c r="H328" s="65"/>
      <c r="I328" s="87">
        <v>518.88</v>
      </c>
      <c r="J328" s="87">
        <v>582.66</v>
      </c>
      <c r="K328" s="87">
        <v>538.82000000000005</v>
      </c>
      <c r="L328" s="87">
        <v>588.26</v>
      </c>
      <c r="M328" s="230">
        <v>529.43399999999997</v>
      </c>
      <c r="N328" s="231">
        <v>558.84699999999998</v>
      </c>
      <c r="O328" s="223">
        <v>318.59500000000003</v>
      </c>
      <c r="P328" s="223">
        <v>192</v>
      </c>
      <c r="Q328" s="232">
        <v>1</v>
      </c>
      <c r="R328" s="232">
        <v>1</v>
      </c>
      <c r="S328" s="87" t="s">
        <v>75</v>
      </c>
      <c r="T328" s="87" t="s">
        <v>78</v>
      </c>
      <c r="U328" s="87" t="s">
        <v>72</v>
      </c>
      <c r="V328" s="57">
        <v>45761</v>
      </c>
      <c r="W328" s="57">
        <v>45761</v>
      </c>
      <c r="X328" s="87"/>
      <c r="Y328" s="87">
        <v>415.61</v>
      </c>
      <c r="Z328" s="87">
        <v>414.15</v>
      </c>
      <c r="AA328" s="87">
        <v>414.15</v>
      </c>
      <c r="AB328" s="87"/>
      <c r="AC328" s="87">
        <v>518.88</v>
      </c>
      <c r="AD328" s="87">
        <v>518.88</v>
      </c>
      <c r="AE328" s="65">
        <v>-0.10191082802547768</v>
      </c>
      <c r="AF328" s="87">
        <v>576.36</v>
      </c>
      <c r="AG328" s="87">
        <v>-2.4231514815840072E-3</v>
      </c>
      <c r="AH328" s="87">
        <v>363.48</v>
      </c>
      <c r="AI328" s="90">
        <v>-0.37088064248130703</v>
      </c>
      <c r="AJ328" s="66">
        <v>0.39505010261982387</v>
      </c>
      <c r="AK328" s="90">
        <v>0.39505010261982387</v>
      </c>
      <c r="AL328" s="150">
        <v>582</v>
      </c>
      <c r="AM328" s="219">
        <f t="shared" si="63"/>
        <v>0.40528793915248107</v>
      </c>
      <c r="AN328" s="28">
        <f t="shared" ca="1" si="144"/>
        <v>-0.13762886597938151</v>
      </c>
      <c r="AO328">
        <v>25</v>
      </c>
      <c r="AP328" s="5">
        <f t="shared" ref="AP328:AP333" ca="1" si="148">+D328</f>
        <v>501.9</v>
      </c>
      <c r="AQ328" s="5">
        <f t="shared" ca="1" si="145"/>
        <v>12547.5</v>
      </c>
      <c r="AR328" s="75">
        <f t="shared" si="146"/>
        <v>582</v>
      </c>
      <c r="AS328" s="5">
        <f t="shared" si="147"/>
        <v>14550</v>
      </c>
      <c r="AT328" s="193">
        <f t="shared" ref="AT328:AT333" ca="1" si="149">+AQ328-AS328</f>
        <v>-2002.5</v>
      </c>
      <c r="AU328" s="28">
        <f t="shared" ca="1" si="138"/>
        <v>-7.3681259631324962E-3</v>
      </c>
    </row>
    <row r="329" spans="1:49" x14ac:dyDescent="0.2">
      <c r="A329" s="87" t="e" vm="304">
        <v>#VALUE!</v>
      </c>
      <c r="B329" s="87" t="s">
        <v>274</v>
      </c>
      <c r="C329" s="233" cm="1">
        <f t="array" aca="1" ref="C329" ca="1">_FV(A329,"Change (%)",TRUE)</f>
        <v>2.3350000000000003E-3</v>
      </c>
      <c r="D329" s="87" cm="1">
        <f t="array" aca="1" ref="D329" ca="1">_FV(A329,"Price")</f>
        <v>10.73</v>
      </c>
      <c r="E329" s="65">
        <v>2.0750551876379753E-2</v>
      </c>
      <c r="F329" s="65">
        <v>0.17357512953367871</v>
      </c>
      <c r="G329" s="65"/>
      <c r="H329" s="65"/>
      <c r="I329" s="87">
        <v>11.56</v>
      </c>
      <c r="J329" s="87">
        <v>11.36</v>
      </c>
      <c r="K329" s="87">
        <v>11.1</v>
      </c>
      <c r="L329" s="87">
        <v>11.63</v>
      </c>
      <c r="M329" s="230">
        <v>10.467000000000001</v>
      </c>
      <c r="N329" s="231">
        <v>11.048500000000001</v>
      </c>
      <c r="O329" s="223">
        <v>6.73</v>
      </c>
      <c r="P329" s="223">
        <v>490</v>
      </c>
      <c r="Q329" s="232">
        <v>1</v>
      </c>
      <c r="R329" s="232">
        <v>1</v>
      </c>
      <c r="S329" s="87" t="s">
        <v>75</v>
      </c>
      <c r="T329" s="87" t="s">
        <v>78</v>
      </c>
      <c r="U329" s="87" t="s">
        <v>26</v>
      </c>
      <c r="V329" s="57">
        <v>45464</v>
      </c>
      <c r="W329" s="57">
        <v>45464</v>
      </c>
      <c r="X329" s="87"/>
      <c r="Y329" s="87">
        <v>10.135</v>
      </c>
      <c r="Z329" s="87">
        <v>9.65</v>
      </c>
      <c r="AA329" s="87">
        <v>10.07</v>
      </c>
      <c r="AB329" s="87">
        <v>0.42</v>
      </c>
      <c r="AC329" s="87">
        <v>11.56</v>
      </c>
      <c r="AD329" s="87">
        <v>11.98</v>
      </c>
      <c r="AE329" s="65">
        <v>2.0750551876379753E-2</v>
      </c>
      <c r="AF329" s="87">
        <v>12.43</v>
      </c>
      <c r="AG329" s="87">
        <v>9.7571743929359966E-2</v>
      </c>
      <c r="AH329" s="87">
        <v>9.0649999999999995</v>
      </c>
      <c r="AI329" s="90">
        <v>-0.19955849889624722</v>
      </c>
      <c r="AJ329" s="66">
        <v>0.17357512953367871</v>
      </c>
      <c r="AK329" s="90">
        <v>0.12462760675273077</v>
      </c>
      <c r="AL329" s="150">
        <v>11.56</v>
      </c>
      <c r="AM329" s="219">
        <f t="shared" si="63"/>
        <v>0.19792746113989645</v>
      </c>
      <c r="AN329" s="28">
        <f t="shared" ca="1" si="144"/>
        <v>-7.1799307958477554E-2</v>
      </c>
      <c r="AO329">
        <v>1000</v>
      </c>
      <c r="AP329" s="5">
        <f t="shared" ca="1" si="148"/>
        <v>10.73</v>
      </c>
      <c r="AQ329" s="5">
        <f t="shared" ca="1" si="145"/>
        <v>10730</v>
      </c>
      <c r="AR329" s="75">
        <f t="shared" si="146"/>
        <v>11.56</v>
      </c>
      <c r="AS329" s="5">
        <f t="shared" si="147"/>
        <v>11560</v>
      </c>
      <c r="AT329" s="193">
        <f t="shared" ca="1" si="149"/>
        <v>-830</v>
      </c>
      <c r="AU329" s="28">
        <f t="shared" ca="1" si="138"/>
        <v>-3.0539548311610347E-3</v>
      </c>
    </row>
    <row r="330" spans="1:49" x14ac:dyDescent="0.2">
      <c r="A330" s="87" t="e" vm="156">
        <v>#VALUE!</v>
      </c>
      <c r="B330" s="87" t="s">
        <v>275</v>
      </c>
      <c r="C330" s="233" cm="1">
        <f t="array" aca="1" ref="C330" ca="1">_FV(A330,"Change (%)",TRUE)</f>
        <v>2.7936000000000002E-2</v>
      </c>
      <c r="D330" s="87" cm="1">
        <f t="array" aca="1" ref="D330" ca="1">_FV(A330,"Price")</f>
        <v>144.24</v>
      </c>
      <c r="E330" s="65">
        <v>-0.36265137029955385</v>
      </c>
      <c r="F330" s="65">
        <v>0.58324924318869842</v>
      </c>
      <c r="G330" s="65"/>
      <c r="H330" s="65"/>
      <c r="I330" s="87">
        <v>170</v>
      </c>
      <c r="J330" s="87">
        <v>267.8</v>
      </c>
      <c r="K330" s="87">
        <v>261.86</v>
      </c>
      <c r="L330" s="87">
        <v>267.8</v>
      </c>
      <c r="M330" s="230">
        <v>241.02</v>
      </c>
      <c r="N330" s="231">
        <v>254.41</v>
      </c>
      <c r="O330" s="223">
        <v>113.23</v>
      </c>
      <c r="P330" s="223">
        <v>630</v>
      </c>
      <c r="Q330" s="232">
        <v>1</v>
      </c>
      <c r="R330" s="232">
        <v>1</v>
      </c>
      <c r="S330" s="87" t="s">
        <v>75</v>
      </c>
      <c r="T330" s="87" t="s">
        <v>78</v>
      </c>
      <c r="U330" s="87" t="s">
        <v>26</v>
      </c>
      <c r="V330" s="57">
        <v>45327</v>
      </c>
      <c r="W330" s="57">
        <v>45327</v>
      </c>
      <c r="X330" s="87"/>
      <c r="Y330" s="87"/>
      <c r="Z330" s="87">
        <v>168.47</v>
      </c>
      <c r="AA330" s="87">
        <v>168.47</v>
      </c>
      <c r="AB330" s="87"/>
      <c r="AC330" s="87">
        <v>170</v>
      </c>
      <c r="AD330" s="87">
        <v>170</v>
      </c>
      <c r="AE330" s="65">
        <v>-0.36265137029955385</v>
      </c>
      <c r="AF330" s="87">
        <v>265.13</v>
      </c>
      <c r="AG330" s="87">
        <v>-5.9985753383572371E-3</v>
      </c>
      <c r="AH330" s="87"/>
      <c r="AI330" s="90" t="s">
        <v>11</v>
      </c>
      <c r="AJ330" s="66">
        <v>0.58324924318869842</v>
      </c>
      <c r="AK330" s="90">
        <v>0.58324924318869842</v>
      </c>
      <c r="AL330" s="150">
        <v>267</v>
      </c>
      <c r="AM330" s="219">
        <f t="shared" si="63"/>
        <v>0.58485190241586049</v>
      </c>
      <c r="AN330" s="28">
        <f t="shared" ca="1" si="144"/>
        <v>-0.45977528089887632</v>
      </c>
      <c r="AO330">
        <v>30</v>
      </c>
      <c r="AP330" s="5">
        <f t="shared" ca="1" si="148"/>
        <v>144.24</v>
      </c>
      <c r="AQ330" s="5">
        <f t="shared" ca="1" si="145"/>
        <v>4327.2000000000007</v>
      </c>
      <c r="AR330" s="75">
        <f t="shared" si="146"/>
        <v>267</v>
      </c>
      <c r="AS330" s="5">
        <f t="shared" si="147"/>
        <v>8010</v>
      </c>
      <c r="AT330" s="193">
        <f t="shared" ca="1" si="149"/>
        <v>-3682.7999999999993</v>
      </c>
      <c r="AU330" s="28">
        <f t="shared" ca="1" si="138"/>
        <v>-1.3550728737590188E-2</v>
      </c>
    </row>
    <row r="331" spans="1:49" x14ac:dyDescent="0.2">
      <c r="A331" s="87" t="e" vm="156">
        <v>#VALUE!</v>
      </c>
      <c r="B331" s="87" t="s">
        <v>275</v>
      </c>
      <c r="C331" s="233" cm="1">
        <f t="array" aca="1" ref="C331" ca="1">_FV(A331,"Change (%)",TRUE)</f>
        <v>2.7936000000000002E-2</v>
      </c>
      <c r="D331" s="87" cm="1">
        <f t="array" aca="1" ref="D331" ca="1">_FV(A331,"Price")</f>
        <v>144.24</v>
      </c>
      <c r="E331" s="65">
        <v>-0.36265137029955385</v>
      </c>
      <c r="F331" s="65">
        <v>0.58324924318869842</v>
      </c>
      <c r="G331" s="65"/>
      <c r="H331" s="65"/>
      <c r="I331" s="87">
        <v>170</v>
      </c>
      <c r="J331" s="87">
        <v>267.8</v>
      </c>
      <c r="K331" s="87">
        <v>261.86</v>
      </c>
      <c r="L331" s="87">
        <v>267.8</v>
      </c>
      <c r="M331" s="230">
        <v>241.02</v>
      </c>
      <c r="N331" s="231">
        <v>254.41</v>
      </c>
      <c r="O331" s="223">
        <v>113.23</v>
      </c>
      <c r="P331" s="223">
        <v>630</v>
      </c>
      <c r="Q331" s="232">
        <v>1</v>
      </c>
      <c r="R331" s="232">
        <v>1</v>
      </c>
      <c r="S331" s="87" t="s">
        <v>75</v>
      </c>
      <c r="T331" s="87" t="s">
        <v>78</v>
      </c>
      <c r="U331" s="87" t="s">
        <v>276</v>
      </c>
      <c r="V331" s="57">
        <v>45327</v>
      </c>
      <c r="W331" s="57">
        <v>45327</v>
      </c>
      <c r="X331" s="87"/>
      <c r="Y331" s="87"/>
      <c r="Z331" s="87">
        <v>168.47</v>
      </c>
      <c r="AA331" s="87">
        <v>168.47</v>
      </c>
      <c r="AB331" s="87"/>
      <c r="AC331" s="87">
        <v>170</v>
      </c>
      <c r="AD331" s="87">
        <v>170</v>
      </c>
      <c r="AE331" s="65">
        <v>0.63734862970044603</v>
      </c>
      <c r="AF331" s="87">
        <v>265.13</v>
      </c>
      <c r="AG331" s="87">
        <v>-5.9985753383572371E-3</v>
      </c>
      <c r="AH331" s="87"/>
      <c r="AI331" s="90" t="s">
        <v>11</v>
      </c>
      <c r="AJ331" s="66">
        <v>0.58324924318869842</v>
      </c>
      <c r="AK331" s="90">
        <v>0.58324924318869842</v>
      </c>
      <c r="AL331" s="150">
        <v>267</v>
      </c>
      <c r="AM331" s="219">
        <f t="shared" si="63"/>
        <v>0.58485190241586049</v>
      </c>
      <c r="AN331" s="28">
        <f t="shared" ca="1" si="144"/>
        <v>-0.45977528089887632</v>
      </c>
      <c r="AO331">
        <v>15</v>
      </c>
      <c r="AP331" s="5">
        <f t="shared" ca="1" si="148"/>
        <v>144.24</v>
      </c>
      <c r="AQ331" s="5">
        <f t="shared" ca="1" si="145"/>
        <v>2163.6000000000004</v>
      </c>
      <c r="AR331" s="75">
        <f t="shared" si="146"/>
        <v>267</v>
      </c>
      <c r="AS331" s="5">
        <f t="shared" si="147"/>
        <v>4005</v>
      </c>
      <c r="AT331" s="193">
        <f t="shared" ca="1" si="149"/>
        <v>-1841.3999999999996</v>
      </c>
      <c r="AU331" s="28">
        <f t="shared" ca="1" si="138"/>
        <v>-6.7753643687950942E-3</v>
      </c>
    </row>
    <row r="332" spans="1:49" x14ac:dyDescent="0.2">
      <c r="A332" s="87" t="e" vm="305">
        <v>#VALUE!</v>
      </c>
      <c r="B332" s="87" t="s">
        <v>281</v>
      </c>
      <c r="C332" s="233" cm="1">
        <f t="array" aca="1" ref="C332" ca="1">_FV(A332,"Change (%)",TRUE)</f>
        <v>3.6888000000000004E-2</v>
      </c>
      <c r="D332" s="87" cm="1">
        <f t="array" aca="1" ref="D332" ca="1">_FV(A332,"Price")</f>
        <v>9.2759999999999998</v>
      </c>
      <c r="E332" s="65">
        <v>0.10929853181076665</v>
      </c>
      <c r="F332" s="65">
        <v>0.46756045008379221</v>
      </c>
      <c r="G332" s="65"/>
      <c r="H332" s="65"/>
      <c r="I332" s="87">
        <v>6.8</v>
      </c>
      <c r="J332" s="87">
        <v>6.3940000000000001</v>
      </c>
      <c r="K332" s="87">
        <v>5.4260000000000002</v>
      </c>
      <c r="L332" s="87">
        <v>35.340000000000003</v>
      </c>
      <c r="M332" s="230">
        <v>31.806000000000004</v>
      </c>
      <c r="N332" s="231">
        <v>33.573</v>
      </c>
      <c r="O332" s="223">
        <v>2.0844999999999998</v>
      </c>
      <c r="P332" s="223">
        <v>22</v>
      </c>
      <c r="Q332" s="232">
        <v>0</v>
      </c>
      <c r="R332" s="232">
        <v>0</v>
      </c>
      <c r="S332" s="87" t="s">
        <v>75</v>
      </c>
      <c r="T332" s="87" t="s">
        <v>78</v>
      </c>
      <c r="U332" s="87" t="s">
        <v>26</v>
      </c>
      <c r="V332" s="57">
        <v>45936</v>
      </c>
      <c r="W332" s="57">
        <v>45936</v>
      </c>
      <c r="X332" s="87" t="s">
        <v>245</v>
      </c>
      <c r="Y332" s="87">
        <v>4.1779999999999999</v>
      </c>
      <c r="Z332" s="87">
        <v>4.1769999999999996</v>
      </c>
      <c r="AA332" s="87">
        <v>4.1769999999999996</v>
      </c>
      <c r="AB332" s="87"/>
      <c r="AC332" s="87">
        <v>6.8</v>
      </c>
      <c r="AD332" s="87">
        <v>6.8</v>
      </c>
      <c r="AE332" s="65">
        <v>0.10929853181076665</v>
      </c>
      <c r="AF332" s="87">
        <v>4.95</v>
      </c>
      <c r="AG332" s="87">
        <v>-0.19249592169657415</v>
      </c>
      <c r="AH332" s="87">
        <v>3.4180000000000001</v>
      </c>
      <c r="AI332" s="90">
        <v>-0.44241435562805864</v>
      </c>
      <c r="AJ332" s="66">
        <v>0.46756045008379221</v>
      </c>
      <c r="AK332" s="90">
        <v>0.46756045008379221</v>
      </c>
      <c r="AL332" s="150">
        <v>5.85</v>
      </c>
      <c r="AM332" s="219">
        <f t="shared" si="63"/>
        <v>0.40052669379937766</v>
      </c>
      <c r="AN332" s="28">
        <f t="shared" ca="1" si="144"/>
        <v>0.5856410256410256</v>
      </c>
      <c r="AO332">
        <v>3000</v>
      </c>
      <c r="AP332" s="5">
        <f t="shared" ca="1" si="148"/>
        <v>9.2759999999999998</v>
      </c>
      <c r="AQ332" s="5">
        <f t="shared" ca="1" si="145"/>
        <v>27828</v>
      </c>
      <c r="AR332" s="75">
        <f t="shared" si="146"/>
        <v>5.85</v>
      </c>
      <c r="AS332" s="5">
        <f t="shared" si="147"/>
        <v>17550</v>
      </c>
      <c r="AT332" s="193">
        <f t="shared" ca="1" si="149"/>
        <v>10278</v>
      </c>
      <c r="AU332" s="28">
        <f t="shared" ca="1" si="138"/>
        <v>3.7817527415268809E-2</v>
      </c>
    </row>
    <row r="333" spans="1:49" x14ac:dyDescent="0.2">
      <c r="A333" s="87" t="e" vm="306">
        <v>#VALUE!</v>
      </c>
      <c r="B333" s="87" t="str" cm="1">
        <f t="array" aca="1" ref="B333" ca="1">_FV(A333,"Ticker symbol",TRUE)</f>
        <v>AXGN</v>
      </c>
      <c r="C333" s="233" cm="1">
        <f t="array" aca="1" ref="C333" ca="1">_FV(A333,"Change (%)",TRUE)</f>
        <v>3.5670000000000003E-3</v>
      </c>
      <c r="D333" s="87" cm="1">
        <f t="array" aca="1" ref="D333" ca="1">_FV(A333,"Price")</f>
        <v>39.39</v>
      </c>
      <c r="E333" s="65">
        <f ca="1">AE333</f>
        <v>-0.58238131505458246</v>
      </c>
      <c r="F333" s="65">
        <v>0.46756045008379221</v>
      </c>
      <c r="G333" s="65"/>
      <c r="H333" s="65"/>
      <c r="I333" s="87">
        <v>16.45</v>
      </c>
      <c r="J333" s="87" cm="1">
        <f t="array" aca="1" ref="J333" ca="1">_FV(A333,"High")</f>
        <v>39.979999999999997</v>
      </c>
      <c r="K333" s="87" cm="1">
        <f t="array" aca="1" ref="K333" ca="1">_FV(A333,"Low")</f>
        <v>38.65</v>
      </c>
      <c r="L333" s="87" cm="1">
        <f t="array" aca="1" ref="L333" ca="1">_FV(A333,"52 week high",TRUE)</f>
        <v>39.99</v>
      </c>
      <c r="M333" s="230">
        <f ca="1">+L333*0.9</f>
        <v>35.991</v>
      </c>
      <c r="N333" s="231">
        <f ca="1">+L333*0.95</f>
        <v>37.990499999999997</v>
      </c>
      <c r="O333" s="223" cm="1">
        <f t="array" aca="1" ref="O333" ca="1">_FV(A333,"52 week low",TRUE)</f>
        <v>9.2149999999999999</v>
      </c>
      <c r="P333" s="223">
        <v>22</v>
      </c>
      <c r="Q333" s="232">
        <f ca="1">GESTEP(D333,M333)</f>
        <v>1</v>
      </c>
      <c r="R333" s="232">
        <f ca="1">GESTEP(D333,N333)</f>
        <v>1</v>
      </c>
      <c r="S333" s="87" t="s">
        <v>75</v>
      </c>
      <c r="T333" s="87" t="s">
        <v>78</v>
      </c>
      <c r="U333" s="87" t="s">
        <v>26</v>
      </c>
      <c r="V333" s="57">
        <v>45880</v>
      </c>
      <c r="W333" s="57">
        <v>45884</v>
      </c>
      <c r="X333" s="87" t="s">
        <v>234</v>
      </c>
      <c r="Y333" s="87">
        <v>14.95</v>
      </c>
      <c r="Z333" s="87">
        <v>14.95</v>
      </c>
      <c r="AA333" s="87" t="e">
        <f>+Tabla2[[#This Row],[Precio compra]]+Tabla2[[#This Row],[Div.]]</f>
        <v>#VALUE!</v>
      </c>
      <c r="AB333" s="87"/>
      <c r="AC333" s="87">
        <v>16.45</v>
      </c>
      <c r="AD333" s="87" t="e">
        <f>+Tabla2[[#This Row],[Objetivo div2]]+Tabla2[[#This Row],[Div.]]</f>
        <v>#VALUE!</v>
      </c>
      <c r="AE333" s="65">
        <f ca="1">IF(Z333="-",+AC333/Y333-1,AC333/D333-1)</f>
        <v>-0.58238131505458246</v>
      </c>
      <c r="AF333" s="87">
        <v>24.71</v>
      </c>
      <c r="AG333" s="87">
        <f ca="1">IF(Z333="-",+AF333/D333-1,AF333/D333-1)</f>
        <v>-0.37268342218837269</v>
      </c>
      <c r="AH333" s="87">
        <v>12.34</v>
      </c>
      <c r="AI333" s="90">
        <f ca="1">IF(Z333="-",AH333/Y333-1,+AH333/D333-1)</f>
        <v>-0.68672251840568665</v>
      </c>
      <c r="AJ333" s="66">
        <f ca="1">IF(Z333="-","-",+(D333/Z333)-1)</f>
        <v>1.6347826086956525</v>
      </c>
      <c r="AK333" s="90" t="e">
        <f>IF(AA333="-","-",+(D333/AA333)-1)</f>
        <v>#VALUE!</v>
      </c>
      <c r="AL333" s="150">
        <v>17.899999999999999</v>
      </c>
      <c r="AM333" s="219">
        <f t="shared" si="63"/>
        <v>0.19732441471571893</v>
      </c>
      <c r="AN333" s="28">
        <f t="shared" ca="1" si="144"/>
        <v>1.2005586592178772</v>
      </c>
      <c r="AO333">
        <v>769</v>
      </c>
      <c r="AP333" s="5">
        <f t="shared" ca="1" si="148"/>
        <v>39.39</v>
      </c>
      <c r="AQ333" s="5">
        <f t="shared" ca="1" si="145"/>
        <v>30290.91</v>
      </c>
      <c r="AR333" s="75">
        <f t="shared" si="146"/>
        <v>17.899999999999999</v>
      </c>
      <c r="AS333" s="5">
        <f t="shared" si="147"/>
        <v>13765.099999999999</v>
      </c>
      <c r="AT333" s="193">
        <f t="shared" ca="1" si="149"/>
        <v>16525.810000000001</v>
      </c>
      <c r="AU333" s="28">
        <f t="shared" ca="1" si="138"/>
        <v>6.0806117214878726E-2</v>
      </c>
    </row>
    <row r="334" spans="1:49" x14ac:dyDescent="0.2">
      <c r="A334" s="87" t="e" vm="184">
        <v>#VALUE!</v>
      </c>
      <c r="B334" s="87" t="s">
        <v>282</v>
      </c>
      <c r="C334" s="233" cm="1">
        <f t="array" aca="1" ref="C334" ca="1">_FV(A334,"Change (%)",TRUE)</f>
        <v>-3.1840000000000002E-3</v>
      </c>
      <c r="D334" s="87" cm="1">
        <f t="array" aca="1" ref="D334" ca="1">_FV(A334,"Price")</f>
        <v>322.43</v>
      </c>
      <c r="E334" s="65">
        <v>-0.1890376128639546</v>
      </c>
      <c r="F334" s="65">
        <v>0.58100135833471156</v>
      </c>
      <c r="G334" s="65"/>
      <c r="H334" s="65"/>
      <c r="I334" s="87">
        <v>159.87312499999999</v>
      </c>
      <c r="J334" s="87">
        <v>198.9</v>
      </c>
      <c r="K334" s="87">
        <v>193.13</v>
      </c>
      <c r="L334" s="87">
        <v>198.9</v>
      </c>
      <c r="M334" s="230">
        <v>179.01000000000002</v>
      </c>
      <c r="N334" s="231">
        <v>188.95499999999998</v>
      </c>
      <c r="O334" s="223">
        <v>53.6</v>
      </c>
      <c r="P334" s="223">
        <v>296</v>
      </c>
      <c r="Q334" s="232">
        <v>1</v>
      </c>
      <c r="R334" s="232">
        <v>1</v>
      </c>
      <c r="S334" s="87" t="s">
        <v>75</v>
      </c>
      <c r="T334" s="87" t="s">
        <v>78</v>
      </c>
      <c r="U334" s="87" t="s">
        <v>26</v>
      </c>
      <c r="V334" s="57">
        <v>45663</v>
      </c>
      <c r="W334" s="57">
        <v>45663</v>
      </c>
      <c r="X334" s="87" t="s">
        <v>11</v>
      </c>
      <c r="Y334" s="87">
        <v>126.62</v>
      </c>
      <c r="Z334" s="87">
        <v>124.69312500000001</v>
      </c>
      <c r="AA334" s="87">
        <v>124.76</v>
      </c>
      <c r="AB334" s="87">
        <v>6.687499999999999E-2</v>
      </c>
      <c r="AC334" s="87">
        <v>159.87312499999999</v>
      </c>
      <c r="AD334" s="87">
        <v>159.94</v>
      </c>
      <c r="AE334" s="65">
        <v>-0.1890376128639546</v>
      </c>
      <c r="AF334" s="87">
        <v>192.45</v>
      </c>
      <c r="AG334" s="87">
        <v>-2.379019985796893E-2</v>
      </c>
      <c r="AH334" s="87">
        <v>109.893125</v>
      </c>
      <c r="AI334" s="90">
        <v>-0.44256302627574307</v>
      </c>
      <c r="AJ334" s="66">
        <v>0.58100135833471156</v>
      </c>
      <c r="AK334" s="90">
        <v>0.58015389547932017</v>
      </c>
      <c r="AL334" s="150">
        <v>198</v>
      </c>
      <c r="AM334" s="219">
        <f t="shared" si="63"/>
        <v>0.58789829030269303</v>
      </c>
      <c r="AN334" s="28">
        <f t="shared" ca="1" si="144"/>
        <v>0.62843434343434357</v>
      </c>
      <c r="AO334">
        <v>32</v>
      </c>
      <c r="AP334" s="5">
        <f t="shared" ref="AP334:AP339" ca="1" si="150">+D334</f>
        <v>322.43</v>
      </c>
      <c r="AQ334" s="5">
        <f t="shared" ca="1" si="145"/>
        <v>10317.76</v>
      </c>
      <c r="AR334" s="75">
        <f t="shared" si="146"/>
        <v>198</v>
      </c>
      <c r="AS334" s="5">
        <f t="shared" si="147"/>
        <v>6336</v>
      </c>
      <c r="AT334" s="193">
        <f t="shared" ref="AT334:AT340" ca="1" si="151">+AQ334-AS334</f>
        <v>3981.76</v>
      </c>
      <c r="AU334" s="28">
        <f t="shared" ca="1" si="138"/>
        <v>1.4650741190992484E-2</v>
      </c>
    </row>
    <row r="335" spans="1:49" x14ac:dyDescent="0.2">
      <c r="A335" s="87" t="e" vm="307">
        <v>#VALUE!</v>
      </c>
      <c r="B335" s="87" t="s">
        <v>293</v>
      </c>
      <c r="C335" s="233" cm="1">
        <f t="array" aca="1" ref="C335" ca="1">_FV(A335,"Change (%)",TRUE)</f>
        <v>-1.7555000000000001E-2</v>
      </c>
      <c r="D335" s="87" cm="1">
        <f t="array" aca="1" ref="D335" ca="1">_FV(A335,"Price")</f>
        <v>7.5549999999999997</v>
      </c>
      <c r="E335" s="65">
        <v>-0.22211981566820282</v>
      </c>
      <c r="F335" s="65">
        <v>0.49531422271223802</v>
      </c>
      <c r="G335" s="65"/>
      <c r="H335" s="65"/>
      <c r="I335" s="87">
        <f>4.22-H335</f>
        <v>4.22</v>
      </c>
      <c r="J335" s="87">
        <v>5.4950000000000001</v>
      </c>
      <c r="K335" s="87">
        <v>5.3550000000000004</v>
      </c>
      <c r="L335" s="87">
        <v>5.4950000000000001</v>
      </c>
      <c r="M335" s="230">
        <v>4.9455</v>
      </c>
      <c r="N335" s="231">
        <v>5.2202500000000001</v>
      </c>
      <c r="O335" s="223">
        <v>2.65</v>
      </c>
      <c r="P335" s="223">
        <v>156</v>
      </c>
      <c r="Q335" s="232">
        <v>1</v>
      </c>
      <c r="R335" s="232">
        <v>1</v>
      </c>
      <c r="S335" s="87" t="s">
        <v>166</v>
      </c>
      <c r="T335" s="87" t="s">
        <v>78</v>
      </c>
      <c r="U335" s="87" t="s">
        <v>72</v>
      </c>
      <c r="V335" s="57">
        <v>45824</v>
      </c>
      <c r="W335" s="57">
        <v>45824</v>
      </c>
      <c r="X335" s="87"/>
      <c r="Y335" s="87">
        <v>3.6360000000000001</v>
      </c>
      <c r="Z335" s="87">
        <f>3.628-AB335</f>
        <v>3.6280000000000001</v>
      </c>
      <c r="AA335" s="87">
        <v>3.6280000000000001</v>
      </c>
      <c r="AB335" s="87">
        <f>+'dividendos 26'!E241</f>
        <v>0</v>
      </c>
      <c r="AC335" s="87">
        <f>4.22-AB335</f>
        <v>4.22</v>
      </c>
      <c r="AD335" s="87">
        <v>4.22</v>
      </c>
      <c r="AE335" s="65">
        <v>-0.22211981566820282</v>
      </c>
      <c r="AF335" s="87">
        <v>6.3</v>
      </c>
      <c r="AG335" s="87">
        <v>0.16129032258064524</v>
      </c>
      <c r="AH335" s="87">
        <v>3.24</v>
      </c>
      <c r="AI335" s="90">
        <v>-0.40276497695852531</v>
      </c>
      <c r="AJ335" s="66">
        <f ca="1">IF(Z335="-","-",+(D335/Z335)-1)</f>
        <v>1.0824145534729879</v>
      </c>
      <c r="AK335" s="90">
        <f ca="1">IF(AA335="-","-",+(D335/AA335)-1)</f>
        <v>1.0824145534729879</v>
      </c>
      <c r="AL335" s="150">
        <v>5.47</v>
      </c>
      <c r="AM335" s="219">
        <f t="shared" si="63"/>
        <v>0.50771775082690174</v>
      </c>
      <c r="AN335" s="28">
        <f t="shared" ref="AN335:AN340" ca="1" si="152">+D335/AL335-1</f>
        <v>0.38117001828153563</v>
      </c>
      <c r="AO335">
        <v>3000</v>
      </c>
      <c r="AP335" s="5">
        <f t="shared" ca="1" si="150"/>
        <v>7.5549999999999997</v>
      </c>
      <c r="AQ335" s="5">
        <f t="shared" ref="AQ335:AQ340" ca="1" si="153">+AO335*AP335</f>
        <v>22665</v>
      </c>
      <c r="AR335" s="75">
        <f t="shared" ref="AR335:AR340" si="154">+AL335</f>
        <v>5.47</v>
      </c>
      <c r="AS335" s="5">
        <f t="shared" ref="AS335:AS340" si="155">+AO335*AR335</f>
        <v>16410</v>
      </c>
      <c r="AT335" s="193">
        <f t="shared" ca="1" si="151"/>
        <v>6255</v>
      </c>
      <c r="AU335" s="28">
        <f t="shared" ref="AU335:AU340" ca="1" si="156">+AT335/$AT$342</f>
        <v>2.3015045143267798E-2</v>
      </c>
    </row>
    <row r="336" spans="1:49" x14ac:dyDescent="0.2">
      <c r="A336" s="87" t="e" vm="308">
        <v>#VALUE!</v>
      </c>
      <c r="B336" s="87" t="s">
        <v>295</v>
      </c>
      <c r="C336" s="233" cm="1">
        <f t="array" aca="1" ref="C336" ca="1">_FV(A336,"Change (%)",TRUE)</f>
        <v>-1.7934000000000002E-2</v>
      </c>
      <c r="D336" s="87" cm="1">
        <f t="array" aca="1" ref="D336" ca="1">_FV(A336,"Price")</f>
        <v>127.59</v>
      </c>
      <c r="E336" s="65">
        <v>-1.5580606727155777E-3</v>
      </c>
      <c r="F336" s="65">
        <v>0.23093411552346566</v>
      </c>
      <c r="G336" s="65"/>
      <c r="H336" s="65"/>
      <c r="I336" s="87">
        <v>108.94</v>
      </c>
      <c r="J336" s="87">
        <v>109.59</v>
      </c>
      <c r="K336" s="87">
        <v>107.17</v>
      </c>
      <c r="L336" s="87">
        <v>109.59</v>
      </c>
      <c r="M336" s="230">
        <v>98.631</v>
      </c>
      <c r="N336" s="231">
        <v>104.1105</v>
      </c>
      <c r="O336" s="223">
        <v>79.81</v>
      </c>
      <c r="P336" s="223">
        <v>230</v>
      </c>
      <c r="Q336" s="232">
        <v>1</v>
      </c>
      <c r="R336" s="232">
        <v>1</v>
      </c>
      <c r="S336" s="87" t="s">
        <v>75</v>
      </c>
      <c r="T336" s="87" t="s">
        <v>78</v>
      </c>
      <c r="U336" s="87" t="s">
        <v>72</v>
      </c>
      <c r="V336" s="57">
        <v>45757</v>
      </c>
      <c r="W336" s="57">
        <v>45757</v>
      </c>
      <c r="X336" s="87"/>
      <c r="Y336" s="87">
        <v>89.01</v>
      </c>
      <c r="Z336" s="87">
        <v>88.64</v>
      </c>
      <c r="AA336" s="87">
        <v>88.64</v>
      </c>
      <c r="AB336" s="87"/>
      <c r="AC336" s="87">
        <v>108.94</v>
      </c>
      <c r="AD336" s="87">
        <v>108.94</v>
      </c>
      <c r="AE336" s="65">
        <v>-1.5580606727155777E-3</v>
      </c>
      <c r="AF336" s="87">
        <v>113.83</v>
      </c>
      <c r="AG336" s="87">
        <v>4.3259096324809843E-2</v>
      </c>
      <c r="AH336" s="87">
        <v>78.94</v>
      </c>
      <c r="AI336" s="90">
        <v>-0.27650994409311702</v>
      </c>
      <c r="AJ336" s="66">
        <v>0.23093411552346566</v>
      </c>
      <c r="AK336" s="90">
        <v>0.23093411552346566</v>
      </c>
      <c r="AL336" s="150">
        <v>108.94</v>
      </c>
      <c r="AM336" s="219">
        <f t="shared" si="63"/>
        <v>0.22901624548736454</v>
      </c>
      <c r="AN336" s="28">
        <f t="shared" ca="1" si="152"/>
        <v>0.17119515329539192</v>
      </c>
      <c r="AO336">
        <v>120</v>
      </c>
      <c r="AP336" s="5">
        <f t="shared" ca="1" si="150"/>
        <v>127.59</v>
      </c>
      <c r="AQ336" s="5">
        <f t="shared" ca="1" si="153"/>
        <v>15310.800000000001</v>
      </c>
      <c r="AR336" s="75">
        <f t="shared" si="154"/>
        <v>108.94</v>
      </c>
      <c r="AS336" s="5">
        <f t="shared" si="155"/>
        <v>13072.8</v>
      </c>
      <c r="AT336" s="193">
        <f t="shared" ca="1" si="151"/>
        <v>2238.0000000000018</v>
      </c>
      <c r="AU336" s="28">
        <f t="shared" ca="1" si="156"/>
        <v>8.234639653178796E-3</v>
      </c>
    </row>
    <row r="337" spans="1:47" x14ac:dyDescent="0.2">
      <c r="A337" s="87" t="e" vm="309">
        <v>#VALUE!</v>
      </c>
      <c r="B337" s="87" t="s">
        <v>242</v>
      </c>
      <c r="C337" s="233" cm="1">
        <f t="array" aca="1" ref="C337" ca="1">_FV(A337,"Change (%)",TRUE)</f>
        <v>-6.4249999999999993E-3</v>
      </c>
      <c r="D337" s="87" cm="1">
        <f t="array" aca="1" ref="D337" ca="1">_FV(A337,"Price")</f>
        <v>77.319999999999993</v>
      </c>
      <c r="E337" s="65">
        <v>-6.0181451612903225E-2</v>
      </c>
      <c r="F337" s="65">
        <v>0.27752736638763675</v>
      </c>
      <c r="G337" s="65"/>
      <c r="H337" s="65"/>
      <c r="I337" s="87">
        <v>93.23</v>
      </c>
      <c r="J337" s="87">
        <v>99.81</v>
      </c>
      <c r="K337" s="87">
        <v>95.66</v>
      </c>
      <c r="L337" s="87">
        <v>104.53</v>
      </c>
      <c r="M337" s="230">
        <v>94.076999999999998</v>
      </c>
      <c r="N337" s="231">
        <v>99.3035</v>
      </c>
      <c r="O337" s="223">
        <v>48.370100000000001</v>
      </c>
      <c r="P337" s="223">
        <v>319</v>
      </c>
      <c r="Q337" s="232">
        <v>1</v>
      </c>
      <c r="R337" s="232">
        <v>0</v>
      </c>
      <c r="S337" s="87" t="s">
        <v>75</v>
      </c>
      <c r="T337" s="87" t="s">
        <v>78</v>
      </c>
      <c r="U337" s="87" t="s">
        <v>88</v>
      </c>
      <c r="V337" s="57">
        <v>45674</v>
      </c>
      <c r="W337" s="57">
        <v>45674</v>
      </c>
      <c r="X337" s="87" t="s">
        <v>11</v>
      </c>
      <c r="Y337" s="87">
        <v>78.510000000000005</v>
      </c>
      <c r="Z337" s="87">
        <v>77.650000000000006</v>
      </c>
      <c r="AA337" s="87">
        <v>78</v>
      </c>
      <c r="AB337" s="87">
        <v>0.35</v>
      </c>
      <c r="AC337" s="87">
        <v>93.23</v>
      </c>
      <c r="AD337" s="87">
        <v>93.58</v>
      </c>
      <c r="AE337" s="65">
        <v>-6.0181451612903225E-2</v>
      </c>
      <c r="AF337" s="87">
        <v>94.66</v>
      </c>
      <c r="AG337" s="87">
        <v>-4.5766129032258074E-2</v>
      </c>
      <c r="AH337" s="87">
        <v>70.63000000000001</v>
      </c>
      <c r="AI337" s="90">
        <v>-0.28800403225806448</v>
      </c>
      <c r="AJ337" s="66">
        <v>0.27752736638763675</v>
      </c>
      <c r="AK337" s="90">
        <v>0.27179487179487194</v>
      </c>
      <c r="AL337" s="150">
        <v>99.5</v>
      </c>
      <c r="AM337" s="219">
        <f t="shared" si="63"/>
        <v>0.28139085640695427</v>
      </c>
      <c r="AN337" s="28">
        <f t="shared" ca="1" si="152"/>
        <v>-0.2229145728643217</v>
      </c>
      <c r="AO337">
        <v>140</v>
      </c>
      <c r="AP337" s="5">
        <f t="shared" ca="1" si="150"/>
        <v>77.319999999999993</v>
      </c>
      <c r="AQ337" s="5">
        <f t="shared" ca="1" si="153"/>
        <v>10824.8</v>
      </c>
      <c r="AR337" s="75">
        <f t="shared" si="154"/>
        <v>99.5</v>
      </c>
      <c r="AS337" s="5">
        <f t="shared" si="155"/>
        <v>13930</v>
      </c>
      <c r="AT337" s="193">
        <f t="shared" ca="1" si="151"/>
        <v>-3105.2000000000007</v>
      </c>
      <c r="AU337" s="28">
        <f t="shared" ca="1" si="156"/>
        <v>-1.1425470532194273E-2</v>
      </c>
    </row>
    <row r="338" spans="1:47" x14ac:dyDescent="0.2">
      <c r="A338" s="87" t="e" vm="310">
        <v>#VALUE!</v>
      </c>
      <c r="B338" s="87" t="s">
        <v>300</v>
      </c>
      <c r="C338" s="233" cm="1">
        <f t="array" aca="1" ref="C338" ca="1">_FV(A338,"Change (%)",TRUE)</f>
        <v>1.1000000000000001E-3</v>
      </c>
      <c r="D338" s="87" cm="1">
        <f t="array" aca="1" ref="D338" ca="1">_FV(A338,"Price")</f>
        <v>81.900000000000006</v>
      </c>
      <c r="E338" s="65">
        <v>-0.53818181818181821</v>
      </c>
      <c r="F338" s="65">
        <v>1.1721958925750395</v>
      </c>
      <c r="G338" s="65"/>
      <c r="H338" s="65">
        <v>-1.8181818181818188E-2</v>
      </c>
      <c r="I338" s="87">
        <v>31.75</v>
      </c>
      <c r="J338" s="87">
        <v>69.459999999999994</v>
      </c>
      <c r="K338" s="87">
        <v>67.8</v>
      </c>
      <c r="L338" s="87">
        <v>69.459999999999994</v>
      </c>
      <c r="M338" s="230">
        <v>62.513999999999996</v>
      </c>
      <c r="N338" s="231">
        <v>65.986999999999995</v>
      </c>
      <c r="O338" s="223">
        <v>17.239999999999998</v>
      </c>
      <c r="P338" s="223">
        <v>344</v>
      </c>
      <c r="Q338" s="232">
        <v>1</v>
      </c>
      <c r="R338" s="232">
        <v>1</v>
      </c>
      <c r="S338" s="87" t="s">
        <v>76</v>
      </c>
      <c r="T338" s="87" t="s">
        <v>78</v>
      </c>
      <c r="U338" s="87" t="s">
        <v>88</v>
      </c>
      <c r="V338" s="57">
        <v>45652</v>
      </c>
      <c r="W338" s="57">
        <v>45652</v>
      </c>
      <c r="X338" s="87"/>
      <c r="Y338" s="87" t="s">
        <v>11</v>
      </c>
      <c r="Z338" s="87">
        <v>31.65</v>
      </c>
      <c r="AA338" s="87">
        <v>31.65</v>
      </c>
      <c r="AB338" s="87"/>
      <c r="AC338" s="87">
        <v>31.75</v>
      </c>
      <c r="AD338" s="87">
        <v>48</v>
      </c>
      <c r="AE338" s="65">
        <v>-0.53818181818181821</v>
      </c>
      <c r="AF338" s="87">
        <v>67.5</v>
      </c>
      <c r="AG338" s="87">
        <v>-1.8181818181818188E-2</v>
      </c>
      <c r="AH338" s="87" t="s">
        <v>11</v>
      </c>
      <c r="AI338" s="90" t="e">
        <v>#VALUE!</v>
      </c>
      <c r="AJ338" s="66">
        <v>1.1721958925750395</v>
      </c>
      <c r="AK338" s="90">
        <v>1.1721958925750395</v>
      </c>
      <c r="AL338" s="150">
        <v>69</v>
      </c>
      <c r="AM338" s="219">
        <v>1.1800947867298581</v>
      </c>
      <c r="AN338" s="28">
        <f t="shared" ca="1" si="152"/>
        <v>0.18695652173913047</v>
      </c>
      <c r="AO338">
        <v>120</v>
      </c>
      <c r="AP338" s="5">
        <f t="shared" ca="1" si="150"/>
        <v>81.900000000000006</v>
      </c>
      <c r="AQ338" s="5">
        <f t="shared" ca="1" si="153"/>
        <v>9828</v>
      </c>
      <c r="AR338" s="75">
        <f t="shared" si="154"/>
        <v>69</v>
      </c>
      <c r="AS338" s="5">
        <f t="shared" si="155"/>
        <v>8280</v>
      </c>
      <c r="AT338" s="193">
        <f t="shared" ca="1" si="151"/>
        <v>1548</v>
      </c>
      <c r="AU338" s="28">
        <f t="shared" ca="1" si="156"/>
        <v>5.6958097332979298E-3</v>
      </c>
    </row>
    <row r="339" spans="1:47" x14ac:dyDescent="0.2">
      <c r="A339" s="87" t="e" vm="311">
        <v>#VALUE!</v>
      </c>
      <c r="B339" s="87" t="s">
        <v>210</v>
      </c>
      <c r="C339" s="233" cm="1">
        <f t="array" aca="1" ref="C339" ca="1">_FV(A339,"Change (%)",TRUE)</f>
        <v>-2.9205999999999999E-2</v>
      </c>
      <c r="D339" s="87" cm="1">
        <f t="array" aca="1" ref="D339" ca="1">_FV(A339,"Price")</f>
        <v>404.86</v>
      </c>
      <c r="E339" s="65">
        <v>-7.3760044333610497E-2</v>
      </c>
      <c r="F339" s="65">
        <v>0.40500908383078138</v>
      </c>
      <c r="G339" s="65"/>
      <c r="H339" s="65">
        <v>-8.8500969797727924E-2</v>
      </c>
      <c r="I339" s="87">
        <v>250.70999999999998</v>
      </c>
      <c r="J339" s="87">
        <v>273.58999999999997</v>
      </c>
      <c r="K339" s="87">
        <v>268.22000000000003</v>
      </c>
      <c r="L339" s="87">
        <v>273.58999999999997</v>
      </c>
      <c r="M339" s="230">
        <v>246.23099999999999</v>
      </c>
      <c r="N339" s="231">
        <v>259.91049999999996</v>
      </c>
      <c r="O339" s="223">
        <v>123.73650000000001</v>
      </c>
      <c r="P339" s="223">
        <v>319</v>
      </c>
      <c r="Q339" s="232">
        <v>1</v>
      </c>
      <c r="R339" s="232">
        <v>1</v>
      </c>
      <c r="S339" s="87" t="s">
        <v>75</v>
      </c>
      <c r="T339" s="87" t="s">
        <v>78</v>
      </c>
      <c r="U339" s="87" t="s">
        <v>88</v>
      </c>
      <c r="V339" s="57">
        <v>45677</v>
      </c>
      <c r="W339" s="57">
        <v>45677</v>
      </c>
      <c r="X339" s="87" t="s">
        <v>11</v>
      </c>
      <c r="Y339" s="87">
        <v>193.51</v>
      </c>
      <c r="Z339" s="87">
        <v>192.64999999999998</v>
      </c>
      <c r="AA339" s="87">
        <v>193.51</v>
      </c>
      <c r="AB339" s="87">
        <v>0.8600000000000001</v>
      </c>
      <c r="AC339" s="87">
        <v>250.70999999999998</v>
      </c>
      <c r="AD339" s="87">
        <v>251.57</v>
      </c>
      <c r="AE339" s="65">
        <v>-7.3760044333610497E-2</v>
      </c>
      <c r="AF339" s="87">
        <v>246.72</v>
      </c>
      <c r="AG339" s="87">
        <v>-8.8500969797727924E-2</v>
      </c>
      <c r="AH339" s="87">
        <v>163.61999999999998</v>
      </c>
      <c r="AI339" s="90">
        <v>-0.39551122194513733</v>
      </c>
      <c r="AJ339" s="66">
        <v>0.40500908383078138</v>
      </c>
      <c r="AK339" s="90">
        <v>0.39876492170947242</v>
      </c>
      <c r="AL339" s="150">
        <v>271</v>
      </c>
      <c r="AM339" s="219">
        <v>0.40669608097586307</v>
      </c>
      <c r="AN339" s="28">
        <f t="shared" ca="1" si="152"/>
        <v>0.49394833948339478</v>
      </c>
      <c r="AO339">
        <v>55</v>
      </c>
      <c r="AP339" s="5">
        <f t="shared" ca="1" si="150"/>
        <v>404.86</v>
      </c>
      <c r="AQ339" s="5">
        <f t="shared" ca="1" si="153"/>
        <v>22267.3</v>
      </c>
      <c r="AR339" s="75">
        <f t="shared" si="154"/>
        <v>271</v>
      </c>
      <c r="AS339" s="5">
        <f t="shared" si="155"/>
        <v>14905</v>
      </c>
      <c r="AT339" s="193">
        <f t="shared" ca="1" si="151"/>
        <v>7362.2999999999993</v>
      </c>
      <c r="AU339" s="28">
        <f ca="1">+AT339/$AT$342</f>
        <v>2.7089315245128774E-2</v>
      </c>
    </row>
    <row r="340" spans="1:47" x14ac:dyDescent="0.2">
      <c r="A340" s="87" t="e" vm="312">
        <v>#VALUE!</v>
      </c>
      <c r="B340" s="87" t="s">
        <v>312</v>
      </c>
      <c r="C340" s="233" cm="1">
        <f t="array" aca="1" ref="C340" ca="1">_FV(A340,"Change (%)",TRUE)</f>
        <v>7.7149999999999996E-3</v>
      </c>
      <c r="D340" s="87" cm="1">
        <f t="array" aca="1" ref="D340" ca="1">_FV(A340,"Price")</f>
        <v>10.45</v>
      </c>
      <c r="E340" s="65">
        <v>0.33771106941838647</v>
      </c>
      <c r="F340" s="65">
        <v>0.21875</v>
      </c>
      <c r="G340" s="65"/>
      <c r="H340" s="65">
        <v>-0.1369606003752345</v>
      </c>
      <c r="I340" s="87">
        <v>21.39</v>
      </c>
      <c r="J340" s="87">
        <v>16.594999999999999</v>
      </c>
      <c r="K340" s="87">
        <v>15.94</v>
      </c>
      <c r="L340" s="87">
        <v>19.84</v>
      </c>
      <c r="M340" s="230">
        <v>17.856000000000002</v>
      </c>
      <c r="N340" s="231">
        <v>18.847999999999999</v>
      </c>
      <c r="O340" s="223">
        <v>9.3800000000000008</v>
      </c>
      <c r="P340" s="223">
        <v>76</v>
      </c>
      <c r="Q340" s="232">
        <v>0</v>
      </c>
      <c r="R340" s="232">
        <v>0</v>
      </c>
      <c r="S340" s="87" t="s">
        <v>75</v>
      </c>
      <c r="T340" s="87" t="s">
        <v>78</v>
      </c>
      <c r="U340" s="87" t="s">
        <v>88</v>
      </c>
      <c r="V340" s="57">
        <v>45929</v>
      </c>
      <c r="W340" s="57">
        <v>45931</v>
      </c>
      <c r="X340" s="87" t="s">
        <v>243</v>
      </c>
      <c r="Y340" s="87">
        <v>13.26</v>
      </c>
      <c r="Z340" s="87">
        <v>13.12</v>
      </c>
      <c r="AA340" s="87">
        <v>13.12</v>
      </c>
      <c r="AB340" s="87"/>
      <c r="AC340" s="87">
        <v>21.39</v>
      </c>
      <c r="AD340" s="87">
        <v>21.39</v>
      </c>
      <c r="AE340" s="65">
        <v>0.33771106941838647</v>
      </c>
      <c r="AF340" s="87">
        <v>13.8</v>
      </c>
      <c r="AG340" s="87">
        <v>-0.1369606003752345</v>
      </c>
      <c r="AH340" s="87">
        <v>17.87</v>
      </c>
      <c r="AI340" s="90">
        <v>0.11757348342714202</v>
      </c>
      <c r="AJ340" s="66">
        <v>0.21875</v>
      </c>
      <c r="AK340" s="90">
        <v>0.21875</v>
      </c>
      <c r="AL340" s="150">
        <v>15.98</v>
      </c>
      <c r="AM340" s="219">
        <v>0.21798780487804881</v>
      </c>
      <c r="AN340" s="28">
        <f t="shared" ca="1" si="152"/>
        <v>-0.34605757196495623</v>
      </c>
      <c r="AO340">
        <v>430</v>
      </c>
      <c r="AP340" s="5">
        <f ca="1">+D340</f>
        <v>10.45</v>
      </c>
      <c r="AQ340" s="5">
        <f t="shared" ca="1" si="153"/>
        <v>4493.5</v>
      </c>
      <c r="AR340" s="75">
        <f t="shared" si="154"/>
        <v>15.98</v>
      </c>
      <c r="AS340" s="5">
        <f t="shared" si="155"/>
        <v>6871.4000000000005</v>
      </c>
      <c r="AT340" s="193">
        <f t="shared" ca="1" si="151"/>
        <v>-2377.9000000000005</v>
      </c>
      <c r="AU340" s="28">
        <f t="shared" ca="1" si="156"/>
        <v>-8.7493966180937667E-3</v>
      </c>
    </row>
    <row r="341" spans="1:47" x14ac:dyDescent="0.2">
      <c r="A341" s="87"/>
      <c r="B341" s="87"/>
      <c r="C341" s="310"/>
      <c r="D341" s="87"/>
      <c r="E341" s="65"/>
      <c r="F341" s="65"/>
      <c r="G341" s="65"/>
      <c r="H341" s="65"/>
      <c r="I341" s="87"/>
      <c r="J341" s="87"/>
      <c r="K341" s="87"/>
      <c r="L341" s="87"/>
      <c r="M341" s="87"/>
      <c r="N341" s="311"/>
      <c r="O341" s="223"/>
      <c r="P341" s="223"/>
      <c r="Q341" s="312"/>
      <c r="R341" s="312"/>
      <c r="S341" s="87"/>
      <c r="T341" s="87"/>
      <c r="U341" s="87"/>
      <c r="V341" s="57"/>
      <c r="W341" s="57"/>
      <c r="X341" s="87"/>
      <c r="Y341" s="87"/>
      <c r="Z341" s="87"/>
      <c r="AA341" s="87"/>
      <c r="AB341" s="87"/>
      <c r="AC341" s="87"/>
      <c r="AD341" s="87"/>
      <c r="AE341" s="65"/>
      <c r="AF341" s="87"/>
      <c r="AG341" s="87"/>
      <c r="AH341" s="87"/>
      <c r="AI341" s="90"/>
      <c r="AJ341" s="66"/>
      <c r="AK341" s="90"/>
      <c r="AL341" s="150"/>
      <c r="AM341" s="219"/>
      <c r="AN341" s="28"/>
      <c r="AU341" s="28"/>
    </row>
    <row r="342" spans="1:47" x14ac:dyDescent="0.2">
      <c r="A342" s="116" t="s">
        <v>110</v>
      </c>
      <c r="B342" s="79"/>
      <c r="C342" s="216"/>
      <c r="E342" s="47"/>
      <c r="F342" s="47"/>
      <c r="G342" s="47"/>
      <c r="H342" s="47"/>
      <c r="I342" s="79"/>
      <c r="T342" s="113"/>
      <c r="U342" s="113"/>
      <c r="V342" s="16"/>
      <c r="W342" s="16"/>
      <c r="X342" s="88"/>
      <c r="Y342" s="79"/>
      <c r="Z342" s="79"/>
      <c r="AA342" s="79"/>
      <c r="AB342" s="79"/>
      <c r="AC342" s="79"/>
      <c r="AD342" s="79"/>
      <c r="AE342" s="47"/>
      <c r="AK342" s="47"/>
      <c r="AN342" s="148">
        <f ca="1">SUM(AN255:AN341)</f>
        <v>26.903011722671923</v>
      </c>
      <c r="AT342" s="193">
        <f ca="1">SUM(AT255:AT341)</f>
        <v>271778.74129999999</v>
      </c>
      <c r="AU342" s="148"/>
    </row>
    <row r="343" spans="1:47" ht="15" customHeight="1" x14ac:dyDescent="0.2">
      <c r="A343" s="83" t="e" vm="313">
        <v>#VALUE!</v>
      </c>
      <c r="B343" s="83" t="str" cm="1">
        <f t="array" aca="1" ref="B343" ca="1">_FV(A343,"Ticker symbol",TRUE)</f>
        <v>GTHX</v>
      </c>
      <c r="C343" s="49"/>
      <c r="D343" s="83">
        <v>3.76</v>
      </c>
      <c r="E343" s="46"/>
      <c r="F343" s="46"/>
      <c r="G343" s="46"/>
      <c r="H343" s="46"/>
      <c r="I343" s="86">
        <v>5.19</v>
      </c>
      <c r="J343" s="83"/>
      <c r="K343" s="83"/>
      <c r="S343" s="83" t="s">
        <v>76</v>
      </c>
      <c r="T343" s="112" t="s">
        <v>78</v>
      </c>
      <c r="U343" s="112"/>
      <c r="V343" s="93">
        <v>45338</v>
      </c>
      <c r="W343" s="94" t="s">
        <v>11</v>
      </c>
      <c r="X343" s="85">
        <v>4.04</v>
      </c>
      <c r="Y343" s="83">
        <v>4.1100000000000003</v>
      </c>
      <c r="Z343" s="83" t="s">
        <v>11</v>
      </c>
      <c r="AA343" s="83"/>
      <c r="AB343" s="83"/>
      <c r="AC343" s="86">
        <v>5.19</v>
      </c>
      <c r="AD343" s="86"/>
      <c r="AE343" s="46">
        <f>IF(D343="-",+AC343/Y343-1,AC343/D343-1)</f>
        <v>0.38031914893617036</v>
      </c>
      <c r="AF343" s="86" t="s">
        <v>11</v>
      </c>
      <c r="AG343" s="89" t="s">
        <v>11</v>
      </c>
      <c r="AH343" s="86">
        <v>3.57</v>
      </c>
      <c r="AI343" s="89">
        <f t="shared" ref="AI343:AI374" si="157">IF(Z343="-",AH343/Y343-1,+AH343/D343-1)</f>
        <v>-0.13138686131386867</v>
      </c>
      <c r="AJ343" s="49" t="str">
        <f t="shared" ref="AJ343:AJ374" si="158">IF(Z343="-","-",+(D343/Z343)-1)</f>
        <v>-</v>
      </c>
      <c r="AK343" s="46"/>
      <c r="AL343" s="83"/>
      <c r="AM343" s="49" t="str">
        <f t="shared" ref="AM343:AM374" si="159">IF(AL343=0,"-",+AL343/Z343-1)</f>
        <v>-</v>
      </c>
      <c r="AN343" s="148">
        <f t="shared" ref="AN343:AN374" si="160">+D343/Y343-1</f>
        <v>-8.5158150851581627E-2</v>
      </c>
      <c r="AU343" s="148"/>
    </row>
    <row r="344" spans="1:47" ht="15" customHeight="1" x14ac:dyDescent="0.2">
      <c r="A344" s="83" t="e" vm="314">
        <v>#VALUE!</v>
      </c>
      <c r="B344" s="83" t="str" cm="1">
        <f t="array" aca="1" ref="B344" ca="1">_FV(A344,"Ticker symbol",TRUE)</f>
        <v>VMEO</v>
      </c>
      <c r="C344" s="49"/>
      <c r="D344" s="83" cm="1">
        <f t="array" aca="1" ref="D344" ca="1">_FV(A344,"Price")</f>
        <v>7.85</v>
      </c>
      <c r="E344" s="46"/>
      <c r="F344" s="46"/>
      <c r="G344" s="46"/>
      <c r="H344" s="46"/>
      <c r="I344" s="84">
        <v>6.22</v>
      </c>
      <c r="J344" s="83"/>
      <c r="K344" s="83"/>
      <c r="S344" s="83" t="s">
        <v>75</v>
      </c>
      <c r="T344" s="112" t="s">
        <v>78</v>
      </c>
      <c r="U344" s="112"/>
      <c r="V344" s="93">
        <v>45355</v>
      </c>
      <c r="W344" s="93" t="s">
        <v>11</v>
      </c>
      <c r="X344" s="85"/>
      <c r="Y344" s="84">
        <v>4.8600000000000003</v>
      </c>
      <c r="Z344" s="84" t="s">
        <v>11</v>
      </c>
      <c r="AA344" s="84"/>
      <c r="AB344" s="84"/>
      <c r="AC344" s="84">
        <v>6.22</v>
      </c>
      <c r="AD344" s="84"/>
      <c r="AE344" s="46">
        <f t="shared" ref="AE344:AE376" si="161">IF(Z344="-",+AC344/Y344-1,AC344/D344-1)</f>
        <v>0.27983539094650189</v>
      </c>
      <c r="AF344" s="86">
        <v>6.9</v>
      </c>
      <c r="AG344" s="89">
        <f ca="1">IF(Z344="-",+AF344/D344-1,AF344/Z344-1)</f>
        <v>-0.12101910828025464</v>
      </c>
      <c r="AH344" s="86">
        <v>4.18</v>
      </c>
      <c r="AI344" s="89">
        <f t="shared" si="157"/>
        <v>-0.13991769547325117</v>
      </c>
      <c r="AJ344" s="49" t="str">
        <f t="shared" si="158"/>
        <v>-</v>
      </c>
      <c r="AK344" s="46"/>
      <c r="AL344" s="83"/>
      <c r="AM344" s="49" t="str">
        <f t="shared" si="159"/>
        <v>-</v>
      </c>
      <c r="AN344" s="148">
        <f t="shared" ca="1" si="160"/>
        <v>0.61522633744855959</v>
      </c>
      <c r="AU344" s="148"/>
    </row>
    <row r="345" spans="1:47" ht="15" customHeight="1" x14ac:dyDescent="0.2">
      <c r="A345" s="83" t="e" vm="315">
        <v>#VALUE!</v>
      </c>
      <c r="B345" s="83" t="str" cm="1">
        <f t="array" aca="1" ref="B345" ca="1">_FV(A345,"Ticker symbol",TRUE)</f>
        <v>RXT</v>
      </c>
      <c r="C345" s="49"/>
      <c r="D345" s="83" cm="1">
        <f t="array" aca="1" ref="D345" ca="1">_FV(A345,"Price")</f>
        <v>1.5349999999999999</v>
      </c>
      <c r="E345" s="46"/>
      <c r="F345" s="46"/>
      <c r="G345" s="46"/>
      <c r="H345" s="46"/>
      <c r="I345" s="84">
        <v>2.83</v>
      </c>
      <c r="J345" s="83"/>
      <c r="K345" s="83"/>
      <c r="S345" s="83" t="s">
        <v>76</v>
      </c>
      <c r="T345" s="112" t="s">
        <v>78</v>
      </c>
      <c r="U345" s="112"/>
      <c r="V345" s="93">
        <v>45345</v>
      </c>
      <c r="W345" s="93" t="s">
        <v>11</v>
      </c>
      <c r="X345" s="85">
        <v>2.0499999999999998</v>
      </c>
      <c r="Y345" s="84">
        <v>2.15</v>
      </c>
      <c r="Z345" s="84" t="s">
        <v>11</v>
      </c>
      <c r="AA345" s="84"/>
      <c r="AB345" s="84"/>
      <c r="AC345" s="84">
        <v>2.83</v>
      </c>
      <c r="AD345" s="84"/>
      <c r="AE345" s="46">
        <f t="shared" si="161"/>
        <v>0.31627906976744202</v>
      </c>
      <c r="AF345" s="86" t="s">
        <v>11</v>
      </c>
      <c r="AG345" s="89" t="s">
        <v>11</v>
      </c>
      <c r="AH345" s="86">
        <v>1.83</v>
      </c>
      <c r="AI345" s="89">
        <f t="shared" si="157"/>
        <v>-0.14883720930232547</v>
      </c>
      <c r="AJ345" s="49" t="str">
        <f t="shared" si="158"/>
        <v>-</v>
      </c>
      <c r="AK345" s="46"/>
      <c r="AL345" s="83"/>
      <c r="AM345" s="49" t="str">
        <f t="shared" si="159"/>
        <v>-</v>
      </c>
      <c r="AN345" s="148">
        <f t="shared" ca="1" si="160"/>
        <v>-0.28604651162790695</v>
      </c>
      <c r="AU345" s="148"/>
    </row>
    <row r="346" spans="1:47" ht="15" customHeight="1" x14ac:dyDescent="0.2">
      <c r="A346" s="83" t="e" vm="316">
        <v>#VALUE!</v>
      </c>
      <c r="B346" s="83" t="str" cm="1">
        <f t="array" aca="1" ref="B346" ca="1">_FV(A346,"Ticker symbol",TRUE)</f>
        <v>RUI</v>
      </c>
      <c r="C346" s="49"/>
      <c r="D346" s="83" cm="1">
        <f t="array" aca="1" ref="D346" ca="1">_FV(A346,"Price")</f>
        <v>34</v>
      </c>
      <c r="E346" s="46"/>
      <c r="F346" s="46"/>
      <c r="G346" s="46"/>
      <c r="H346" s="46"/>
      <c r="I346" s="84">
        <v>33.46</v>
      </c>
      <c r="J346" s="83"/>
      <c r="K346" s="83"/>
      <c r="S346" s="83" t="s">
        <v>76</v>
      </c>
      <c r="T346" s="112" t="s">
        <v>78</v>
      </c>
      <c r="U346" s="112"/>
      <c r="V346" s="93">
        <v>45362</v>
      </c>
      <c r="W346" s="93" t="s">
        <v>11</v>
      </c>
      <c r="X346" s="85" t="s">
        <v>11</v>
      </c>
      <c r="Y346" s="84">
        <v>27.22</v>
      </c>
      <c r="Z346" s="84" t="s">
        <v>11</v>
      </c>
      <c r="AA346" s="84"/>
      <c r="AB346" s="84"/>
      <c r="AC346" s="84">
        <v>33.46</v>
      </c>
      <c r="AD346" s="84"/>
      <c r="AE346" s="46">
        <f t="shared" si="161"/>
        <v>0.2292432035268186</v>
      </c>
      <c r="AF346" s="86" t="s">
        <v>11</v>
      </c>
      <c r="AG346" s="89" t="s">
        <v>11</v>
      </c>
      <c r="AH346" s="86">
        <v>24.1</v>
      </c>
      <c r="AI346" s="89">
        <f t="shared" si="157"/>
        <v>-0.11462160176340919</v>
      </c>
      <c r="AJ346" s="49" t="str">
        <f t="shared" si="158"/>
        <v>-</v>
      </c>
      <c r="AK346" s="46"/>
      <c r="AL346" s="83"/>
      <c r="AM346" s="49" t="str">
        <f t="shared" si="159"/>
        <v>-</v>
      </c>
      <c r="AN346" s="148">
        <f t="shared" ca="1" si="160"/>
        <v>0.24908155767817797</v>
      </c>
      <c r="AU346" s="148"/>
    </row>
    <row r="347" spans="1:47" ht="15" customHeight="1" x14ac:dyDescent="0.2">
      <c r="A347" s="83" t="e" vm="317">
        <v>#VALUE!</v>
      </c>
      <c r="B347" s="83" t="str" cm="1">
        <f t="array" aca="1" ref="B347" ca="1">_FV(A347,"Ticker symbol",TRUE)</f>
        <v>APGE</v>
      </c>
      <c r="C347" s="49"/>
      <c r="D347" s="83" cm="1">
        <f t="array" aca="1" ref="D347" ca="1">_FV(A347,"Price")</f>
        <v>86.47</v>
      </c>
      <c r="E347" s="46"/>
      <c r="F347" s="46"/>
      <c r="G347" s="46"/>
      <c r="H347" s="46"/>
      <c r="I347" s="84">
        <v>49.68</v>
      </c>
      <c r="J347" s="83"/>
      <c r="K347" s="83"/>
      <c r="S347" s="83" t="s">
        <v>76</v>
      </c>
      <c r="T347" s="112" t="s">
        <v>78</v>
      </c>
      <c r="U347" s="112"/>
      <c r="V347" s="93">
        <v>45356</v>
      </c>
      <c r="W347" s="94" t="s">
        <v>11</v>
      </c>
      <c r="X347" s="85" t="s">
        <v>99</v>
      </c>
      <c r="Y347" s="84">
        <v>41.74</v>
      </c>
      <c r="Z347" s="84" t="s">
        <v>11</v>
      </c>
      <c r="AA347" s="84"/>
      <c r="AB347" s="84"/>
      <c r="AC347" s="84">
        <v>49.68</v>
      </c>
      <c r="AD347" s="84"/>
      <c r="AE347" s="46">
        <f t="shared" si="161"/>
        <v>0.19022520364159079</v>
      </c>
      <c r="AF347" s="86" t="s">
        <v>11</v>
      </c>
      <c r="AG347" s="89" t="s">
        <v>11</v>
      </c>
      <c r="AH347" s="86">
        <v>37.770000000000003</v>
      </c>
      <c r="AI347" s="89">
        <f t="shared" si="157"/>
        <v>-9.5112601820795395E-2</v>
      </c>
      <c r="AJ347" s="49" t="str">
        <f t="shared" si="158"/>
        <v>-</v>
      </c>
      <c r="AK347" s="46"/>
      <c r="AL347" s="83"/>
      <c r="AM347" s="49" t="str">
        <f t="shared" si="159"/>
        <v>-</v>
      </c>
      <c r="AN347" s="148">
        <f t="shared" ca="1" si="160"/>
        <v>1.0716339242932436</v>
      </c>
      <c r="AU347" s="148"/>
    </row>
    <row r="348" spans="1:47" ht="16" customHeight="1" x14ac:dyDescent="0.2">
      <c r="A348" s="83" t="e" vm="318">
        <v>#VALUE!</v>
      </c>
      <c r="B348" s="83" t="str" cm="1">
        <f t="array" aca="1" ref="B348" ca="1">_FV(A348,"Ticker symbol",TRUE)</f>
        <v>SANA</v>
      </c>
      <c r="C348" s="49"/>
      <c r="D348" s="83" cm="1">
        <f t="array" aca="1" ref="D348" ca="1">_FV(A348,"Price")</f>
        <v>3.26</v>
      </c>
      <c r="E348" s="46"/>
      <c r="F348" s="46"/>
      <c r="G348" s="46"/>
      <c r="H348" s="46"/>
      <c r="I348" s="84">
        <v>12.89</v>
      </c>
      <c r="J348" s="83"/>
      <c r="K348" s="83"/>
      <c r="S348" s="83" t="s">
        <v>76</v>
      </c>
      <c r="T348" s="112" t="s">
        <v>78</v>
      </c>
      <c r="U348" s="112"/>
      <c r="V348" s="93">
        <v>45352</v>
      </c>
      <c r="W348" s="93" t="s">
        <v>11</v>
      </c>
      <c r="X348" s="85">
        <v>9.15</v>
      </c>
      <c r="Y348" s="84">
        <v>10.15</v>
      </c>
      <c r="Z348" s="84" t="s">
        <v>11</v>
      </c>
      <c r="AA348" s="84"/>
      <c r="AB348" s="84"/>
      <c r="AC348" s="84">
        <v>12.89</v>
      </c>
      <c r="AD348" s="84"/>
      <c r="AE348" s="46">
        <f t="shared" si="161"/>
        <v>0.26995073891625609</v>
      </c>
      <c r="AF348" s="86" t="s">
        <v>11</v>
      </c>
      <c r="AG348" s="89" t="s">
        <v>11</v>
      </c>
      <c r="AH348" s="86">
        <v>8.7799999999999994</v>
      </c>
      <c r="AI348" s="89">
        <f t="shared" si="157"/>
        <v>-0.13497536945812816</v>
      </c>
      <c r="AJ348" s="49" t="str">
        <f t="shared" si="158"/>
        <v>-</v>
      </c>
      <c r="AK348" s="46"/>
      <c r="AL348" s="83"/>
      <c r="AM348" s="49" t="str">
        <f t="shared" si="159"/>
        <v>-</v>
      </c>
      <c r="AN348" s="148">
        <f t="shared" ca="1" si="160"/>
        <v>-0.67881773399014778</v>
      </c>
      <c r="AU348" s="148"/>
    </row>
    <row r="349" spans="1:47" ht="16" customHeight="1" x14ac:dyDescent="0.2">
      <c r="A349" s="83" t="e" vm="319">
        <v>#VALUE!</v>
      </c>
      <c r="B349" s="83" t="str" cm="1">
        <f t="array" aca="1" ref="B349" ca="1">_FV(A349,"Ticker symbol",TRUE)</f>
        <v>INFN</v>
      </c>
      <c r="C349" s="49"/>
      <c r="D349" s="83" cm="1">
        <f t="array" aca="1" ref="D349" ca="1">_FV(A349,"Price")</f>
        <v>6.64</v>
      </c>
      <c r="E349" s="46"/>
      <c r="F349" s="46"/>
      <c r="G349" s="46"/>
      <c r="H349" s="46"/>
      <c r="I349" s="84">
        <v>6.59</v>
      </c>
      <c r="J349" s="83"/>
      <c r="K349" s="83"/>
      <c r="S349" s="83" t="s">
        <v>76</v>
      </c>
      <c r="T349" s="112" t="s">
        <v>78</v>
      </c>
      <c r="U349" s="112"/>
      <c r="V349" s="93">
        <v>45338</v>
      </c>
      <c r="W349" s="94" t="s">
        <v>11</v>
      </c>
      <c r="X349" s="85">
        <v>5.23</v>
      </c>
      <c r="Y349" s="84">
        <v>5.32</v>
      </c>
      <c r="Z349" s="84" t="s">
        <v>11</v>
      </c>
      <c r="AA349" s="84"/>
      <c r="AB349" s="84"/>
      <c r="AC349" s="84">
        <v>6.59</v>
      </c>
      <c r="AD349" s="84"/>
      <c r="AE349" s="46">
        <f t="shared" si="161"/>
        <v>0.238721804511278</v>
      </c>
      <c r="AF349" s="86" t="s">
        <v>11</v>
      </c>
      <c r="AG349" s="89" t="s">
        <v>11</v>
      </c>
      <c r="AH349" s="86">
        <v>4.71</v>
      </c>
      <c r="AI349" s="89">
        <f t="shared" si="157"/>
        <v>-0.11466165413533835</v>
      </c>
      <c r="AJ349" s="49" t="str">
        <f t="shared" si="158"/>
        <v>-</v>
      </c>
      <c r="AK349" s="46"/>
      <c r="AL349" s="83"/>
      <c r="AM349" s="49" t="str">
        <f t="shared" si="159"/>
        <v>-</v>
      </c>
      <c r="AN349" s="148">
        <f t="shared" ca="1" si="160"/>
        <v>0.24812030075187952</v>
      </c>
      <c r="AU349" s="148"/>
    </row>
    <row r="350" spans="1:47" ht="16" customHeight="1" x14ac:dyDescent="0.2">
      <c r="A350" s="83" t="e" vm="320">
        <v>#VALUE!</v>
      </c>
      <c r="B350" s="83" t="str" cm="1">
        <f t="array" aca="1" ref="B350" ca="1">_FV(A350,"Ticker symbol",TRUE)</f>
        <v>GEV</v>
      </c>
      <c r="C350" s="49"/>
      <c r="D350" s="83" cm="1">
        <f t="array" aca="1" ref="D350" ca="1">_FV(A350,"Price")</f>
        <v>1120.07</v>
      </c>
      <c r="E350" s="46"/>
      <c r="F350" s="46"/>
      <c r="G350" s="46"/>
      <c r="H350" s="46"/>
      <c r="I350" s="84">
        <v>188.82</v>
      </c>
      <c r="J350" s="83"/>
      <c r="K350" s="83"/>
      <c r="S350" s="83" t="s">
        <v>75</v>
      </c>
      <c r="T350" s="112" t="s">
        <v>78</v>
      </c>
      <c r="U350" s="112"/>
      <c r="V350" s="93">
        <v>45411</v>
      </c>
      <c r="W350" s="94" t="s">
        <v>11</v>
      </c>
      <c r="X350" s="85"/>
      <c r="Y350" s="84">
        <v>153.26</v>
      </c>
      <c r="Z350" s="84" t="s">
        <v>11</v>
      </c>
      <c r="AA350" s="84"/>
      <c r="AB350" s="84"/>
      <c r="AC350" s="84">
        <v>188.82</v>
      </c>
      <c r="AD350" s="84"/>
      <c r="AE350" s="46">
        <f t="shared" si="161"/>
        <v>0.23202401148375307</v>
      </c>
      <c r="AF350" s="86">
        <v>206.6</v>
      </c>
      <c r="AG350" s="89">
        <f ca="1">IF(Z350="-",+AF350/D350-1,AF350/AC350-1)</f>
        <v>-0.81554724258305278</v>
      </c>
      <c r="AH350" s="86">
        <v>135.47999999999999</v>
      </c>
      <c r="AI350" s="89">
        <f t="shared" si="157"/>
        <v>-0.11601200574187653</v>
      </c>
      <c r="AJ350" s="49" t="str">
        <f t="shared" si="158"/>
        <v>-</v>
      </c>
      <c r="AK350" s="46"/>
      <c r="AL350" s="83"/>
      <c r="AM350" s="49" t="str">
        <f t="shared" si="159"/>
        <v>-</v>
      </c>
      <c r="AN350" s="148">
        <f t="shared" ca="1" si="160"/>
        <v>6.3082996215581364</v>
      </c>
      <c r="AU350" s="148"/>
    </row>
    <row r="351" spans="1:47" x14ac:dyDescent="0.2">
      <c r="A351" s="83" t="e" vm="321">
        <v>#VALUE!</v>
      </c>
      <c r="B351" s="83" t="str" cm="1">
        <f t="array" aca="1" ref="B351" ca="1">_FV(A351,"Ticker symbol",TRUE)</f>
        <v>CTT</v>
      </c>
      <c r="C351" s="49"/>
      <c r="D351" s="83" cm="1">
        <f t="array" aca="1" ref="D351" ca="1">_FV(A351,"Price")</f>
        <v>6.3650000000000002</v>
      </c>
      <c r="E351" s="46"/>
      <c r="F351" s="46"/>
      <c r="G351" s="46"/>
      <c r="H351" s="46"/>
      <c r="I351" s="84">
        <v>5.09</v>
      </c>
      <c r="J351" s="83"/>
      <c r="K351" s="83"/>
      <c r="S351" s="83" t="s">
        <v>75</v>
      </c>
      <c r="T351" s="112" t="s">
        <v>78</v>
      </c>
      <c r="U351" s="112"/>
      <c r="V351" s="93">
        <v>45376</v>
      </c>
      <c r="W351" s="94" t="s">
        <v>11</v>
      </c>
      <c r="X351" s="85"/>
      <c r="Y351" s="95">
        <v>4.0549999999999997</v>
      </c>
      <c r="Z351" s="84" t="s">
        <v>11</v>
      </c>
      <c r="AA351" s="84"/>
      <c r="AB351" s="84"/>
      <c r="AC351" s="84">
        <v>5.09</v>
      </c>
      <c r="AD351" s="84"/>
      <c r="AE351" s="46">
        <f t="shared" si="161"/>
        <v>0.2552404438964242</v>
      </c>
      <c r="AF351" s="86">
        <v>5.6</v>
      </c>
      <c r="AG351" s="89">
        <f ca="1">IF(Z351="-",+AF351/D351-1,AF351/Z351-1)</f>
        <v>-0.12018853102906524</v>
      </c>
      <c r="AH351" s="86">
        <v>3.54</v>
      </c>
      <c r="AI351" s="89">
        <f t="shared" si="157"/>
        <v>-0.12700369913686804</v>
      </c>
      <c r="AJ351" s="49" t="str">
        <f t="shared" si="158"/>
        <v>-</v>
      </c>
      <c r="AK351" s="46"/>
      <c r="AL351" s="83"/>
      <c r="AM351" s="49" t="str">
        <f t="shared" si="159"/>
        <v>-</v>
      </c>
      <c r="AN351" s="148">
        <f t="shared" ca="1" si="160"/>
        <v>0.56966707768187441</v>
      </c>
      <c r="AU351" s="148"/>
    </row>
    <row r="352" spans="1:47" ht="16" customHeight="1" x14ac:dyDescent="0.2">
      <c r="A352" s="83" t="e" vm="322">
        <v>#VALUE!</v>
      </c>
      <c r="B352" s="83" t="str" cm="1">
        <f t="array" aca="1" ref="B352" ca="1">_FV(A352,"Ticker symbol",TRUE)</f>
        <v>HAG</v>
      </c>
      <c r="C352" s="49"/>
      <c r="D352" s="83" cm="1">
        <f t="array" aca="1" ref="D352" ca="1">_FV(A352,"Price")</f>
        <v>73.84</v>
      </c>
      <c r="E352" s="46"/>
      <c r="F352" s="46"/>
      <c r="G352" s="46"/>
      <c r="H352" s="46"/>
      <c r="I352" s="84">
        <v>46.94</v>
      </c>
      <c r="J352" s="83"/>
      <c r="K352" s="83"/>
      <c r="S352" s="83" t="s">
        <v>75</v>
      </c>
      <c r="T352" s="112" t="s">
        <v>78</v>
      </c>
      <c r="U352" s="112"/>
      <c r="V352" s="93">
        <v>45376</v>
      </c>
      <c r="W352" s="94" t="s">
        <v>11</v>
      </c>
      <c r="X352" s="85"/>
      <c r="Y352" s="84">
        <v>37.299999999999997</v>
      </c>
      <c r="Z352" s="84" t="s">
        <v>11</v>
      </c>
      <c r="AA352" s="84"/>
      <c r="AB352" s="84"/>
      <c r="AC352" s="84">
        <v>46.94</v>
      </c>
      <c r="AD352" s="84"/>
      <c r="AE352" s="46">
        <f t="shared" si="161"/>
        <v>0.25844504021447734</v>
      </c>
      <c r="AF352" s="86">
        <v>51.76</v>
      </c>
      <c r="AG352" s="89">
        <f t="shared" ref="AG352:AG361" ca="1" si="162">IF(Z352="-",+AF352/D352-1,AF352/AC352-1)</f>
        <v>-0.29902491874322867</v>
      </c>
      <c r="AH352" s="86">
        <v>32.479999999999997</v>
      </c>
      <c r="AI352" s="89">
        <f t="shared" si="157"/>
        <v>-0.12922252010723867</v>
      </c>
      <c r="AJ352" s="49" t="str">
        <f t="shared" si="158"/>
        <v>-</v>
      </c>
      <c r="AK352" s="46"/>
      <c r="AL352" s="83"/>
      <c r="AM352" s="49" t="str">
        <f t="shared" si="159"/>
        <v>-</v>
      </c>
      <c r="AN352" s="148">
        <f t="shared" ca="1" si="160"/>
        <v>0.97962466487935673</v>
      </c>
      <c r="AU352" s="148"/>
    </row>
    <row r="353" spans="1:47" ht="16" customHeight="1" x14ac:dyDescent="0.2">
      <c r="A353" s="83" t="e" vm="323">
        <v>#VALUE!</v>
      </c>
      <c r="B353" s="83" t="str" cm="1">
        <f t="array" aca="1" ref="B353" ca="1">_FV(A353,"Ticker symbol",TRUE)</f>
        <v>CPNG</v>
      </c>
      <c r="C353" s="49"/>
      <c r="D353" s="83" cm="1">
        <f t="array" aca="1" ref="D353" ca="1">_FV(A353,"Price")</f>
        <v>20.49</v>
      </c>
      <c r="E353" s="46"/>
      <c r="F353" s="46"/>
      <c r="G353" s="46"/>
      <c r="H353" s="46"/>
      <c r="I353" s="84">
        <v>27.88</v>
      </c>
      <c r="J353" s="83"/>
      <c r="K353" s="83"/>
      <c r="S353" s="83" t="s">
        <v>75</v>
      </c>
      <c r="T353" s="112" t="s">
        <v>78</v>
      </c>
      <c r="U353" s="112"/>
      <c r="V353" s="93">
        <v>45397</v>
      </c>
      <c r="W353" s="94" t="s">
        <v>11</v>
      </c>
      <c r="X353" s="85"/>
      <c r="Y353" s="84">
        <v>21.61</v>
      </c>
      <c r="Z353" s="84" t="s">
        <v>11</v>
      </c>
      <c r="AA353" s="84"/>
      <c r="AB353" s="84"/>
      <c r="AC353" s="84">
        <v>27.88</v>
      </c>
      <c r="AD353" s="84"/>
      <c r="AE353" s="46">
        <f t="shared" si="161"/>
        <v>0.29014345210550663</v>
      </c>
      <c r="AF353" s="86">
        <v>31</v>
      </c>
      <c r="AG353" s="89">
        <f t="shared" ca="1" si="162"/>
        <v>0.51293313811615437</v>
      </c>
      <c r="AH353" s="86">
        <v>18.48</v>
      </c>
      <c r="AI353" s="89">
        <f t="shared" si="157"/>
        <v>-0.14484035168903286</v>
      </c>
      <c r="AJ353" s="49" t="str">
        <f t="shared" si="158"/>
        <v>-</v>
      </c>
      <c r="AK353" s="46"/>
      <c r="AL353" s="83"/>
      <c r="AM353" s="49" t="str">
        <f t="shared" si="159"/>
        <v>-</v>
      </c>
      <c r="AN353" s="148">
        <f t="shared" ca="1" si="160"/>
        <v>-5.1827857473392025E-2</v>
      </c>
      <c r="AU353" s="148"/>
    </row>
    <row r="354" spans="1:47" ht="16" customHeight="1" x14ac:dyDescent="0.2">
      <c r="A354" s="83" t="e" vm="324">
        <v>#VALUE!</v>
      </c>
      <c r="B354" s="83" t="str" cm="1">
        <f t="array" aca="1" ref="B354" ca="1">_FV(A354,"Ticker symbol",TRUE)</f>
        <v>PHIN</v>
      </c>
      <c r="C354" s="49"/>
      <c r="D354" s="83" cm="1">
        <f t="array" aca="1" ref="D354" ca="1">_FV(A354,"Price")</f>
        <v>72.14</v>
      </c>
      <c r="E354" s="46"/>
      <c r="F354" s="46"/>
      <c r="G354" s="46"/>
      <c r="H354" s="46"/>
      <c r="I354" s="84">
        <v>45.79</v>
      </c>
      <c r="J354" s="83"/>
      <c r="K354" s="83"/>
      <c r="S354" s="83" t="s">
        <v>75</v>
      </c>
      <c r="T354" s="112" t="s">
        <v>78</v>
      </c>
      <c r="U354" s="112"/>
      <c r="V354" s="93">
        <v>45404</v>
      </c>
      <c r="W354" s="94" t="s">
        <v>11</v>
      </c>
      <c r="X354" s="85"/>
      <c r="Y354" s="84">
        <v>38.299999999999997</v>
      </c>
      <c r="Z354" s="84" t="s">
        <v>11</v>
      </c>
      <c r="AA354" s="84"/>
      <c r="AB354" s="84"/>
      <c r="AC354" s="84">
        <v>45.79</v>
      </c>
      <c r="AD354" s="84"/>
      <c r="AE354" s="46">
        <f t="shared" si="161"/>
        <v>0.19556135770234984</v>
      </c>
      <c r="AF354" s="86">
        <v>49.79</v>
      </c>
      <c r="AG354" s="89">
        <f t="shared" ca="1" si="162"/>
        <v>-0.30981425006930974</v>
      </c>
      <c r="AH354" s="86">
        <v>33.82</v>
      </c>
      <c r="AI354" s="89">
        <f t="shared" si="157"/>
        <v>-0.11697127937336804</v>
      </c>
      <c r="AJ354" s="49" t="str">
        <f t="shared" si="158"/>
        <v>-</v>
      </c>
      <c r="AK354" s="46"/>
      <c r="AL354" s="83"/>
      <c r="AM354" s="49" t="str">
        <f t="shared" si="159"/>
        <v>-</v>
      </c>
      <c r="AN354" s="148">
        <f t="shared" ca="1" si="160"/>
        <v>0.88355091383812034</v>
      </c>
      <c r="AU354" s="148"/>
    </row>
    <row r="355" spans="1:47" ht="16" customHeight="1" x14ac:dyDescent="0.2">
      <c r="A355" s="83" t="e" vm="325">
        <v>#VALUE!</v>
      </c>
      <c r="B355" s="83" t="str" cm="1">
        <f t="array" aca="1" ref="B355" ca="1">_FV(A355,"Ticker symbol",TRUE)</f>
        <v>TER</v>
      </c>
      <c r="C355" s="49"/>
      <c r="D355" s="83" cm="1">
        <f t="array" aca="1" ref="D355" ca="1">_FV(A355,"Price")</f>
        <v>401.98</v>
      </c>
      <c r="E355" s="46"/>
      <c r="F355" s="46"/>
      <c r="G355" s="46"/>
      <c r="H355" s="46"/>
      <c r="I355" s="84">
        <v>154.85</v>
      </c>
      <c r="J355" s="83"/>
      <c r="K355" s="83"/>
      <c r="S355" s="83" t="s">
        <v>75</v>
      </c>
      <c r="T355" s="112" t="s">
        <v>78</v>
      </c>
      <c r="U355" s="112"/>
      <c r="V355" s="93">
        <v>45418</v>
      </c>
      <c r="W355" s="94" t="s">
        <v>11</v>
      </c>
      <c r="X355" s="85"/>
      <c r="Y355" s="84">
        <v>120.91</v>
      </c>
      <c r="Z355" s="84" t="s">
        <v>11</v>
      </c>
      <c r="AA355" s="84"/>
      <c r="AB355" s="84"/>
      <c r="AC355" s="84">
        <v>154.85</v>
      </c>
      <c r="AD355" s="84"/>
      <c r="AE355" s="46">
        <f t="shared" si="161"/>
        <v>0.2807046563559672</v>
      </c>
      <c r="AF355" s="86">
        <v>171.94</v>
      </c>
      <c r="AG355" s="89">
        <f t="shared" ca="1" si="162"/>
        <v>-0.57226727697895419</v>
      </c>
      <c r="AH355" s="86">
        <v>103.94</v>
      </c>
      <c r="AI355" s="89">
        <f t="shared" si="157"/>
        <v>-0.1403523281779836</v>
      </c>
      <c r="AJ355" s="49" t="str">
        <f t="shared" si="158"/>
        <v>-</v>
      </c>
      <c r="AK355" s="46"/>
      <c r="AL355" s="83"/>
      <c r="AM355" s="49" t="str">
        <f t="shared" si="159"/>
        <v>-</v>
      </c>
      <c r="AN355" s="148">
        <f t="shared" ca="1" si="160"/>
        <v>2.3246216193863205</v>
      </c>
      <c r="AU355" s="148"/>
    </row>
    <row r="356" spans="1:47" ht="16" customHeight="1" x14ac:dyDescent="0.2">
      <c r="A356" s="83" t="e" vm="326">
        <v>#VALUE!</v>
      </c>
      <c r="B356" s="83" t="str" cm="1">
        <f t="array" aca="1" ref="B356" ca="1">_FV(A356,"Ticker symbol",TRUE)</f>
        <v>BCP</v>
      </c>
      <c r="C356" s="49"/>
      <c r="D356" s="118" cm="1">
        <f t="array" aca="1" ref="D356" ca="1">_FV(A356,"Price")</f>
        <v>0.87039999999999995</v>
      </c>
      <c r="E356" s="46"/>
      <c r="F356" s="46"/>
      <c r="G356" s="46"/>
      <c r="H356" s="46"/>
      <c r="I356" s="117">
        <v>0.44219999999999998</v>
      </c>
      <c r="J356" s="118"/>
      <c r="K356" s="118"/>
      <c r="S356" s="83" t="s">
        <v>75</v>
      </c>
      <c r="T356" s="112" t="s">
        <v>78</v>
      </c>
      <c r="U356" s="112"/>
      <c r="V356" s="93">
        <v>45425</v>
      </c>
      <c r="W356" s="94" t="s">
        <v>11</v>
      </c>
      <c r="X356" s="85"/>
      <c r="Y356" s="117">
        <v>0.3402</v>
      </c>
      <c r="Z356" s="84" t="s">
        <v>11</v>
      </c>
      <c r="AA356" s="84"/>
      <c r="AB356" s="84"/>
      <c r="AC356" s="117">
        <v>0.44219999999999998</v>
      </c>
      <c r="AD356" s="117"/>
      <c r="AE356" s="46">
        <f t="shared" si="161"/>
        <v>0.29982363315696636</v>
      </c>
      <c r="AF356" s="119">
        <v>0.49320000000000003</v>
      </c>
      <c r="AG356" s="89">
        <f t="shared" ca="1" si="162"/>
        <v>-0.43336397058823528</v>
      </c>
      <c r="AH356" s="86">
        <v>0.28920000000000001</v>
      </c>
      <c r="AI356" s="89">
        <f t="shared" si="157"/>
        <v>-0.14991181657848318</v>
      </c>
      <c r="AJ356" s="49" t="str">
        <f t="shared" si="158"/>
        <v>-</v>
      </c>
      <c r="AK356" s="46"/>
      <c r="AL356" s="83"/>
      <c r="AM356" s="49" t="str">
        <f t="shared" si="159"/>
        <v>-</v>
      </c>
      <c r="AN356" s="148">
        <f t="shared" ca="1" si="160"/>
        <v>1.5584950029394471</v>
      </c>
      <c r="AU356" s="148"/>
    </row>
    <row r="357" spans="1:47" ht="16" customHeight="1" x14ac:dyDescent="0.2">
      <c r="A357" s="83" t="e" vm="327">
        <v>#VALUE!</v>
      </c>
      <c r="B357" s="83" t="str" cm="1">
        <f t="array" aca="1" ref="B357" ca="1">_FV(A357,"Ticker symbol",TRUE)</f>
        <v>RED</v>
      </c>
      <c r="C357" s="49"/>
      <c r="D357" s="83" cm="1">
        <f t="array" aca="1" ref="D357" ca="1">_FV(A357,"Price")</f>
        <v>14.94</v>
      </c>
      <c r="E357" s="46"/>
      <c r="F357" s="46"/>
      <c r="G357" s="46"/>
      <c r="H357" s="46"/>
      <c r="I357" s="84">
        <v>17.5</v>
      </c>
      <c r="J357" s="83"/>
      <c r="K357" s="83"/>
      <c r="S357" s="83" t="s">
        <v>75</v>
      </c>
      <c r="T357" s="112" t="s">
        <v>77</v>
      </c>
      <c r="U357" s="112"/>
      <c r="V357" s="93">
        <v>45372</v>
      </c>
      <c r="W357" s="94" t="s">
        <v>11</v>
      </c>
      <c r="X357" s="85"/>
      <c r="Y357" s="84">
        <v>15.86</v>
      </c>
      <c r="Z357" s="84" t="s">
        <v>11</v>
      </c>
      <c r="AA357" s="84"/>
      <c r="AB357" s="84"/>
      <c r="AC357" s="84">
        <v>17.5</v>
      </c>
      <c r="AD357" s="84"/>
      <c r="AE357" s="46">
        <f t="shared" si="161"/>
        <v>0.10340479192938212</v>
      </c>
      <c r="AF357" s="86">
        <v>18.5</v>
      </c>
      <c r="AG357" s="89">
        <f t="shared" ca="1" si="162"/>
        <v>0.23828647925033475</v>
      </c>
      <c r="AH357" s="86">
        <v>15.35</v>
      </c>
      <c r="AI357" s="89">
        <f t="shared" si="157"/>
        <v>-3.2156368221942011E-2</v>
      </c>
      <c r="AJ357" s="49" t="str">
        <f t="shared" si="158"/>
        <v>-</v>
      </c>
      <c r="AK357" s="46"/>
      <c r="AL357" s="83"/>
      <c r="AM357" s="49" t="str">
        <f t="shared" si="159"/>
        <v>-</v>
      </c>
      <c r="AN357" s="148">
        <f t="shared" ca="1" si="160"/>
        <v>-5.8007566204287486E-2</v>
      </c>
      <c r="AU357" s="148"/>
    </row>
    <row r="358" spans="1:47" ht="16" customHeight="1" x14ac:dyDescent="0.2">
      <c r="A358" s="83" t="e" vm="328">
        <v>#VALUE!</v>
      </c>
      <c r="B358" s="83" t="str" cm="1">
        <f t="array" aca="1" ref="B358" ca="1">_FV(A358,"Ticker symbol",TRUE)</f>
        <v>FTK</v>
      </c>
      <c r="C358" s="49"/>
      <c r="D358" s="83" cm="1">
        <f t="array" aca="1" ref="D358" ca="1">_FV(A358,"Price")</f>
        <v>31.42</v>
      </c>
      <c r="E358" s="46"/>
      <c r="F358" s="46"/>
      <c r="G358" s="46"/>
      <c r="H358" s="46"/>
      <c r="I358" s="84">
        <v>13.81</v>
      </c>
      <c r="J358" s="83"/>
      <c r="K358" s="83"/>
      <c r="S358" s="83" t="s">
        <v>75</v>
      </c>
      <c r="T358" s="112" t="s">
        <v>78</v>
      </c>
      <c r="U358" s="112"/>
      <c r="V358" s="93">
        <v>45411</v>
      </c>
      <c r="W358" s="94" t="s">
        <v>11</v>
      </c>
      <c r="X358" s="85"/>
      <c r="Y358" s="84">
        <v>11.01</v>
      </c>
      <c r="Z358" s="84" t="s">
        <v>11</v>
      </c>
      <c r="AA358" s="84"/>
      <c r="AB358" s="84"/>
      <c r="AC358" s="84">
        <v>13.81</v>
      </c>
      <c r="AD358" s="84"/>
      <c r="AE358" s="46">
        <f t="shared" si="161"/>
        <v>0.25431425976385102</v>
      </c>
      <c r="AF358" s="86">
        <v>15.21</v>
      </c>
      <c r="AG358" s="89">
        <f t="shared" ca="1" si="162"/>
        <v>-0.51591343093570974</v>
      </c>
      <c r="AH358" s="86">
        <v>9.61</v>
      </c>
      <c r="AI358" s="89">
        <f t="shared" si="157"/>
        <v>-0.12715712988192551</v>
      </c>
      <c r="AJ358" s="49" t="str">
        <f t="shared" si="158"/>
        <v>-</v>
      </c>
      <c r="AK358" s="46"/>
      <c r="AL358" s="83"/>
      <c r="AM358" s="49" t="str">
        <f t="shared" si="159"/>
        <v>-</v>
      </c>
      <c r="AN358" s="148">
        <f t="shared" ca="1" si="160"/>
        <v>1.8537693006357858</v>
      </c>
      <c r="AU358" s="148"/>
    </row>
    <row r="359" spans="1:47" ht="16" customHeight="1" x14ac:dyDescent="0.2">
      <c r="A359" s="83" t="e" vm="329">
        <v>#VALUE!</v>
      </c>
      <c r="B359" s="83" t="str" cm="1">
        <f t="array" aca="1" ref="B359" ca="1">_FV(A359,"Ticker symbol",TRUE)</f>
        <v>BLFS</v>
      </c>
      <c r="C359" s="49"/>
      <c r="D359" s="83" cm="1">
        <f t="array" aca="1" ref="D359" ca="1">_FV(A359,"Price")</f>
        <v>21.41</v>
      </c>
      <c r="E359" s="46"/>
      <c r="F359" s="46"/>
      <c r="G359" s="46"/>
      <c r="H359" s="46"/>
      <c r="I359" s="84">
        <v>25.25</v>
      </c>
      <c r="J359" s="83"/>
      <c r="K359" s="83"/>
      <c r="S359" s="83" t="s">
        <v>75</v>
      </c>
      <c r="T359" s="112" t="s">
        <v>78</v>
      </c>
      <c r="U359" s="112"/>
      <c r="V359" s="93">
        <v>45425</v>
      </c>
      <c r="W359" s="94" t="s">
        <v>11</v>
      </c>
      <c r="X359" s="85"/>
      <c r="Y359" s="84">
        <v>19.71</v>
      </c>
      <c r="Z359" s="84" t="s">
        <v>11</v>
      </c>
      <c r="AA359" s="84"/>
      <c r="AB359" s="84"/>
      <c r="AC359" s="84">
        <v>25.25</v>
      </c>
      <c r="AD359" s="84"/>
      <c r="AE359" s="46">
        <f t="shared" si="161"/>
        <v>0.28107559614408917</v>
      </c>
      <c r="AF359" s="86">
        <v>28.02</v>
      </c>
      <c r="AG359" s="89">
        <f t="shared" ca="1" si="162"/>
        <v>0.30873423633815977</v>
      </c>
      <c r="AH359" s="86">
        <v>16.940000000000001</v>
      </c>
      <c r="AI359" s="89">
        <f t="shared" si="157"/>
        <v>-0.14053779807204458</v>
      </c>
      <c r="AJ359" s="49" t="str">
        <f t="shared" si="158"/>
        <v>-</v>
      </c>
      <c r="AK359" s="46"/>
      <c r="AL359" s="83"/>
      <c r="AM359" s="49" t="str">
        <f t="shared" si="159"/>
        <v>-</v>
      </c>
      <c r="AN359" s="148">
        <f t="shared" ca="1" si="160"/>
        <v>8.6250634195839559E-2</v>
      </c>
      <c r="AU359" s="148"/>
    </row>
    <row r="360" spans="1:47" ht="16" customHeight="1" x14ac:dyDescent="0.2">
      <c r="A360" s="83" t="e" vm="35">
        <v>#VALUE!</v>
      </c>
      <c r="B360" s="83" t="str" cm="1">
        <f t="array" aca="1" ref="B360" ca="1">_FV(A360,"Ticker symbol",TRUE)</f>
        <v>BNR</v>
      </c>
      <c r="C360" s="49"/>
      <c r="D360" s="83" cm="1">
        <f t="array" aca="1" ref="D360" ca="1">_FV(A360,"Price")</f>
        <v>60.28</v>
      </c>
      <c r="E360" s="46"/>
      <c r="F360" s="46"/>
      <c r="G360" s="46"/>
      <c r="H360" s="46"/>
      <c r="I360" s="84">
        <v>73.959999999999994</v>
      </c>
      <c r="J360" s="83"/>
      <c r="K360" s="83"/>
      <c r="S360" s="83" t="s">
        <v>75</v>
      </c>
      <c r="T360" s="112" t="s">
        <v>78</v>
      </c>
      <c r="U360" s="112"/>
      <c r="V360" s="93">
        <v>45456</v>
      </c>
      <c r="W360" s="94"/>
      <c r="X360" s="85"/>
      <c r="Y360" s="84">
        <v>66.86</v>
      </c>
      <c r="Z360" s="84"/>
      <c r="AA360" s="84" t="s">
        <v>11</v>
      </c>
      <c r="AB360" s="84"/>
      <c r="AC360" s="84">
        <v>73.959999999999994</v>
      </c>
      <c r="AD360" s="84"/>
      <c r="AE360" s="46">
        <f t="shared" ca="1" si="161"/>
        <v>0.22694094226940931</v>
      </c>
      <c r="AF360" s="86">
        <v>75.900000000000006</v>
      </c>
      <c r="AG360" s="89">
        <f t="shared" si="162"/>
        <v>2.6230394808004487E-2</v>
      </c>
      <c r="AH360" s="86">
        <v>64.239999999999995</v>
      </c>
      <c r="AI360" s="89">
        <f t="shared" ca="1" si="157"/>
        <v>6.5693430656934115E-2</v>
      </c>
      <c r="AJ360" s="49" t="e">
        <f t="shared" ca="1" si="158"/>
        <v>#DIV/0!</v>
      </c>
      <c r="AK360" s="46" t="str">
        <f t="shared" ref="AK360:AK391" si="163">IF(AA360="-","-",+(D360/AA360)-1)</f>
        <v>-</v>
      </c>
      <c r="AL360" s="83"/>
      <c r="AM360" s="49" t="str">
        <f t="shared" si="159"/>
        <v>-</v>
      </c>
      <c r="AN360" s="148">
        <f t="shared" ca="1" si="160"/>
        <v>-9.8414597666766301E-2</v>
      </c>
      <c r="AU360" s="148"/>
    </row>
    <row r="361" spans="1:47" ht="16" customHeight="1" x14ac:dyDescent="0.2">
      <c r="A361" s="83" t="e" vm="330">
        <v>#VALUE!</v>
      </c>
      <c r="B361" s="83" t="str" cm="1">
        <f t="array" aca="1" ref="B361" ca="1">_FV(A361,"Ticker symbol",TRUE)</f>
        <v>MHK</v>
      </c>
      <c r="C361" s="49"/>
      <c r="D361" s="83" cm="1">
        <f t="array" aca="1" ref="D361" ca="1">_FV(A361,"Price")</f>
        <v>107.59</v>
      </c>
      <c r="E361" s="46"/>
      <c r="F361" s="46"/>
      <c r="G361" s="46"/>
      <c r="H361" s="46"/>
      <c r="I361" s="84">
        <v>159.19</v>
      </c>
      <c r="J361" s="83" cm="1">
        <f t="array" aca="1" ref="J361" ca="1">_FV(A361,"High")</f>
        <v>110.325</v>
      </c>
      <c r="K361" s="83" cm="1">
        <f t="array" aca="1" ref="K361" ca="1">_FV(A361,"Low")</f>
        <v>106.81</v>
      </c>
      <c r="L361" s="75" cm="1">
        <f t="array" aca="1" ref="L361" ca="1">_FV(A361,"52 week high",TRUE)</f>
        <v>143.13</v>
      </c>
      <c r="M361" s="75" t="e" cm="1" vm="224">
        <f t="array" aca="1" ref="M361" ca="1">_FV(B361,"52 week high",TRUE)</f>
        <v>#VALUE!</v>
      </c>
      <c r="N361" s="75" t="e" cm="1" vm="224">
        <f t="array" ref="N361">_FV(C361,"52 week high",TRUE)</f>
        <v>#VALUE!</v>
      </c>
      <c r="O361" s="75" cm="1">
        <f t="array" aca="1" ref="O361" ca="1">_FV(A361,"52 week low",TRUE)</f>
        <v>94.56</v>
      </c>
      <c r="S361" s="83" t="s">
        <v>76</v>
      </c>
      <c r="T361" s="112" t="s">
        <v>78</v>
      </c>
      <c r="U361" s="112"/>
      <c r="V361" s="93">
        <v>45499</v>
      </c>
      <c r="W361" s="94" t="s">
        <v>11</v>
      </c>
      <c r="X361" s="85" t="s">
        <v>11</v>
      </c>
      <c r="Y361" s="84">
        <v>134.69999999999999</v>
      </c>
      <c r="Z361" s="84" t="s">
        <v>11</v>
      </c>
      <c r="AA361" s="84" t="s">
        <v>11</v>
      </c>
      <c r="AB361" s="84"/>
      <c r="AC361" s="84">
        <v>159.19</v>
      </c>
      <c r="AD361" s="84"/>
      <c r="AE361" s="46">
        <f t="shared" si="161"/>
        <v>0.18181143281365997</v>
      </c>
      <c r="AF361" s="86" t="s">
        <v>11</v>
      </c>
      <c r="AG361" s="89" t="e">
        <f t="shared" ca="1" si="162"/>
        <v>#VALUE!</v>
      </c>
      <c r="AH361" s="86">
        <v>122.49</v>
      </c>
      <c r="AI361" s="89">
        <f t="shared" si="157"/>
        <v>-9.0645879732739409E-2</v>
      </c>
      <c r="AJ361" s="49" t="str">
        <f t="shared" si="158"/>
        <v>-</v>
      </c>
      <c r="AK361" s="46" t="str">
        <f t="shared" si="163"/>
        <v>-</v>
      </c>
      <c r="AL361" s="83"/>
      <c r="AM361" s="49" t="str">
        <f t="shared" si="159"/>
        <v>-</v>
      </c>
      <c r="AN361" s="148">
        <f t="shared" ca="1" si="160"/>
        <v>-0.20126206384558265</v>
      </c>
      <c r="AU361" s="148"/>
    </row>
    <row r="362" spans="1:47" ht="16" customHeight="1" x14ac:dyDescent="0.2">
      <c r="A362" s="83" t="e" vm="331">
        <v>#VALUE!</v>
      </c>
      <c r="B362" s="83" t="str" cm="1">
        <f t="array" aca="1" ref="B362" ca="1">_FV(A362,"Ticker symbol",TRUE)</f>
        <v>UCG</v>
      </c>
      <c r="C362" s="49"/>
      <c r="D362" s="83" cm="1">
        <f t="array" aca="1" ref="D362" ca="1">_FV(A362,"Price")</f>
        <v>64.39</v>
      </c>
      <c r="E362" s="46"/>
      <c r="F362" s="46"/>
      <c r="G362" s="46"/>
      <c r="H362" s="46"/>
      <c r="I362" s="84">
        <v>42.79</v>
      </c>
      <c r="J362" s="83" cm="1">
        <f t="array" aca="1" ref="J362" ca="1">_FV(A362,"High")</f>
        <v>64.97</v>
      </c>
      <c r="K362" s="83" cm="1">
        <f t="array" aca="1" ref="K362" ca="1">_FV(A362,"Low")</f>
        <v>63.98</v>
      </c>
      <c r="L362" s="75" cm="1">
        <f t="array" aca="1" ref="L362" ca="1">_FV(A362,"52 week high",TRUE)</f>
        <v>79.790000000000006</v>
      </c>
      <c r="M362" s="75" t="e" cm="1" vm="224">
        <f t="array" aca="1" ref="M362" ca="1">_FV(B362,"52 week high",TRUE)</f>
        <v>#VALUE!</v>
      </c>
      <c r="N362" s="75" t="e" cm="1" vm="224">
        <f t="array" ref="N362">_FV(C362,"52 week high",TRUE)</f>
        <v>#VALUE!</v>
      </c>
      <c r="O362" s="75" cm="1">
        <f t="array" aca="1" ref="O362" ca="1">_FV(A362,"52 week low",TRUE)</f>
        <v>50.19</v>
      </c>
      <c r="S362" s="83" t="s">
        <v>76</v>
      </c>
      <c r="T362" s="112" t="s">
        <v>78</v>
      </c>
      <c r="U362" s="112"/>
      <c r="V362" s="93">
        <v>45478</v>
      </c>
      <c r="W362" s="94"/>
      <c r="X362" s="85" t="s">
        <v>11</v>
      </c>
      <c r="Y362" s="84">
        <v>37.04</v>
      </c>
      <c r="Z362" s="84" t="s">
        <v>11</v>
      </c>
      <c r="AA362" s="84" t="s">
        <v>11</v>
      </c>
      <c r="AB362" s="84"/>
      <c r="AC362" s="84">
        <v>42.79</v>
      </c>
      <c r="AD362" s="84"/>
      <c r="AE362" s="46">
        <f t="shared" si="161"/>
        <v>0.15523758099352047</v>
      </c>
      <c r="AF362" s="86" t="s">
        <v>11</v>
      </c>
      <c r="AG362" s="89" t="s">
        <v>11</v>
      </c>
      <c r="AH362" s="86">
        <v>34.17</v>
      </c>
      <c r="AI362" s="89">
        <f t="shared" si="157"/>
        <v>-7.7483801295896271E-2</v>
      </c>
      <c r="AJ362" s="49" t="str">
        <f t="shared" si="158"/>
        <v>-</v>
      </c>
      <c r="AK362" s="46" t="str">
        <f t="shared" si="163"/>
        <v>-</v>
      </c>
      <c r="AL362" s="83"/>
      <c r="AM362" s="49" t="str">
        <f t="shared" si="159"/>
        <v>-</v>
      </c>
      <c r="AN362" s="148">
        <f t="shared" ca="1" si="160"/>
        <v>0.738390928725702</v>
      </c>
      <c r="AU362" s="148"/>
    </row>
    <row r="363" spans="1:47" ht="16" customHeight="1" x14ac:dyDescent="0.2">
      <c r="A363" s="83" t="e" vm="332">
        <v>#VALUE!</v>
      </c>
      <c r="B363" s="83" t="str" cm="1">
        <f t="array" aca="1" ref="B363" ca="1">_FV(A363,"Ticker symbol",TRUE)</f>
        <v>BIM</v>
      </c>
      <c r="C363" s="49"/>
      <c r="D363" s="83" cm="1">
        <f t="array" aca="1" ref="D363" ca="1">_FV(A363,"Price")</f>
        <v>71.3</v>
      </c>
      <c r="E363" s="46"/>
      <c r="F363" s="46"/>
      <c r="G363" s="46"/>
      <c r="H363" s="46"/>
      <c r="I363" s="84">
        <v>112.7</v>
      </c>
      <c r="J363" s="83" cm="1">
        <f t="array" aca="1" ref="J363" ca="1">_FV(A363,"High")</f>
        <v>72.900000000000006</v>
      </c>
      <c r="K363" s="83" cm="1">
        <f t="array" aca="1" ref="K363" ca="1">_FV(A363,"Low")</f>
        <v>71.2</v>
      </c>
      <c r="L363" s="75" cm="1">
        <f t="array" aca="1" ref="L363" ca="1">_FV(A363,"52 week high",TRUE)</f>
        <v>128.30000000000001</v>
      </c>
      <c r="M363" s="75" t="e" cm="1" vm="224">
        <f t="array" aca="1" ref="M363" ca="1">_FV(B363,"52 week high",TRUE)</f>
        <v>#VALUE!</v>
      </c>
      <c r="N363" s="75" t="e" cm="1" vm="224">
        <f t="array" ref="N363">_FV(C363,"52 week high",TRUE)</f>
        <v>#VALUE!</v>
      </c>
      <c r="O363" s="75" cm="1">
        <f t="array" aca="1" ref="O363" ca="1">_FV(A363,"52 week low",TRUE)</f>
        <v>70.25</v>
      </c>
      <c r="S363" s="83" t="s">
        <v>76</v>
      </c>
      <c r="T363" s="112" t="s">
        <v>78</v>
      </c>
      <c r="U363" s="112"/>
      <c r="V363" s="93">
        <v>45502</v>
      </c>
      <c r="W363" s="94" t="s">
        <v>11</v>
      </c>
      <c r="X363" s="85" t="s">
        <v>11</v>
      </c>
      <c r="Y363" s="84">
        <v>98.2</v>
      </c>
      <c r="Z363" s="84" t="s">
        <v>11</v>
      </c>
      <c r="AA363" s="84" t="s">
        <v>11</v>
      </c>
      <c r="AB363" s="84"/>
      <c r="AC363" s="84">
        <v>112.7</v>
      </c>
      <c r="AD363" s="84"/>
      <c r="AE363" s="46">
        <f t="shared" si="161"/>
        <v>0.1476578411405296</v>
      </c>
      <c r="AF363" s="86">
        <v>119.95</v>
      </c>
      <c r="AG363" s="89">
        <f ca="1">IF(Z363="-",+AF363/D363-1,AF363/AC363-1)</f>
        <v>0.68232819074333806</v>
      </c>
      <c r="AH363" s="86">
        <v>90.95</v>
      </c>
      <c r="AI363" s="89">
        <f t="shared" si="157"/>
        <v>-7.38289205702648E-2</v>
      </c>
      <c r="AJ363" s="49" t="str">
        <f t="shared" si="158"/>
        <v>-</v>
      </c>
      <c r="AK363" s="46" t="str">
        <f t="shared" si="163"/>
        <v>-</v>
      </c>
      <c r="AL363" s="83"/>
      <c r="AM363" s="49" t="str">
        <f t="shared" si="159"/>
        <v>-</v>
      </c>
      <c r="AN363" s="148">
        <f t="shared" ca="1" si="160"/>
        <v>-0.27393075356415486</v>
      </c>
      <c r="AU363" s="148"/>
    </row>
    <row r="364" spans="1:47" ht="16" customHeight="1" x14ac:dyDescent="0.2">
      <c r="A364" s="83" t="e" vm="333">
        <v>#VALUE!</v>
      </c>
      <c r="B364" s="83" t="str" cm="1">
        <f t="array" aca="1" ref="B364" ca="1">_FV(A364,"Ticker symbol",TRUE)</f>
        <v>NUVB</v>
      </c>
      <c r="C364" s="49"/>
      <c r="D364" s="83" cm="1">
        <f t="array" aca="1" ref="D364" ca="1">_FV(A364,"Price")</f>
        <v>4.5549999999999997</v>
      </c>
      <c r="E364" s="46"/>
      <c r="F364" s="46"/>
      <c r="G364" s="46"/>
      <c r="H364" s="46"/>
      <c r="I364" s="84">
        <v>4.54</v>
      </c>
      <c r="J364" s="83" cm="1">
        <f t="array" aca="1" ref="J364" ca="1">_FV(A364,"High")</f>
        <v>5.15</v>
      </c>
      <c r="K364" s="83" cm="1">
        <f t="array" aca="1" ref="K364" ca="1">_FV(A364,"Low")</f>
        <v>4.5449999999999999</v>
      </c>
      <c r="L364" s="75" cm="1">
        <f t="array" aca="1" ref="L364" ca="1">_FV(A364,"52 week high",TRUE)</f>
        <v>9.75</v>
      </c>
      <c r="M364" s="75" t="e" cm="1" vm="224">
        <f t="array" aca="1" ref="M364" ca="1">_FV(B364,"52 week high",TRUE)</f>
        <v>#VALUE!</v>
      </c>
      <c r="N364" s="75" t="e" cm="1" vm="224">
        <f t="array" ref="N364">_FV(C364,"52 week high",TRUE)</f>
        <v>#VALUE!</v>
      </c>
      <c r="O364" s="75" cm="1">
        <f t="array" aca="1" ref="O364" ca="1">_FV(A364,"52 week low",TRUE)</f>
        <v>1.57</v>
      </c>
      <c r="S364" s="83" t="s">
        <v>76</v>
      </c>
      <c r="T364" s="112" t="s">
        <v>78</v>
      </c>
      <c r="U364" s="112"/>
      <c r="V364" s="93">
        <v>45498</v>
      </c>
      <c r="W364" s="94" t="s">
        <v>11</v>
      </c>
      <c r="X364" s="85" t="s">
        <v>11</v>
      </c>
      <c r="Y364" s="84">
        <v>3.6</v>
      </c>
      <c r="Z364" s="84" t="s">
        <v>11</v>
      </c>
      <c r="AA364" s="84" t="s">
        <v>11</v>
      </c>
      <c r="AB364" s="84"/>
      <c r="AC364" s="84">
        <v>4.54</v>
      </c>
      <c r="AD364" s="84"/>
      <c r="AE364" s="46">
        <f t="shared" si="161"/>
        <v>0.26111111111111107</v>
      </c>
      <c r="AF364" s="86" t="s">
        <v>11</v>
      </c>
      <c r="AG364" s="89" t="s">
        <v>11</v>
      </c>
      <c r="AH364" s="86">
        <v>3.14</v>
      </c>
      <c r="AI364" s="89">
        <f t="shared" si="157"/>
        <v>-0.12777777777777777</v>
      </c>
      <c r="AJ364" s="49" t="str">
        <f t="shared" si="158"/>
        <v>-</v>
      </c>
      <c r="AK364" s="46" t="str">
        <f t="shared" si="163"/>
        <v>-</v>
      </c>
      <c r="AL364" s="83"/>
      <c r="AM364" s="49" t="str">
        <f t="shared" si="159"/>
        <v>-</v>
      </c>
      <c r="AN364" s="148">
        <f t="shared" ca="1" si="160"/>
        <v>0.26527777777777772</v>
      </c>
      <c r="AU364" s="148"/>
    </row>
    <row r="365" spans="1:47" ht="16" customHeight="1" x14ac:dyDescent="0.2">
      <c r="A365" s="83" t="e" vm="334">
        <v>#VALUE!</v>
      </c>
      <c r="B365" s="83" t="str" cm="1">
        <f t="array" aca="1" ref="B365" ca="1">_FV(A365,"Ticker symbol",TRUE)</f>
        <v>AG1</v>
      </c>
      <c r="C365" s="49"/>
      <c r="D365" s="83" cm="1">
        <f t="array" aca="1" ref="D365" ca="1">_FV(A365,"Price")</f>
        <v>18.18</v>
      </c>
      <c r="E365" s="46"/>
      <c r="F365" s="46"/>
      <c r="G365" s="46"/>
      <c r="H365" s="46"/>
      <c r="I365" s="84">
        <v>9.59</v>
      </c>
      <c r="J365" s="83" cm="1">
        <f t="array" aca="1" ref="J365" ca="1">_FV(A365,"High")</f>
        <v>18.2</v>
      </c>
      <c r="K365" s="83" cm="1">
        <f t="array" aca="1" ref="K365" ca="1">_FV(A365,"Low")</f>
        <v>18.100000000000001</v>
      </c>
      <c r="L365" s="75" t="e" cm="1" vm="224">
        <f t="array" ref="L365">_FV(A365,"52 week high",TRUE)</f>
        <v>#VALUE!</v>
      </c>
      <c r="M365" s="75" t="e" cm="1" vm="224">
        <f t="array" aca="1" ref="M365" ca="1">_FV(B365,"52 week high",TRUE)</f>
        <v>#VALUE!</v>
      </c>
      <c r="N365" s="75" t="e" cm="1" vm="224">
        <f t="array" ref="N365">_FV(C365,"52 week high",TRUE)</f>
        <v>#VALUE!</v>
      </c>
      <c r="O365" s="75" t="e" cm="1" vm="226">
        <f t="array" ref="O365">_FV(A365,"52 week low",TRUE)</f>
        <v>#VALUE!</v>
      </c>
      <c r="S365" s="83" t="s">
        <v>76</v>
      </c>
      <c r="T365" s="112" t="s">
        <v>78</v>
      </c>
      <c r="U365" s="112"/>
      <c r="V365" s="93">
        <v>45505</v>
      </c>
      <c r="W365" s="94"/>
      <c r="X365" s="85" t="s">
        <v>11</v>
      </c>
      <c r="Y365" s="84">
        <v>7.62</v>
      </c>
      <c r="Z365" s="84" t="s">
        <v>11</v>
      </c>
      <c r="AA365" s="84" t="s">
        <v>11</v>
      </c>
      <c r="AB365" s="84"/>
      <c r="AC365" s="84">
        <v>9.59</v>
      </c>
      <c r="AD365" s="84"/>
      <c r="AE365" s="46">
        <f t="shared" si="161"/>
        <v>0.25853018372703418</v>
      </c>
      <c r="AF365" s="86" t="s">
        <v>11</v>
      </c>
      <c r="AG365" s="89" t="s">
        <v>11</v>
      </c>
      <c r="AH365" s="86">
        <v>6.6349999999999998</v>
      </c>
      <c r="AI365" s="89">
        <f t="shared" si="157"/>
        <v>-0.12926509186351709</v>
      </c>
      <c r="AJ365" s="49" t="str">
        <f t="shared" si="158"/>
        <v>-</v>
      </c>
      <c r="AK365" s="46" t="str">
        <f t="shared" si="163"/>
        <v>-</v>
      </c>
      <c r="AL365" s="83"/>
      <c r="AM365" s="49" t="str">
        <f t="shared" si="159"/>
        <v>-</v>
      </c>
      <c r="AN365" s="148">
        <f t="shared" ca="1" si="160"/>
        <v>1.3858267716535431</v>
      </c>
      <c r="AU365" s="148"/>
    </row>
    <row r="366" spans="1:47" ht="16" customHeight="1" x14ac:dyDescent="0.2">
      <c r="A366" s="83" t="e" vm="335">
        <v>#VALUE!</v>
      </c>
      <c r="B366" s="83" t="str" cm="1">
        <f t="array" aca="1" ref="B366" ca="1">_FV(A366,"Ticker symbol",TRUE)</f>
        <v>IDCC</v>
      </c>
      <c r="C366" s="49"/>
      <c r="D366" s="83" cm="1">
        <f t="array" aca="1" ref="D366" ca="1">_FV(A366,"Price")</f>
        <v>362.24</v>
      </c>
      <c r="E366" s="46"/>
      <c r="F366" s="46"/>
      <c r="G366" s="46"/>
      <c r="H366" s="46"/>
      <c r="I366" s="84">
        <v>141.79</v>
      </c>
      <c r="J366" s="83" cm="1">
        <f t="array" aca="1" ref="J366" ca="1">_FV(A366,"High")</f>
        <v>373.82</v>
      </c>
      <c r="K366" s="83" cm="1">
        <f t="array" aca="1" ref="K366" ca="1">_FV(A366,"Low")</f>
        <v>354.77</v>
      </c>
      <c r="L366" s="75" cm="1">
        <f t="array" aca="1" ref="L366" ca="1">_FV(A366,"52 week high",TRUE)</f>
        <v>412.6</v>
      </c>
      <c r="M366" s="75" t="e" cm="1" vm="224">
        <f t="array" aca="1" ref="M366" ca="1">_FV(B366,"52 week high",TRUE)</f>
        <v>#VALUE!</v>
      </c>
      <c r="N366" s="75" t="e" cm="1" vm="224">
        <f t="array" ref="N366">_FV(C366,"52 week high",TRUE)</f>
        <v>#VALUE!</v>
      </c>
      <c r="O366" s="75" cm="1">
        <f t="array" aca="1" ref="O366" ca="1">_FV(A366,"52 week low",TRUE)</f>
        <v>193.565</v>
      </c>
      <c r="S366" s="83" t="s">
        <v>75</v>
      </c>
      <c r="T366" s="112" t="s">
        <v>78</v>
      </c>
      <c r="U366" s="112"/>
      <c r="V366" s="93">
        <v>45481</v>
      </c>
      <c r="W366" s="94"/>
      <c r="X366" s="85" t="s">
        <v>11</v>
      </c>
      <c r="Y366" s="84">
        <v>120.51</v>
      </c>
      <c r="Z366" s="84" t="s">
        <v>11</v>
      </c>
      <c r="AA366" s="84" t="s">
        <v>11</v>
      </c>
      <c r="AB366" s="84"/>
      <c r="AC366" s="84">
        <v>141.79</v>
      </c>
      <c r="AD366" s="84"/>
      <c r="AE366" s="46">
        <f t="shared" si="161"/>
        <v>0.17658285619450664</v>
      </c>
      <c r="AF366" s="86">
        <v>152.47999999999999</v>
      </c>
      <c r="AG366" s="89">
        <f ca="1">IF(Z366="-",+AF366/D366-1,AF366/AC366-1)</f>
        <v>-0.5790636042402828</v>
      </c>
      <c r="AH366" s="86">
        <v>109.88</v>
      </c>
      <c r="AI366" s="89">
        <f t="shared" si="157"/>
        <v>-8.8208447431748493E-2</v>
      </c>
      <c r="AJ366" s="49" t="str">
        <f t="shared" si="158"/>
        <v>-</v>
      </c>
      <c r="AK366" s="46" t="str">
        <f t="shared" si="163"/>
        <v>-</v>
      </c>
      <c r="AL366" s="83"/>
      <c r="AM366" s="49" t="str">
        <f t="shared" si="159"/>
        <v>-</v>
      </c>
      <c r="AN366" s="148">
        <f t="shared" ca="1" si="160"/>
        <v>2.0058916272508505</v>
      </c>
      <c r="AU366" s="148"/>
    </row>
    <row r="367" spans="1:47" ht="16" customHeight="1" x14ac:dyDescent="0.2">
      <c r="A367" s="83" t="e" vm="336">
        <v>#VALUE!</v>
      </c>
      <c r="B367" s="83" t="str" cm="1">
        <f t="array" aca="1" ref="B367" ca="1">_FV(A367,"Ticker symbol",TRUE)</f>
        <v>WIIT</v>
      </c>
      <c r="C367" s="49"/>
      <c r="D367" s="83" cm="1">
        <f t="array" aca="1" ref="D367" ca="1">_FV(A367,"Price")</f>
        <v>29.55</v>
      </c>
      <c r="E367" s="46"/>
      <c r="F367" s="46"/>
      <c r="G367" s="46"/>
      <c r="H367" s="46"/>
      <c r="I367" s="84">
        <v>27.25</v>
      </c>
      <c r="J367" s="83" cm="1">
        <f t="array" aca="1" ref="J367" ca="1">_FV(A367,"High")</f>
        <v>30.7</v>
      </c>
      <c r="K367" s="83" cm="1">
        <f t="array" aca="1" ref="K367" ca="1">_FV(A367,"Low")</f>
        <v>29.4</v>
      </c>
      <c r="L367" s="75" cm="1">
        <f t="array" aca="1" ref="L367" ca="1">_FV(A367,"52 week high",TRUE)</f>
        <v>31.4</v>
      </c>
      <c r="M367" s="75" t="e" cm="1" vm="224">
        <f t="array" aca="1" ref="M367" ca="1">_FV(B367,"52 week high",TRUE)</f>
        <v>#VALUE!</v>
      </c>
      <c r="N367" s="75" t="e" cm="1" vm="224">
        <f t="array" ref="N367">_FV(C367,"52 week high",TRUE)</f>
        <v>#VALUE!</v>
      </c>
      <c r="O367" s="75" cm="1">
        <f t="array" aca="1" ref="O367" ca="1">_FV(A367,"52 week low",TRUE)</f>
        <v>14.92</v>
      </c>
      <c r="S367" s="83" t="s">
        <v>76</v>
      </c>
      <c r="T367" s="112" t="s">
        <v>78</v>
      </c>
      <c r="U367" s="112"/>
      <c r="V367" s="93">
        <v>45502</v>
      </c>
      <c r="W367" s="94" t="s">
        <v>11</v>
      </c>
      <c r="X367" s="85" t="s">
        <v>11</v>
      </c>
      <c r="Y367" s="84">
        <v>23.35</v>
      </c>
      <c r="Z367" s="84" t="s">
        <v>11</v>
      </c>
      <c r="AA367" s="84" t="s">
        <v>11</v>
      </c>
      <c r="AB367" s="84"/>
      <c r="AC367" s="84">
        <v>27.25</v>
      </c>
      <c r="AD367" s="84"/>
      <c r="AE367" s="46">
        <f t="shared" si="161"/>
        <v>0.16702355460385432</v>
      </c>
      <c r="AF367" s="86">
        <v>29.4</v>
      </c>
      <c r="AG367" s="89">
        <f ca="1">IF(Z367="-",+AF367/D367-1,AF367/AC367-1)</f>
        <v>-5.0761421319798217E-3</v>
      </c>
      <c r="AH367" s="86">
        <v>21.4</v>
      </c>
      <c r="AI367" s="89">
        <f t="shared" si="157"/>
        <v>-8.351177730192727E-2</v>
      </c>
      <c r="AJ367" s="49" t="str">
        <f t="shared" si="158"/>
        <v>-</v>
      </c>
      <c r="AK367" s="46" t="str">
        <f t="shared" si="163"/>
        <v>-</v>
      </c>
      <c r="AL367" s="83"/>
      <c r="AM367" s="49" t="str">
        <f t="shared" si="159"/>
        <v>-</v>
      </c>
      <c r="AN367" s="148">
        <f t="shared" ca="1" si="160"/>
        <v>0.26552462526766596</v>
      </c>
      <c r="AU367" s="148"/>
    </row>
    <row r="368" spans="1:47" ht="16" customHeight="1" x14ac:dyDescent="0.2">
      <c r="A368" s="83" t="e" vm="232">
        <v>#VALUE!</v>
      </c>
      <c r="B368" s="83" t="str" cm="1">
        <f t="array" aca="1" ref="B368" ca="1">_FV(A368,"Ticker symbol",TRUE)</f>
        <v>BMW</v>
      </c>
      <c r="C368" s="49"/>
      <c r="D368" s="83" cm="1">
        <f t="array" aca="1" ref="D368" ca="1">_FV(A368,"Price")</f>
        <v>79.3</v>
      </c>
      <c r="E368" s="46"/>
      <c r="F368" s="46"/>
      <c r="G368" s="46"/>
      <c r="H368" s="46"/>
      <c r="I368" s="84">
        <v>101.46</v>
      </c>
      <c r="J368" s="83" cm="1">
        <f t="array" aca="1" ref="J368" ca="1">_FV(A368,"High")</f>
        <v>80.459999999999994</v>
      </c>
      <c r="K368" s="83" cm="1">
        <f t="array" aca="1" ref="K368" ca="1">_FV(A368,"Low")</f>
        <v>79.180000000000007</v>
      </c>
      <c r="L368" s="75" cm="1">
        <f t="array" aca="1" ref="L368" ca="1">_FV(A368,"52 week high",TRUE)</f>
        <v>97.92</v>
      </c>
      <c r="M368" s="75" t="e" cm="1" vm="224">
        <f t="array" aca="1" ref="M368" ca="1">_FV(B368,"52 week high",TRUE)</f>
        <v>#VALUE!</v>
      </c>
      <c r="N368" s="75" t="e" cm="1" vm="224">
        <f t="array" ref="N368">_FV(C368,"52 week high",TRUE)</f>
        <v>#VALUE!</v>
      </c>
      <c r="O368" s="75" cm="1">
        <f t="array" aca="1" ref="O368" ca="1">_FV(A368,"52 week low",TRUE)</f>
        <v>70.94</v>
      </c>
      <c r="S368" s="83" t="s">
        <v>76</v>
      </c>
      <c r="T368" s="112" t="s">
        <v>78</v>
      </c>
      <c r="U368" s="112"/>
      <c r="V368" s="93">
        <v>45485</v>
      </c>
      <c r="W368" s="94" t="s">
        <v>11</v>
      </c>
      <c r="X368" s="85" t="s">
        <v>11</v>
      </c>
      <c r="Y368" s="84">
        <v>91.12</v>
      </c>
      <c r="Z368" s="84"/>
      <c r="AA368" s="84" t="s">
        <v>11</v>
      </c>
      <c r="AB368" s="84"/>
      <c r="AC368" s="84">
        <v>101.46</v>
      </c>
      <c r="AD368" s="84"/>
      <c r="AE368" s="46">
        <f t="shared" ca="1" si="161"/>
        <v>0.27944514501891549</v>
      </c>
      <c r="AF368" s="86" t="s">
        <v>11</v>
      </c>
      <c r="AG368" s="89" t="s">
        <v>11</v>
      </c>
      <c r="AH368" s="86">
        <v>86.52</v>
      </c>
      <c r="AI368" s="89">
        <f t="shared" ca="1" si="157"/>
        <v>9.1046658259773094E-2</v>
      </c>
      <c r="AJ368" s="49" t="e">
        <f t="shared" ca="1" si="158"/>
        <v>#DIV/0!</v>
      </c>
      <c r="AK368" s="46" t="str">
        <f t="shared" si="163"/>
        <v>-</v>
      </c>
      <c r="AL368" s="83"/>
      <c r="AM368" s="49" t="str">
        <f t="shared" si="159"/>
        <v>-</v>
      </c>
      <c r="AN368" s="148">
        <f t="shared" ca="1" si="160"/>
        <v>-0.12971905179982446</v>
      </c>
      <c r="AU368" s="148"/>
    </row>
    <row r="369" spans="1:47" ht="16" customHeight="1" x14ac:dyDescent="0.2">
      <c r="A369" s="83" t="e" vm="337">
        <v>#VALUE!</v>
      </c>
      <c r="B369" s="83" t="str" cm="1">
        <f t="array" aca="1" ref="B369" ca="1">_FV(A369,"Ticker symbol",TRUE)</f>
        <v>COK</v>
      </c>
      <c r="C369" s="49"/>
      <c r="D369" s="83" cm="1">
        <f t="array" aca="1" ref="D369" ca="1">_FV(A369,"Price")</f>
        <v>24</v>
      </c>
      <c r="E369" s="46"/>
      <c r="F369" s="46"/>
      <c r="G369" s="46"/>
      <c r="H369" s="46"/>
      <c r="I369" s="84">
        <v>39.96</v>
      </c>
      <c r="J369" s="83" cm="1">
        <f t="array" aca="1" ref="J369" ca="1">_FV(A369,"High")</f>
        <v>24</v>
      </c>
      <c r="K369" s="83" cm="1">
        <f t="array" aca="1" ref="K369" ca="1">_FV(A369,"Low")</f>
        <v>24</v>
      </c>
      <c r="L369" s="75" cm="1">
        <f t="array" aca="1" ref="L369" ca="1">_FV(A369,"52 week high",TRUE)</f>
        <v>64.7</v>
      </c>
      <c r="M369" s="75" t="e" cm="1" vm="224">
        <f t="array" aca="1" ref="M369" ca="1">_FV(B369,"52 week high",TRUE)</f>
        <v>#VALUE!</v>
      </c>
      <c r="N369" s="75" t="e" cm="1" vm="224">
        <f t="array" ref="N369">_FV(C369,"52 week high",TRUE)</f>
        <v>#VALUE!</v>
      </c>
      <c r="O369" s="75" cm="1">
        <f t="array" aca="1" ref="O369" ca="1">_FV(A369,"52 week low",TRUE)</f>
        <v>20.100000000000001</v>
      </c>
      <c r="S369" s="83" t="s">
        <v>76</v>
      </c>
      <c r="T369" s="112" t="s">
        <v>78</v>
      </c>
      <c r="U369" s="112"/>
      <c r="V369" s="93">
        <v>45478</v>
      </c>
      <c r="W369" s="94"/>
      <c r="X369" s="85" t="s">
        <v>11</v>
      </c>
      <c r="Y369" s="84">
        <v>33.299999999999997</v>
      </c>
      <c r="Z369" s="84" t="s">
        <v>11</v>
      </c>
      <c r="AA369" s="84" t="s">
        <v>11</v>
      </c>
      <c r="AB369" s="84"/>
      <c r="AC369" s="84">
        <v>39.96</v>
      </c>
      <c r="AD369" s="84"/>
      <c r="AE369" s="46">
        <f t="shared" si="161"/>
        <v>0.20000000000000018</v>
      </c>
      <c r="AF369" s="86" t="s">
        <v>11</v>
      </c>
      <c r="AG369" s="89" t="s">
        <v>11</v>
      </c>
      <c r="AH369" s="86">
        <v>29.98</v>
      </c>
      <c r="AI369" s="89">
        <f t="shared" si="157"/>
        <v>-9.9699699699699607E-2</v>
      </c>
      <c r="AJ369" s="49" t="str">
        <f t="shared" si="158"/>
        <v>-</v>
      </c>
      <c r="AK369" s="46" t="str">
        <f t="shared" si="163"/>
        <v>-</v>
      </c>
      <c r="AL369" s="83"/>
      <c r="AM369" s="49" t="str">
        <f t="shared" si="159"/>
        <v>-</v>
      </c>
      <c r="AN369" s="148">
        <f t="shared" ca="1" si="160"/>
        <v>-0.2792792792792792</v>
      </c>
      <c r="AU369" s="148"/>
    </row>
    <row r="370" spans="1:47" ht="16" customHeight="1" x14ac:dyDescent="0.2">
      <c r="A370" s="83" t="e" vm="338">
        <v>#VALUE!</v>
      </c>
      <c r="B370" s="83" t="str" cm="1">
        <f t="array" aca="1" ref="B370" ca="1">_FV(A370,"Ticker symbol",TRUE)</f>
        <v>TOST</v>
      </c>
      <c r="C370" s="49"/>
      <c r="D370" s="83" cm="1">
        <f t="array" aca="1" ref="D370" ca="1">_FV(A370,"Price")</f>
        <v>28.65</v>
      </c>
      <c r="E370" s="46"/>
      <c r="F370" s="46"/>
      <c r="G370" s="46"/>
      <c r="H370" s="46"/>
      <c r="I370" s="84" t="s">
        <v>11</v>
      </c>
      <c r="J370" s="83" cm="1">
        <f t="array" aca="1" ref="J370" ca="1">_FV(A370,"High")</f>
        <v>29.445</v>
      </c>
      <c r="K370" s="83" cm="1">
        <f t="array" aca="1" ref="K370" ca="1">_FV(A370,"Low")</f>
        <v>28.590699999999998</v>
      </c>
      <c r="L370" s="75" cm="1">
        <f t="array" aca="1" ref="L370" ca="1">_FV(A370,"52 week high",TRUE)</f>
        <v>49.66</v>
      </c>
      <c r="M370" s="75" t="e" cm="1" vm="224">
        <f t="array" aca="1" ref="M370" ca="1">_FV(B370,"52 week high",TRUE)</f>
        <v>#VALUE!</v>
      </c>
      <c r="N370" s="75" t="e" cm="1" vm="224">
        <f t="array" ref="N370">_FV(C370,"52 week high",TRUE)</f>
        <v>#VALUE!</v>
      </c>
      <c r="O370" s="75" cm="1">
        <f t="array" aca="1" ref="O370" ca="1">_FV(A370,"52 week low",TRUE)</f>
        <v>24.35</v>
      </c>
      <c r="S370" s="83" t="s">
        <v>76</v>
      </c>
      <c r="T370" s="112" t="s">
        <v>78</v>
      </c>
      <c r="U370" s="112"/>
      <c r="V370" s="93">
        <v>45476</v>
      </c>
      <c r="W370" s="94"/>
      <c r="X370" s="85">
        <v>27.5</v>
      </c>
      <c r="Y370" s="84">
        <v>27.5</v>
      </c>
      <c r="Z370" s="84" t="s">
        <v>11</v>
      </c>
      <c r="AA370" s="84" t="s">
        <v>11</v>
      </c>
      <c r="AB370" s="84"/>
      <c r="AC370" s="84" t="s">
        <v>11</v>
      </c>
      <c r="AD370" s="84"/>
      <c r="AE370" s="46" t="e">
        <f t="shared" si="161"/>
        <v>#VALUE!</v>
      </c>
      <c r="AF370" s="86" t="s">
        <v>11</v>
      </c>
      <c r="AG370" s="89" t="s">
        <v>11</v>
      </c>
      <c r="AH370" s="86" t="s">
        <v>11</v>
      </c>
      <c r="AI370" s="89" t="e">
        <f t="shared" si="157"/>
        <v>#VALUE!</v>
      </c>
      <c r="AJ370" s="49" t="str">
        <f t="shared" si="158"/>
        <v>-</v>
      </c>
      <c r="AK370" s="46" t="str">
        <f t="shared" si="163"/>
        <v>-</v>
      </c>
      <c r="AL370" s="83"/>
      <c r="AM370" s="49" t="str">
        <f t="shared" si="159"/>
        <v>-</v>
      </c>
      <c r="AN370" s="148">
        <f t="shared" ca="1" si="160"/>
        <v>4.1818181818181754E-2</v>
      </c>
      <c r="AU370" s="148"/>
    </row>
    <row r="371" spans="1:47" ht="16" customHeight="1" x14ac:dyDescent="0.2">
      <c r="A371" s="83" t="e" vm="339">
        <v>#VALUE!</v>
      </c>
      <c r="B371" s="83" t="str" cm="1">
        <f t="array" aca="1" ref="B371" ca="1">_FV(A371,"Ticker symbol",TRUE)</f>
        <v>RVLV</v>
      </c>
      <c r="C371" s="49"/>
      <c r="D371" s="83" cm="1">
        <f t="array" aca="1" ref="D371" ca="1">_FV(A371,"Price")</f>
        <v>26.33</v>
      </c>
      <c r="E371" s="46"/>
      <c r="F371" s="46"/>
      <c r="G371" s="46"/>
      <c r="H371" s="46"/>
      <c r="I371" s="84" t="s">
        <v>11</v>
      </c>
      <c r="J371" s="83" cm="1">
        <f t="array" aca="1" ref="J371" ca="1">_FV(A371,"High")</f>
        <v>27.22</v>
      </c>
      <c r="K371" s="83" cm="1">
        <f t="array" aca="1" ref="K371" ca="1">_FV(A371,"Low")</f>
        <v>26.24</v>
      </c>
      <c r="L371" s="75" cm="1">
        <f t="array" aca="1" ref="L371" ca="1">_FV(A371,"52 week high",TRUE)</f>
        <v>31.68</v>
      </c>
      <c r="M371" s="75" t="e" cm="1" vm="224">
        <f t="array" aca="1" ref="M371" ca="1">_FV(B371,"52 week high",TRUE)</f>
        <v>#VALUE!</v>
      </c>
      <c r="N371" s="75" t="e" cm="1" vm="224">
        <f t="array" ref="N371">_FV(C371,"52 week high",TRUE)</f>
        <v>#VALUE!</v>
      </c>
      <c r="O371" s="75" cm="1">
        <f t="array" aca="1" ref="O371" ca="1">_FV(A371,"52 week low",TRUE)</f>
        <v>16.8</v>
      </c>
      <c r="S371" s="83" t="s">
        <v>76</v>
      </c>
      <c r="T371" s="112" t="s">
        <v>78</v>
      </c>
      <c r="U371" s="112"/>
      <c r="V371" s="93">
        <v>45520</v>
      </c>
      <c r="W371" s="94" t="s">
        <v>11</v>
      </c>
      <c r="X371" s="85" t="s">
        <v>11</v>
      </c>
      <c r="Y371" s="84">
        <v>24.1</v>
      </c>
      <c r="Z371" s="84" t="s">
        <v>11</v>
      </c>
      <c r="AA371" s="84" t="s">
        <v>11</v>
      </c>
      <c r="AB371" s="84"/>
      <c r="AC371" s="84" t="s">
        <v>11</v>
      </c>
      <c r="AD371" s="84"/>
      <c r="AE371" s="46" t="e">
        <f t="shared" si="161"/>
        <v>#VALUE!</v>
      </c>
      <c r="AF371" s="86" t="s">
        <v>11</v>
      </c>
      <c r="AG371" s="89" t="e">
        <f ca="1">IF(Z371="-",+AF371/D371-1,AF371/AC371-1)</f>
        <v>#VALUE!</v>
      </c>
      <c r="AH371" s="86" t="s">
        <v>11</v>
      </c>
      <c r="AI371" s="89" t="e">
        <f t="shared" si="157"/>
        <v>#VALUE!</v>
      </c>
      <c r="AJ371" s="49" t="str">
        <f t="shared" si="158"/>
        <v>-</v>
      </c>
      <c r="AK371" s="46" t="str">
        <f t="shared" si="163"/>
        <v>-</v>
      </c>
      <c r="AL371" s="83"/>
      <c r="AM371" s="49" t="str">
        <f t="shared" si="159"/>
        <v>-</v>
      </c>
      <c r="AN371" s="148">
        <f t="shared" ca="1" si="160"/>
        <v>9.2531120331950101E-2</v>
      </c>
      <c r="AU371" s="148"/>
    </row>
    <row r="372" spans="1:47" ht="16" customHeight="1" x14ac:dyDescent="0.2">
      <c r="A372" s="83" t="e" vm="340">
        <v>#VALUE!</v>
      </c>
      <c r="B372" s="83" t="str" cm="1">
        <f t="array" aca="1" ref="B372" ca="1">_FV(A372,"Ticker symbol",TRUE)</f>
        <v>BVI</v>
      </c>
      <c r="C372" s="49"/>
      <c r="D372" s="83" cm="1">
        <f t="array" aca="1" ref="D372" ca="1">_FV(A372,"Price")</f>
        <v>25.86</v>
      </c>
      <c r="E372" s="46"/>
      <c r="F372" s="46"/>
      <c r="G372" s="46"/>
      <c r="H372" s="46"/>
      <c r="I372" s="84">
        <v>33.96</v>
      </c>
      <c r="J372" s="83" cm="1">
        <f t="array" aca="1" ref="J372" ca="1">_FV(A372,"High")</f>
        <v>26.32</v>
      </c>
      <c r="K372" s="83" cm="1">
        <f t="array" aca="1" ref="K372" ca="1">_FV(A372,"Low")</f>
        <v>25.79</v>
      </c>
      <c r="L372" s="75" cm="1">
        <f t="array" aca="1" ref="L372" ca="1">_FV(A372,"52 week high",TRUE)</f>
        <v>30.44</v>
      </c>
      <c r="M372" s="75" t="e" cm="1" vm="224">
        <f t="array" aca="1" ref="M372" ca="1">_FV(B372,"52 week high",TRUE)</f>
        <v>#VALUE!</v>
      </c>
      <c r="N372" s="75" t="e" cm="1" vm="224">
        <f t="array" ref="N372">_FV(C372,"52 week high",TRUE)</f>
        <v>#VALUE!</v>
      </c>
      <c r="O372" s="75" cm="1">
        <f t="array" aca="1" ref="O372" ca="1">_FV(A372,"52 week low",TRUE)</f>
        <v>24.58</v>
      </c>
      <c r="S372" s="83" t="s">
        <v>76</v>
      </c>
      <c r="T372" s="112" t="s">
        <v>78</v>
      </c>
      <c r="U372" s="112"/>
      <c r="V372" s="93">
        <v>45502</v>
      </c>
      <c r="W372" s="94" t="s">
        <v>11</v>
      </c>
      <c r="X372" s="85" t="s">
        <v>11</v>
      </c>
      <c r="Y372" s="84">
        <v>27.84</v>
      </c>
      <c r="Z372" s="84" t="s">
        <v>11</v>
      </c>
      <c r="AA372" s="84" t="s">
        <v>11</v>
      </c>
      <c r="AB372" s="84"/>
      <c r="AC372" s="84">
        <v>33.96</v>
      </c>
      <c r="AD372" s="84"/>
      <c r="AE372" s="46">
        <f t="shared" si="161"/>
        <v>0.21982758620689657</v>
      </c>
      <c r="AF372" s="86">
        <v>37.119999999999997</v>
      </c>
      <c r="AG372" s="89">
        <f ca="1">IF(Z372="-",+AF372/D372-1,AF372/AC372-1)</f>
        <v>0.43542150038669747</v>
      </c>
      <c r="AH372" s="86">
        <v>24.78</v>
      </c>
      <c r="AI372" s="89">
        <f t="shared" si="157"/>
        <v>-0.10991379310344818</v>
      </c>
      <c r="AJ372" s="49" t="str">
        <f t="shared" si="158"/>
        <v>-</v>
      </c>
      <c r="AK372" s="46" t="str">
        <f t="shared" si="163"/>
        <v>-</v>
      </c>
      <c r="AL372" s="83"/>
      <c r="AM372" s="49" t="str">
        <f t="shared" si="159"/>
        <v>-</v>
      </c>
      <c r="AN372" s="148">
        <f t="shared" ca="1" si="160"/>
        <v>-7.1120689655172376E-2</v>
      </c>
      <c r="AU372" s="148"/>
    </row>
    <row r="373" spans="1:47" ht="16" customHeight="1" x14ac:dyDescent="0.2">
      <c r="A373" s="83" t="e" vm="341">
        <v>#VALUE!</v>
      </c>
      <c r="B373" s="83" t="str" cm="1">
        <f t="array" aca="1" ref="B373" ca="1">_FV(A373,"Ticker symbol",TRUE)</f>
        <v>ARIS</v>
      </c>
      <c r="C373" s="49"/>
      <c r="D373" s="83" cm="1">
        <f t="array" aca="1" ref="D373" ca="1">_FV(A373,"Price")</f>
        <v>23.69</v>
      </c>
      <c r="E373" s="46"/>
      <c r="F373" s="46"/>
      <c r="G373" s="46"/>
      <c r="H373" s="46"/>
      <c r="I373" s="84">
        <v>23.59</v>
      </c>
      <c r="J373" s="83" cm="1">
        <f t="array" aca="1" ref="J373" ca="1">_FV(A373,"High")</f>
        <v>23.69</v>
      </c>
      <c r="K373" s="83" cm="1">
        <f t="array" aca="1" ref="K373" ca="1">_FV(A373,"Low")</f>
        <v>23.15</v>
      </c>
      <c r="L373" s="75" cm="1">
        <f t="array" aca="1" ref="L373" ca="1">_FV(A373,"52 week high",TRUE)</f>
        <v>33.950000000000003</v>
      </c>
      <c r="M373" s="75" t="e" cm="1" vm="224">
        <f t="array" aca="1" ref="M373" ca="1">_FV(B373,"52 week high",TRUE)</f>
        <v>#VALUE!</v>
      </c>
      <c r="N373" s="75" t="e" cm="1" vm="224">
        <f t="array" ref="N373">_FV(C373,"52 week high",TRUE)</f>
        <v>#VALUE!</v>
      </c>
      <c r="O373" s="75" cm="1">
        <f t="array" aca="1" ref="O373" ca="1">_FV(A373,"52 week low",TRUE)</f>
        <v>14.46</v>
      </c>
      <c r="S373" s="83" t="s">
        <v>76</v>
      </c>
      <c r="T373" s="112" t="s">
        <v>78</v>
      </c>
      <c r="U373" s="112"/>
      <c r="V373" s="93">
        <v>45560</v>
      </c>
      <c r="W373" s="94" t="s">
        <v>11</v>
      </c>
      <c r="X373" s="85"/>
      <c r="Y373" s="84">
        <v>18.850000000000001</v>
      </c>
      <c r="Z373" s="84"/>
      <c r="AA373" s="84" t="s">
        <v>11</v>
      </c>
      <c r="AB373" s="84"/>
      <c r="AC373" s="84">
        <v>23.59</v>
      </c>
      <c r="AD373" s="84"/>
      <c r="AE373" s="46">
        <f t="shared" ca="1" si="161"/>
        <v>-4.2211903756860236E-3</v>
      </c>
      <c r="AF373" s="86" t="s">
        <v>11</v>
      </c>
      <c r="AG373" s="89" t="e">
        <f>IF(Z373="-",+AF373/D373-1,AF373/AC373-1)</f>
        <v>#VALUE!</v>
      </c>
      <c r="AH373" s="86">
        <v>16.48</v>
      </c>
      <c r="AI373" s="89">
        <f t="shared" ca="1" si="157"/>
        <v>-0.30434782608695654</v>
      </c>
      <c r="AJ373" s="49" t="e">
        <f t="shared" ca="1" si="158"/>
        <v>#DIV/0!</v>
      </c>
      <c r="AK373" s="46" t="str">
        <f t="shared" si="163"/>
        <v>-</v>
      </c>
      <c r="AL373" s="83"/>
      <c r="AM373" s="49" t="str">
        <f t="shared" si="159"/>
        <v>-</v>
      </c>
      <c r="AN373" s="148">
        <f t="shared" ca="1" si="160"/>
        <v>0.25676392572944295</v>
      </c>
      <c r="AU373" s="148"/>
    </row>
    <row r="374" spans="1:47" ht="16" customHeight="1" x14ac:dyDescent="0.2">
      <c r="A374" s="83" t="e" vm="342">
        <v>#VALUE!</v>
      </c>
      <c r="B374" s="83" t="str" cm="1">
        <f t="array" aca="1" ref="B374" ca="1">_FV(A374,"Ticker symbol",TRUE)</f>
        <v>DUOL</v>
      </c>
      <c r="C374" s="49"/>
      <c r="D374" s="83" cm="1">
        <f t="array" aca="1" ref="D374" ca="1">_FV(A374,"Price")</f>
        <v>103.3</v>
      </c>
      <c r="E374" s="46"/>
      <c r="F374" s="46"/>
      <c r="G374" s="46"/>
      <c r="H374" s="46"/>
      <c r="I374" s="84">
        <v>251</v>
      </c>
      <c r="J374" s="83" cm="1">
        <f t="array" aca="1" ref="J374" ca="1">_FV(A374,"High")</f>
        <v>106.215</v>
      </c>
      <c r="K374" s="83" cm="1">
        <f t="array" aca="1" ref="K374" ca="1">_FV(A374,"Low")</f>
        <v>102</v>
      </c>
      <c r="L374" s="75" cm="1">
        <f t="array" aca="1" ref="L374" ca="1">_FV(A374,"52 week high",TRUE)</f>
        <v>544.92999999999995</v>
      </c>
      <c r="M374" s="75" t="e" cm="1" vm="224">
        <f t="array" aca="1" ref="M374" ca="1">_FV(B374,"52 week high",TRUE)</f>
        <v>#VALUE!</v>
      </c>
      <c r="N374" s="75" t="e" cm="1" vm="224">
        <f t="array" ref="N374">_FV(C374,"52 week high",TRUE)</f>
        <v>#VALUE!</v>
      </c>
      <c r="O374" s="75" cm="1">
        <f t="array" aca="1" ref="O374" ca="1">_FV(A374,"52 week low",TRUE)</f>
        <v>87.89</v>
      </c>
      <c r="S374" s="83" t="s">
        <v>76</v>
      </c>
      <c r="T374" s="112" t="s">
        <v>78</v>
      </c>
      <c r="U374" s="112"/>
      <c r="V374" s="93">
        <v>45546</v>
      </c>
      <c r="W374" s="94" t="s">
        <v>11</v>
      </c>
      <c r="X374" s="85" t="s">
        <v>11</v>
      </c>
      <c r="Y374" s="84">
        <v>214.5</v>
      </c>
      <c r="Z374" s="84" t="s">
        <v>11</v>
      </c>
      <c r="AA374" s="84" t="s">
        <v>11</v>
      </c>
      <c r="AB374" s="84"/>
      <c r="AC374" s="84">
        <v>251</v>
      </c>
      <c r="AD374" s="84">
        <v>251</v>
      </c>
      <c r="AE374" s="46">
        <f t="shared" si="161"/>
        <v>0.17016317016317006</v>
      </c>
      <c r="AF374" s="86" t="s">
        <v>11</v>
      </c>
      <c r="AG374" s="89" t="e">
        <f ca="1">IF(Z374="-",+AF374/D374-1,AF374/AC374-1)</f>
        <v>#VALUE!</v>
      </c>
      <c r="AH374" s="86">
        <v>202</v>
      </c>
      <c r="AI374" s="89">
        <f t="shared" si="157"/>
        <v>-5.82750582750583E-2</v>
      </c>
      <c r="AJ374" s="49" t="str">
        <f t="shared" si="158"/>
        <v>-</v>
      </c>
      <c r="AK374" s="46" t="str">
        <f t="shared" si="163"/>
        <v>-</v>
      </c>
      <c r="AL374" s="83"/>
      <c r="AM374" s="49" t="str">
        <f t="shared" si="159"/>
        <v>-</v>
      </c>
      <c r="AN374" s="148">
        <f t="shared" ca="1" si="160"/>
        <v>-0.51841491841491849</v>
      </c>
      <c r="AU374" s="148"/>
    </row>
    <row r="375" spans="1:47" ht="16" customHeight="1" x14ac:dyDescent="0.2">
      <c r="A375" s="83" t="e" vm="343">
        <v>#VALUE!</v>
      </c>
      <c r="B375" s="83" t="str" cm="1">
        <f t="array" aca="1" ref="B375" ca="1">_FV(A375,"Ticker symbol",TRUE)</f>
        <v>TVTX</v>
      </c>
      <c r="C375" s="49"/>
      <c r="D375" s="83" cm="1">
        <f t="array" aca="1" ref="D375" ca="1">_FV(A375,"Price")</f>
        <v>40.81</v>
      </c>
      <c r="E375" s="46"/>
      <c r="F375" s="46"/>
      <c r="G375" s="46"/>
      <c r="H375" s="46"/>
      <c r="I375" s="84">
        <v>13.98</v>
      </c>
      <c r="J375" s="83" cm="1">
        <f t="array" aca="1" ref="J375" ca="1">_FV(A375,"High")</f>
        <v>41.43</v>
      </c>
      <c r="K375" s="83" cm="1">
        <f t="array" aca="1" ref="K375" ca="1">_FV(A375,"Low")</f>
        <v>40.5</v>
      </c>
      <c r="L375" s="75" cm="1">
        <f t="array" aca="1" ref="L375" ca="1">_FV(A375,"52 week high",TRUE)</f>
        <v>43.31</v>
      </c>
      <c r="M375" s="75" t="e" cm="1" vm="224">
        <f t="array" aca="1" ref="M375" ca="1">_FV(B375,"52 week high",TRUE)</f>
        <v>#VALUE!</v>
      </c>
      <c r="N375" s="75" t="e" cm="1" vm="224">
        <f t="array" ref="N375">_FV(C375,"52 week high",TRUE)</f>
        <v>#VALUE!</v>
      </c>
      <c r="O375" s="75" cm="1">
        <f t="array" aca="1" ref="O375" ca="1">_FV(A375,"52 week low",TRUE)</f>
        <v>13.88</v>
      </c>
      <c r="S375" s="83" t="s">
        <v>76</v>
      </c>
      <c r="T375" s="112" t="s">
        <v>78</v>
      </c>
      <c r="U375" s="112" t="s">
        <v>88</v>
      </c>
      <c r="V375" s="93">
        <v>45544</v>
      </c>
      <c r="W375" s="94" t="s">
        <v>11</v>
      </c>
      <c r="X375" s="85" t="s">
        <v>11</v>
      </c>
      <c r="Y375" s="84">
        <v>11.25</v>
      </c>
      <c r="Z375" s="84" t="s">
        <v>11</v>
      </c>
      <c r="AA375" s="84" t="s">
        <v>11</v>
      </c>
      <c r="AB375" s="84"/>
      <c r="AC375" s="84">
        <v>13.98</v>
      </c>
      <c r="AD375" s="84"/>
      <c r="AE375" s="46">
        <f t="shared" si="161"/>
        <v>0.24266666666666681</v>
      </c>
      <c r="AF375" s="86" t="s">
        <v>11</v>
      </c>
      <c r="AG375" s="89" t="s">
        <v>11</v>
      </c>
      <c r="AH375" s="86">
        <v>9.8699999999999992</v>
      </c>
      <c r="AI375" s="89">
        <f t="shared" ref="AI375:AI406" si="164">IF(Z375="-",AH375/Y375-1,+AH375/D375-1)</f>
        <v>-0.1226666666666667</v>
      </c>
      <c r="AJ375" s="49" t="str">
        <f t="shared" ref="AJ375:AJ406" si="165">IF(Z375="-","-",+(D375/Z375)-1)</f>
        <v>-</v>
      </c>
      <c r="AK375" s="46" t="str">
        <f t="shared" si="163"/>
        <v>-</v>
      </c>
      <c r="AL375" s="83"/>
      <c r="AM375" s="49" t="str">
        <f t="shared" ref="AM375:AM406" si="166">IF(AL375=0,"-",+AL375/Z375-1)</f>
        <v>-</v>
      </c>
      <c r="AN375" s="148">
        <f t="shared" ref="AN375:AN406" ca="1" si="167">+D375/Y375-1</f>
        <v>2.6275555555555559</v>
      </c>
      <c r="AU375" s="148"/>
    </row>
    <row r="376" spans="1:47" ht="16" customHeight="1" x14ac:dyDescent="0.2">
      <c r="A376" s="83" t="e" vm="344">
        <v>#VALUE!</v>
      </c>
      <c r="B376" s="83" t="str" cm="1">
        <f t="array" aca="1" ref="B376" ca="1">_FV(A376,"Ticker symbol",TRUE)</f>
        <v>PPL</v>
      </c>
      <c r="C376" s="49"/>
      <c r="D376" s="83" cm="1">
        <f t="array" aca="1" ref="D376" ca="1">_FV(A376,"Price")</f>
        <v>38.74</v>
      </c>
      <c r="E376" s="46"/>
      <c r="F376" s="46"/>
      <c r="G376" s="46"/>
      <c r="H376" s="46"/>
      <c r="I376" s="84">
        <v>37.200000000000003</v>
      </c>
      <c r="J376" s="83" cm="1">
        <f t="array" aca="1" ref="J376" ca="1">_FV(A376,"High")</f>
        <v>39.129800000000003</v>
      </c>
      <c r="K376" s="83" cm="1">
        <f t="array" aca="1" ref="K376" ca="1">_FV(A376,"Low")</f>
        <v>38.74</v>
      </c>
      <c r="L376" s="75" cm="1">
        <f t="array" aca="1" ref="L376" ca="1">_FV(A376,"52 week high",TRUE)</f>
        <v>40.104999999999997</v>
      </c>
      <c r="M376" s="75" t="e" cm="1" vm="224">
        <f t="array" aca="1" ref="M376" ca="1">_FV(B376,"52 week high",TRUE)</f>
        <v>#VALUE!</v>
      </c>
      <c r="N376" s="75" t="e" cm="1" vm="224">
        <f t="array" ref="N376">_FV(C376,"52 week high",TRUE)</f>
        <v>#VALUE!</v>
      </c>
      <c r="O376" s="75" cm="1">
        <f t="array" aca="1" ref="O376" ca="1">_FV(A376,"52 week low",TRUE)</f>
        <v>33.115000000000002</v>
      </c>
      <c r="S376" s="83" t="s">
        <v>75</v>
      </c>
      <c r="T376" s="112" t="s">
        <v>78</v>
      </c>
      <c r="U376" s="112"/>
      <c r="V376" s="93">
        <v>45509</v>
      </c>
      <c r="W376" s="94" t="s">
        <v>11</v>
      </c>
      <c r="X376" s="85" t="s">
        <v>11</v>
      </c>
      <c r="Y376" s="84">
        <v>30.72</v>
      </c>
      <c r="Z376" s="84" t="s">
        <v>11</v>
      </c>
      <c r="AA376" s="84" t="s">
        <v>11</v>
      </c>
      <c r="AB376" s="84"/>
      <c r="AC376" s="84">
        <v>37.200000000000003</v>
      </c>
      <c r="AD376" s="84"/>
      <c r="AE376" s="46">
        <f t="shared" si="161"/>
        <v>0.21093750000000022</v>
      </c>
      <c r="AF376" s="86" t="s">
        <v>11</v>
      </c>
      <c r="AG376" s="89" t="e">
        <f ca="1">IF(Z376="-",+AF376/D376-1,AF376/AC376-1)</f>
        <v>#VALUE!</v>
      </c>
      <c r="AH376" s="86">
        <v>27.48</v>
      </c>
      <c r="AI376" s="89">
        <f t="shared" si="164"/>
        <v>-0.10546875</v>
      </c>
      <c r="AJ376" s="49" t="str">
        <f t="shared" si="165"/>
        <v>-</v>
      </c>
      <c r="AK376" s="46" t="str">
        <f t="shared" si="163"/>
        <v>-</v>
      </c>
      <c r="AL376" s="83"/>
      <c r="AM376" s="49" t="str">
        <f t="shared" si="166"/>
        <v>-</v>
      </c>
      <c r="AN376" s="148">
        <f t="shared" ca="1" si="167"/>
        <v>0.26106770833333348</v>
      </c>
      <c r="AU376" s="148"/>
    </row>
    <row r="377" spans="1:47" ht="16" customHeight="1" x14ac:dyDescent="0.2">
      <c r="A377" s="83" t="e" vm="345">
        <v>#VALUE!</v>
      </c>
      <c r="B377" s="83" t="str" cm="1">
        <f t="array" aca="1" ref="B377" ca="1">_FV(A377,"Ticker symbol",TRUE)</f>
        <v>EA</v>
      </c>
      <c r="C377" s="49"/>
      <c r="D377" s="83" cm="1">
        <f t="array" aca="1" ref="D377" ca="1">_FV(A377,"Price")</f>
        <v>202.45</v>
      </c>
      <c r="E377" s="46"/>
      <c r="F377" s="46"/>
      <c r="G377" s="46"/>
      <c r="H377" s="46"/>
      <c r="I377" s="84">
        <v>174.8</v>
      </c>
      <c r="J377" s="83" cm="1">
        <f t="array" aca="1" ref="J377" ca="1">_FV(A377,"High")</f>
        <v>203.36</v>
      </c>
      <c r="K377" s="83" cm="1">
        <f t="array" aca="1" ref="K377" ca="1">_FV(A377,"Low")</f>
        <v>202.21</v>
      </c>
      <c r="L377" s="75" cm="1">
        <f t="array" aca="1" ref="L377" ca="1">_FV(A377,"52 week high",TRUE)</f>
        <v>204.88499999999999</v>
      </c>
      <c r="M377" s="75" t="e" cm="1" vm="224">
        <f t="array" aca="1" ref="M377" ca="1">_FV(B377,"52 week high",TRUE)</f>
        <v>#VALUE!</v>
      </c>
      <c r="N377" s="75" t="e" cm="1" vm="224">
        <f t="array" ref="N377">_FV(C377,"52 week high",TRUE)</f>
        <v>#VALUE!</v>
      </c>
      <c r="O377" s="75" cm="1">
        <f t="array" aca="1" ref="O377" ca="1">_FV(A377,"52 week low",TRUE)</f>
        <v>141.19</v>
      </c>
      <c r="S377" s="83" t="s">
        <v>76</v>
      </c>
      <c r="T377" s="112" t="s">
        <v>78</v>
      </c>
      <c r="U377" s="112"/>
      <c r="V377" s="93">
        <v>45505</v>
      </c>
      <c r="W377" s="94" t="s">
        <v>11</v>
      </c>
      <c r="X377" s="85" t="s">
        <v>11</v>
      </c>
      <c r="Y377" s="84">
        <v>150.72999999999999</v>
      </c>
      <c r="Z377" s="84" t="s">
        <v>11</v>
      </c>
      <c r="AA377" s="84" t="s">
        <v>11</v>
      </c>
      <c r="AB377" s="84"/>
      <c r="AC377" s="84">
        <v>174.8</v>
      </c>
      <c r="AD377" s="84"/>
      <c r="AE377" s="46" t="s">
        <v>11</v>
      </c>
      <c r="AF377" s="86" t="s">
        <v>11</v>
      </c>
      <c r="AG377" s="89" t="s">
        <v>11</v>
      </c>
      <c r="AH377" s="86">
        <v>135.9</v>
      </c>
      <c r="AI377" s="89">
        <f t="shared" si="164"/>
        <v>-9.8387845817023756E-2</v>
      </c>
      <c r="AJ377" s="49" t="str">
        <f t="shared" si="165"/>
        <v>-</v>
      </c>
      <c r="AK377" s="46" t="str">
        <f t="shared" si="163"/>
        <v>-</v>
      </c>
      <c r="AL377" s="83"/>
      <c r="AM377" s="49" t="str">
        <f t="shared" si="166"/>
        <v>-</v>
      </c>
      <c r="AN377" s="148">
        <f t="shared" ca="1" si="167"/>
        <v>0.34313010017912826</v>
      </c>
      <c r="AU377" s="148"/>
    </row>
    <row r="378" spans="1:47" ht="16" customHeight="1" x14ac:dyDescent="0.2">
      <c r="A378" s="83" t="e" vm="346">
        <v>#VALUE!</v>
      </c>
      <c r="B378" s="83" t="str" cm="1">
        <f t="array" aca="1" ref="B378" ca="1">_FV(A378,"Ticker symbol",TRUE)</f>
        <v>BX</v>
      </c>
      <c r="C378" s="49"/>
      <c r="D378" s="83" cm="1">
        <f t="array" aca="1" ref="D378" ca="1">_FV(A378,"Price")</f>
        <v>120.47</v>
      </c>
      <c r="E378" s="46"/>
      <c r="F378" s="46"/>
      <c r="G378" s="46"/>
      <c r="H378" s="46"/>
      <c r="I378" s="84">
        <v>179.39</v>
      </c>
      <c r="J378" s="83" cm="1">
        <f t="array" aca="1" ref="J378" ca="1">_FV(A378,"High")</f>
        <v>123.72</v>
      </c>
      <c r="K378" s="83" cm="1">
        <f t="array" aca="1" ref="K378" ca="1">_FV(A378,"Low")</f>
        <v>118.85</v>
      </c>
      <c r="L378" s="75" cm="1">
        <f t="array" aca="1" ref="L378" ca="1">_FV(A378,"52 week high",TRUE)</f>
        <v>190.08500000000001</v>
      </c>
      <c r="M378" s="75" t="e" cm="1" vm="224">
        <f t="array" aca="1" ref="M378" ca="1">_FV(B378,"52 week high",TRUE)</f>
        <v>#VALUE!</v>
      </c>
      <c r="N378" s="75" t="e" cm="1" vm="224">
        <f t="array" ref="N378">_FV(C378,"52 week high",TRUE)</f>
        <v>#VALUE!</v>
      </c>
      <c r="O378" s="75" cm="1">
        <f t="array" aca="1" ref="O378" ca="1">_FV(A378,"52 week low",TRUE)</f>
        <v>101.73</v>
      </c>
      <c r="S378" s="83" t="s">
        <v>76</v>
      </c>
      <c r="T378" s="112" t="s">
        <v>78</v>
      </c>
      <c r="U378" s="112"/>
      <c r="V378" s="93">
        <v>45495</v>
      </c>
      <c r="W378" s="94" t="s">
        <v>11</v>
      </c>
      <c r="X378" s="85" t="s">
        <v>11</v>
      </c>
      <c r="Y378" s="84">
        <v>139.52000000000001</v>
      </c>
      <c r="Z378" s="84" t="s">
        <v>11</v>
      </c>
      <c r="AA378" s="84" t="s">
        <v>11</v>
      </c>
      <c r="AB378" s="84"/>
      <c r="AC378" s="84">
        <v>179.39</v>
      </c>
      <c r="AD378" s="84"/>
      <c r="AE378" s="46">
        <f t="shared" ref="AE378:AE405" si="168">IF(Z378="-",+AC378/Y378-1,AC378/D378-1)</f>
        <v>0.28576548165137594</v>
      </c>
      <c r="AF378" s="86">
        <v>199.48</v>
      </c>
      <c r="AG378" s="89">
        <f ca="1">IF(Z378="-",+AF378/D378-1,AF378/AC378-1)</f>
        <v>0.65584792894496546</v>
      </c>
      <c r="AH378" s="86">
        <v>119.69</v>
      </c>
      <c r="AI378" s="89">
        <f t="shared" si="164"/>
        <v>-0.1421301605504588</v>
      </c>
      <c r="AJ378" s="49" t="str">
        <f t="shared" si="165"/>
        <v>-</v>
      </c>
      <c r="AK378" s="46" t="str">
        <f t="shared" si="163"/>
        <v>-</v>
      </c>
      <c r="AL378" s="83"/>
      <c r="AM378" s="49" t="str">
        <f t="shared" si="166"/>
        <v>-</v>
      </c>
      <c r="AN378" s="148">
        <f t="shared" ca="1" si="167"/>
        <v>-0.13653956422018354</v>
      </c>
      <c r="AU378" s="148"/>
    </row>
    <row r="379" spans="1:47" ht="16" customHeight="1" x14ac:dyDescent="0.2">
      <c r="A379" s="83" t="e" vm="347">
        <v>#VALUE!</v>
      </c>
      <c r="B379" s="83" t="str" cm="1">
        <f t="array" aca="1" ref="B379" ca="1">_FV(A379,"Ticker symbol",TRUE)</f>
        <v>MTX</v>
      </c>
      <c r="C379" s="49"/>
      <c r="D379" s="83" cm="1">
        <f t="array" aca="1" ref="D379" ca="1">_FV(A379,"Price")</f>
        <v>291</v>
      </c>
      <c r="E379" s="46"/>
      <c r="F379" s="46"/>
      <c r="G379" s="46"/>
      <c r="H379" s="46"/>
      <c r="I379" s="84">
        <v>299.39999999999998</v>
      </c>
      <c r="J379" s="83" cm="1">
        <f t="array" aca="1" ref="J379" ca="1">_FV(A379,"High")</f>
        <v>294.3</v>
      </c>
      <c r="K379" s="83" cm="1">
        <f t="array" aca="1" ref="K379" ca="1">_FV(A379,"Low")</f>
        <v>288.89999999999998</v>
      </c>
      <c r="L379" s="75" cm="1">
        <f t="array" aca="1" ref="L379" ca="1">_FV(A379,"52 week high",TRUE)</f>
        <v>402.7</v>
      </c>
      <c r="M379" s="75" t="e" cm="1" vm="224">
        <f t="array" aca="1" ref="M379" ca="1">_FV(B379,"52 week high",TRUE)</f>
        <v>#VALUE!</v>
      </c>
      <c r="N379" s="75" t="e" cm="1" vm="224">
        <f t="array" ref="N379">_FV(C379,"52 week high",TRUE)</f>
        <v>#VALUE!</v>
      </c>
      <c r="O379" s="75" cm="1">
        <f t="array" aca="1" ref="O379" ca="1">_FV(A379,"52 week low",TRUE)</f>
        <v>99.98</v>
      </c>
      <c r="S379" s="83" t="s">
        <v>76</v>
      </c>
      <c r="T379" s="112" t="s">
        <v>78</v>
      </c>
      <c r="U379" s="112"/>
      <c r="V379" s="93">
        <v>45481</v>
      </c>
      <c r="W379" s="94"/>
      <c r="X379" s="85" t="s">
        <v>11</v>
      </c>
      <c r="Y379" s="84">
        <v>243.2</v>
      </c>
      <c r="Z379" s="84" t="s">
        <v>11</v>
      </c>
      <c r="AA379" s="84" t="s">
        <v>11</v>
      </c>
      <c r="AB379" s="84"/>
      <c r="AC379" s="84">
        <v>299.39999999999998</v>
      </c>
      <c r="AD379" s="84"/>
      <c r="AE379" s="46">
        <f t="shared" si="168"/>
        <v>0.23108552631578938</v>
      </c>
      <c r="AF379" s="86" t="s">
        <v>11</v>
      </c>
      <c r="AG379" s="89" t="s">
        <v>11</v>
      </c>
      <c r="AH379" s="86">
        <v>210.7</v>
      </c>
      <c r="AI379" s="89">
        <f t="shared" si="164"/>
        <v>-0.13363486842105265</v>
      </c>
      <c r="AJ379" s="49" t="str">
        <f t="shared" si="165"/>
        <v>-</v>
      </c>
      <c r="AK379" s="46" t="str">
        <f t="shared" si="163"/>
        <v>-</v>
      </c>
      <c r="AL379" s="83"/>
      <c r="AM379" s="49" t="str">
        <f t="shared" si="166"/>
        <v>-</v>
      </c>
      <c r="AN379" s="148">
        <f t="shared" ca="1" si="167"/>
        <v>0.19654605263157898</v>
      </c>
      <c r="AU379" s="148"/>
    </row>
    <row r="380" spans="1:47" ht="16" customHeight="1" x14ac:dyDescent="0.2">
      <c r="A380" s="83" t="e" vm="348">
        <v>#VALUE!</v>
      </c>
      <c r="B380" s="83" t="str" cm="1">
        <f t="array" aca="1" ref="B380" ca="1">_FV(A380,"Ticker symbol",TRUE)</f>
        <v>CVLT</v>
      </c>
      <c r="C380" s="49"/>
      <c r="D380" s="83" cm="1">
        <f t="array" aca="1" ref="D380" ca="1">_FV(A380,"Price")</f>
        <v>88.41</v>
      </c>
      <c r="E380" s="46"/>
      <c r="F380" s="46"/>
      <c r="G380" s="46"/>
      <c r="H380" s="46"/>
      <c r="I380" s="84">
        <v>190.14</v>
      </c>
      <c r="J380" s="83" cm="1">
        <f t="array" aca="1" ref="J380" ca="1">_FV(A380,"High")</f>
        <v>93.53</v>
      </c>
      <c r="K380" s="83" cm="1">
        <f t="array" aca="1" ref="K380" ca="1">_FV(A380,"Low")</f>
        <v>87.795000000000002</v>
      </c>
      <c r="L380" s="75" cm="1">
        <f t="array" aca="1" ref="L380" ca="1">_FV(A380,"52 week high",TRUE)</f>
        <v>200.68459999999999</v>
      </c>
      <c r="M380" s="75" t="e" cm="1" vm="224">
        <f t="array" aca="1" ref="M380" ca="1">_FV(B380,"52 week high",TRUE)</f>
        <v>#VALUE!</v>
      </c>
      <c r="N380" s="75" t="e" cm="1" vm="224">
        <f t="array" ref="N380">_FV(C380,"52 week high",TRUE)</f>
        <v>#VALUE!</v>
      </c>
      <c r="O380" s="75" cm="1">
        <f t="array" aca="1" ref="O380" ca="1">_FV(A380,"52 week low",TRUE)</f>
        <v>71.75</v>
      </c>
      <c r="S380" s="83" t="s">
        <v>76</v>
      </c>
      <c r="T380" s="112" t="s">
        <v>78</v>
      </c>
      <c r="U380" s="112"/>
      <c r="V380" s="93">
        <v>45574</v>
      </c>
      <c r="W380" s="94" t="s">
        <v>11</v>
      </c>
      <c r="X380" s="85" t="s">
        <v>11</v>
      </c>
      <c r="Y380" s="84">
        <v>160.01</v>
      </c>
      <c r="Z380" s="84" t="s">
        <v>11</v>
      </c>
      <c r="AA380" s="84" t="s">
        <v>11</v>
      </c>
      <c r="AB380" s="84"/>
      <c r="AC380" s="84">
        <v>190.14</v>
      </c>
      <c r="AD380" s="84"/>
      <c r="AE380" s="46">
        <f t="shared" si="168"/>
        <v>0.18830073120429969</v>
      </c>
      <c r="AF380" s="86" t="s">
        <v>11</v>
      </c>
      <c r="AG380" s="89" t="e">
        <f t="shared" ref="AG380:AG385" ca="1" si="169">IF(Z380="-",+AF380/D380-1,AF380/AC380-1)</f>
        <v>#VALUE!</v>
      </c>
      <c r="AH380" s="86">
        <v>144.96</v>
      </c>
      <c r="AI380" s="89">
        <f t="shared" si="164"/>
        <v>-9.4056621461158563E-2</v>
      </c>
      <c r="AJ380" s="49" t="str">
        <f t="shared" si="165"/>
        <v>-</v>
      </c>
      <c r="AK380" s="46" t="str">
        <f t="shared" si="163"/>
        <v>-</v>
      </c>
      <c r="AL380" s="83"/>
      <c r="AM380" s="49" t="str">
        <f t="shared" si="166"/>
        <v>-</v>
      </c>
      <c r="AN380" s="148">
        <f t="shared" ca="1" si="167"/>
        <v>-0.44747203299793759</v>
      </c>
      <c r="AU380" s="148"/>
    </row>
    <row r="381" spans="1:47" ht="16" customHeight="1" x14ac:dyDescent="0.2">
      <c r="A381" s="83" t="e" vm="349">
        <v>#VALUE!</v>
      </c>
      <c r="B381" s="83" t="str" cm="1">
        <f t="array" aca="1" ref="B381" ca="1">_FV(A381,"Ticker symbol",TRUE)</f>
        <v>ANE</v>
      </c>
      <c r="C381" s="49"/>
      <c r="D381" s="83" cm="1">
        <f t="array" aca="1" ref="D381" ca="1">_FV(A381,"Price")</f>
        <v>22.64</v>
      </c>
      <c r="E381" s="46"/>
      <c r="F381" s="46"/>
      <c r="G381" s="46"/>
      <c r="H381" s="46"/>
      <c r="I381" s="84">
        <v>23.78</v>
      </c>
      <c r="J381" s="83" cm="1">
        <f t="array" aca="1" ref="J381" ca="1">_FV(A381,"High")</f>
        <v>23.02</v>
      </c>
      <c r="K381" s="83" cm="1">
        <f t="array" aca="1" ref="K381" ca="1">_FV(A381,"Low")</f>
        <v>22.32</v>
      </c>
      <c r="L381" s="75" cm="1">
        <f t="array" aca="1" ref="L381" ca="1">_FV(A381,"52 week high",TRUE)</f>
        <v>25.64</v>
      </c>
      <c r="M381" s="75" t="e" cm="1" vm="224">
        <f t="array" aca="1" ref="M381" ca="1">_FV(B381,"52 week high",TRUE)</f>
        <v>#VALUE!</v>
      </c>
      <c r="N381" s="75" t="e" cm="1" vm="224">
        <f t="array" ref="N381">_FV(C381,"52 week high",TRUE)</f>
        <v>#VALUE!</v>
      </c>
      <c r="O381" s="75" cm="1">
        <f t="array" aca="1" ref="O381" ca="1">_FV(A381,"52 week low",TRUE)</f>
        <v>15.82</v>
      </c>
      <c r="S381" s="83" t="s">
        <v>75</v>
      </c>
      <c r="T381" s="112" t="s">
        <v>78</v>
      </c>
      <c r="U381" s="112"/>
      <c r="V381" s="93">
        <v>45586</v>
      </c>
      <c r="W381" s="94" t="s">
        <v>11</v>
      </c>
      <c r="X381" s="85" t="s">
        <v>11</v>
      </c>
      <c r="Y381" s="84">
        <v>21.04</v>
      </c>
      <c r="Z381" s="84" t="s">
        <v>11</v>
      </c>
      <c r="AA381" s="84" t="s">
        <v>11</v>
      </c>
      <c r="AB381" s="84"/>
      <c r="AC381" s="84">
        <v>23.78</v>
      </c>
      <c r="AD381" s="84"/>
      <c r="AE381" s="46">
        <f t="shared" si="168"/>
        <v>0.13022813688212942</v>
      </c>
      <c r="AF381" s="86">
        <v>25.18</v>
      </c>
      <c r="AG381" s="89">
        <f t="shared" ca="1" si="169"/>
        <v>0.11219081272084797</v>
      </c>
      <c r="AH381" s="86">
        <v>19.68</v>
      </c>
      <c r="AI381" s="89">
        <f t="shared" si="164"/>
        <v>-6.4638783269961975E-2</v>
      </c>
      <c r="AJ381" s="49" t="str">
        <f t="shared" si="165"/>
        <v>-</v>
      </c>
      <c r="AK381" s="46" t="str">
        <f t="shared" si="163"/>
        <v>-</v>
      </c>
      <c r="AL381" s="83"/>
      <c r="AM381" s="49" t="str">
        <f t="shared" si="166"/>
        <v>-</v>
      </c>
      <c r="AN381" s="148">
        <f t="shared" ca="1" si="167"/>
        <v>7.6045627376425839E-2</v>
      </c>
      <c r="AU381" s="148"/>
    </row>
    <row r="382" spans="1:47" ht="16" customHeight="1" x14ac:dyDescent="0.2">
      <c r="A382" s="83" t="e" vm="350">
        <v>#VALUE!</v>
      </c>
      <c r="B382" s="83" t="str" cm="1">
        <f t="array" aca="1" ref="B382" ca="1">_FV(A382,"Ticker symbol",TRUE)</f>
        <v>RACE</v>
      </c>
      <c r="C382" s="49"/>
      <c r="D382" s="83" cm="1">
        <f t="array" aca="1" ref="D382" ca="1">_FV(A382,"Price")</f>
        <v>296.10000000000002</v>
      </c>
      <c r="E382" s="46"/>
      <c r="F382" s="46"/>
      <c r="G382" s="46"/>
      <c r="H382" s="46"/>
      <c r="I382" s="84">
        <v>472.2</v>
      </c>
      <c r="J382" s="83" cm="1">
        <f t="array" aca="1" ref="J382" ca="1">_FV(A382,"High")</f>
        <v>300.05</v>
      </c>
      <c r="K382" s="83" cm="1">
        <f t="array" aca="1" ref="K382" ca="1">_FV(A382,"Low")</f>
        <v>296.10000000000002</v>
      </c>
      <c r="L382" s="75" cm="1">
        <f t="array" aca="1" ref="L382" ca="1">_FV(A382,"52 week high",TRUE)</f>
        <v>449.8</v>
      </c>
      <c r="M382" s="75" t="e" cm="1" vm="224">
        <f t="array" aca="1" ref="M382" ca="1">_FV(B382,"52 week high",TRUE)</f>
        <v>#VALUE!</v>
      </c>
      <c r="N382" s="75" t="e" cm="1" vm="224">
        <f t="array" ref="N382">_FV(C382,"52 week high",TRUE)</f>
        <v>#VALUE!</v>
      </c>
      <c r="O382" s="75" cm="1">
        <f t="array" aca="1" ref="O382" ca="1">_FV(A382,"52 week low",TRUE)</f>
        <v>269</v>
      </c>
      <c r="S382" s="83" t="s">
        <v>75</v>
      </c>
      <c r="T382" s="112" t="s">
        <v>78</v>
      </c>
      <c r="U382" s="112"/>
      <c r="V382" s="93">
        <v>45578</v>
      </c>
      <c r="W382" s="94" t="s">
        <v>11</v>
      </c>
      <c r="X382" s="85" t="s">
        <v>11</v>
      </c>
      <c r="Y382" s="84">
        <v>427</v>
      </c>
      <c r="Z382" s="84" t="s">
        <v>11</v>
      </c>
      <c r="AA382" s="84" t="s">
        <v>11</v>
      </c>
      <c r="AB382" s="84"/>
      <c r="AC382" s="84">
        <v>472.2</v>
      </c>
      <c r="AD382" s="84"/>
      <c r="AE382" s="46">
        <f t="shared" si="168"/>
        <v>0.10585480093676813</v>
      </c>
      <c r="AF382" s="86">
        <v>494.8</v>
      </c>
      <c r="AG382" s="89">
        <f t="shared" ca="1" si="169"/>
        <v>0.67105707531239434</v>
      </c>
      <c r="AH382" s="86">
        <v>404.4</v>
      </c>
      <c r="AI382" s="89">
        <f t="shared" si="164"/>
        <v>-5.2927400468384178E-2</v>
      </c>
      <c r="AJ382" s="49" t="str">
        <f t="shared" si="165"/>
        <v>-</v>
      </c>
      <c r="AK382" s="46" t="str">
        <f t="shared" si="163"/>
        <v>-</v>
      </c>
      <c r="AL382" s="83"/>
      <c r="AM382" s="49" t="str">
        <f t="shared" si="166"/>
        <v>-</v>
      </c>
      <c r="AN382" s="148">
        <f t="shared" ca="1" si="167"/>
        <v>-0.30655737704918029</v>
      </c>
      <c r="AU382" s="148"/>
    </row>
    <row r="383" spans="1:47" ht="16" customHeight="1" x14ac:dyDescent="0.2">
      <c r="A383" s="83" t="e" vm="351">
        <v>#VALUE!</v>
      </c>
      <c r="B383" s="83" t="str" cm="1">
        <f t="array" aca="1" ref="B383" ca="1">_FV(A383,"Ticker symbol",TRUE)</f>
        <v>VRNS</v>
      </c>
      <c r="C383" s="49"/>
      <c r="D383" s="83" cm="1">
        <f t="array" aca="1" ref="D383" ca="1">_FV(A383,"Price")</f>
        <v>25.05</v>
      </c>
      <c r="E383" s="46"/>
      <c r="F383" s="46"/>
      <c r="G383" s="46"/>
      <c r="H383" s="46"/>
      <c r="I383" s="84">
        <v>70.44</v>
      </c>
      <c r="J383" s="83" cm="1">
        <f t="array" aca="1" ref="J383" ca="1">_FV(A383,"High")</f>
        <v>25.309899999999999</v>
      </c>
      <c r="K383" s="83" cm="1">
        <f t="array" aca="1" ref="K383" ca="1">_FV(A383,"Low")</f>
        <v>24.29</v>
      </c>
      <c r="L383" s="75" cm="1">
        <f t="array" aca="1" ref="L383" ca="1">_FV(A383,"52 week high",TRUE)</f>
        <v>63.9</v>
      </c>
      <c r="M383" s="75" t="e" cm="1" vm="224">
        <f t="array" aca="1" ref="M383" ca="1">_FV(B383,"52 week high",TRUE)</f>
        <v>#VALUE!</v>
      </c>
      <c r="N383" s="75" t="e" cm="1" vm="224">
        <f t="array" ref="N383">_FV(C383,"52 week high",TRUE)</f>
        <v>#VALUE!</v>
      </c>
      <c r="O383" s="75" cm="1">
        <f t="array" aca="1" ref="O383" ca="1">_FV(A383,"52 week low",TRUE)</f>
        <v>19.7</v>
      </c>
      <c r="S383" s="83" t="s">
        <v>75</v>
      </c>
      <c r="T383" s="112" t="s">
        <v>78</v>
      </c>
      <c r="U383" s="112"/>
      <c r="V383" s="93">
        <v>45523</v>
      </c>
      <c r="W383" s="94" t="s">
        <v>11</v>
      </c>
      <c r="X383" s="85" t="s">
        <v>11</v>
      </c>
      <c r="Y383" s="84">
        <v>55.62</v>
      </c>
      <c r="Z383" s="84" t="s">
        <v>11</v>
      </c>
      <c r="AA383" s="84" t="s">
        <v>11</v>
      </c>
      <c r="AB383" s="84"/>
      <c r="AC383" s="84">
        <v>70.44</v>
      </c>
      <c r="AD383" s="84"/>
      <c r="AE383" s="46">
        <f t="shared" si="168"/>
        <v>0.26645091693635381</v>
      </c>
      <c r="AF383" s="86">
        <v>77.89</v>
      </c>
      <c r="AG383" s="89">
        <f t="shared" ca="1" si="169"/>
        <v>2.1093812375249499</v>
      </c>
      <c r="AH383" s="86">
        <v>48.21</v>
      </c>
      <c r="AI383" s="89">
        <f t="shared" si="164"/>
        <v>-0.1332254584681769</v>
      </c>
      <c r="AJ383" s="49" t="str">
        <f t="shared" si="165"/>
        <v>-</v>
      </c>
      <c r="AK383" s="46" t="str">
        <f t="shared" si="163"/>
        <v>-</v>
      </c>
      <c r="AL383" s="83"/>
      <c r="AM383" s="49" t="str">
        <f t="shared" si="166"/>
        <v>-</v>
      </c>
      <c r="AN383" s="148">
        <f t="shared" ca="1" si="167"/>
        <v>-0.54962243797195254</v>
      </c>
      <c r="AU383" s="148"/>
    </row>
    <row r="384" spans="1:47" ht="16" customHeight="1" x14ac:dyDescent="0.2">
      <c r="A384" s="83" t="e" vm="352">
        <v>#VALUE!</v>
      </c>
      <c r="B384" s="83" t="str" cm="1">
        <f t="array" aca="1" ref="B384" ca="1">_FV(A384,"Ticker symbol",TRUE)</f>
        <v>CASH</v>
      </c>
      <c r="C384" s="49"/>
      <c r="D384" s="83" cm="1">
        <f t="array" aca="1" ref="D384" ca="1">_FV(A384,"Price")</f>
        <v>0.627</v>
      </c>
      <c r="E384" s="46"/>
      <c r="F384" s="46"/>
      <c r="G384" s="46"/>
      <c r="H384" s="46"/>
      <c r="I384" s="84">
        <v>0.70799999999999996</v>
      </c>
      <c r="J384" s="83" cm="1">
        <f t="array" aca="1" ref="J384" ca="1">_FV(A384,"High")</f>
        <v>0.63300000000000001</v>
      </c>
      <c r="K384" s="83" cm="1">
        <f t="array" aca="1" ref="K384" ca="1">_FV(A384,"Low")</f>
        <v>0.623</v>
      </c>
      <c r="L384" s="75" cm="1">
        <f t="array" aca="1" ref="L384" ca="1">_FV(A384,"52 week high",TRUE)</f>
        <v>0.88600000000000001</v>
      </c>
      <c r="M384" s="75" t="e" cm="1" vm="224">
        <f t="array" aca="1" ref="M384" ca="1">_FV(B384,"52 week high",TRUE)</f>
        <v>#VALUE!</v>
      </c>
      <c r="N384" s="75" t="e" cm="1" vm="224">
        <f t="array" ref="N384">_FV(C384,"52 week high",TRUE)</f>
        <v>#VALUE!</v>
      </c>
      <c r="O384" s="75" cm="1">
        <f t="array" aca="1" ref="O384" ca="1">_FV(A384,"52 week low",TRUE)</f>
        <v>0.58799999999999997</v>
      </c>
      <c r="S384" s="83" t="s">
        <v>76</v>
      </c>
      <c r="T384" s="112" t="s">
        <v>78</v>
      </c>
      <c r="U384" s="112"/>
      <c r="V384" s="93">
        <v>45565</v>
      </c>
      <c r="W384" s="94" t="s">
        <v>11</v>
      </c>
      <c r="X384" s="85"/>
      <c r="Y384" s="84">
        <v>0.59199999999999997</v>
      </c>
      <c r="Z384" s="84"/>
      <c r="AA384" s="84" t="s">
        <v>11</v>
      </c>
      <c r="AB384" s="84"/>
      <c r="AC384" s="84">
        <v>0.70799999999999996</v>
      </c>
      <c r="AD384" s="84"/>
      <c r="AE384" s="46">
        <f t="shared" ca="1" si="168"/>
        <v>0.12918660287081329</v>
      </c>
      <c r="AF384" s="86" t="s">
        <v>11</v>
      </c>
      <c r="AG384" s="89" t="e">
        <f t="shared" si="169"/>
        <v>#VALUE!</v>
      </c>
      <c r="AH384" s="86">
        <v>0.53800000000000003</v>
      </c>
      <c r="AI384" s="89">
        <f t="shared" ca="1" si="164"/>
        <v>-0.14194577352472082</v>
      </c>
      <c r="AJ384" s="49" t="e">
        <f t="shared" ca="1" si="165"/>
        <v>#DIV/0!</v>
      </c>
      <c r="AK384" s="46" t="str">
        <f t="shared" si="163"/>
        <v>-</v>
      </c>
      <c r="AL384" s="83"/>
      <c r="AM384" s="49" t="str">
        <f t="shared" si="166"/>
        <v>-</v>
      </c>
      <c r="AN384" s="148">
        <f t="shared" ca="1" si="167"/>
        <v>5.9121621621621712E-2</v>
      </c>
      <c r="AU384" s="148"/>
    </row>
    <row r="385" spans="1:47" ht="16" customHeight="1" x14ac:dyDescent="0.2">
      <c r="A385" s="83" t="e" vm="353">
        <v>#VALUE!</v>
      </c>
      <c r="B385" s="83" t="str" cm="1">
        <f t="array" aca="1" ref="B385" ca="1">_FV(A385,"Ticker symbol",TRUE)</f>
        <v>AVGO</v>
      </c>
      <c r="C385" s="49"/>
      <c r="D385" s="83" cm="1">
        <f t="array" aca="1" ref="D385" ca="1">_FV(A385,"Price")</f>
        <v>418.2</v>
      </c>
      <c r="E385" s="46"/>
      <c r="F385" s="46"/>
      <c r="G385" s="46"/>
      <c r="H385" s="46"/>
      <c r="I385" s="84">
        <v>227.09</v>
      </c>
      <c r="J385" s="83" cm="1">
        <f t="array" aca="1" ref="J385" ca="1">_FV(A385,"High")</f>
        <v>422.75</v>
      </c>
      <c r="K385" s="83" cm="1">
        <f t="array" aca="1" ref="K385" ca="1">_FV(A385,"Low")</f>
        <v>414.63</v>
      </c>
      <c r="L385" s="75" cm="1">
        <f t="array" aca="1" ref="L385" ca="1">_FV(A385,"52 week high",TRUE)</f>
        <v>429.31</v>
      </c>
      <c r="M385" s="75" t="e" cm="1" vm="224">
        <f t="array" aca="1" ref="M385" ca="1">_FV(B385,"52 week high",TRUE)</f>
        <v>#VALUE!</v>
      </c>
      <c r="N385" s="75" t="e" cm="1" vm="224">
        <f t="array" ref="N385">_FV(C385,"52 week high",TRUE)</f>
        <v>#VALUE!</v>
      </c>
      <c r="O385" s="75" cm="1">
        <f t="array" aca="1" ref="O385" ca="1">_FV(A385,"52 week low",TRUE)</f>
        <v>184.02</v>
      </c>
      <c r="S385" s="83" t="s">
        <v>76</v>
      </c>
      <c r="T385" s="112" t="s">
        <v>78</v>
      </c>
      <c r="U385" s="112"/>
      <c r="V385" s="93">
        <v>45575</v>
      </c>
      <c r="W385" s="94" t="s">
        <v>11</v>
      </c>
      <c r="X385" s="85" t="s">
        <v>11</v>
      </c>
      <c r="Y385" s="84">
        <v>186.01</v>
      </c>
      <c r="Z385" s="84" t="s">
        <v>11</v>
      </c>
      <c r="AA385" s="84" t="s">
        <v>11</v>
      </c>
      <c r="AB385" s="84"/>
      <c r="AC385" s="84">
        <v>227.09</v>
      </c>
      <c r="AD385" s="84"/>
      <c r="AE385" s="46">
        <f t="shared" si="168"/>
        <v>0.22084834148701682</v>
      </c>
      <c r="AF385" s="86" t="s">
        <v>11</v>
      </c>
      <c r="AG385" s="89" t="e">
        <f t="shared" ca="1" si="169"/>
        <v>#VALUE!</v>
      </c>
      <c r="AH385" s="86">
        <v>165.48</v>
      </c>
      <c r="AI385" s="89">
        <f t="shared" si="164"/>
        <v>-0.11037041019300042</v>
      </c>
      <c r="AJ385" s="49" t="str">
        <f t="shared" si="165"/>
        <v>-</v>
      </c>
      <c r="AK385" s="46" t="str">
        <f t="shared" si="163"/>
        <v>-</v>
      </c>
      <c r="AL385" s="83"/>
      <c r="AM385" s="49" t="str">
        <f t="shared" si="166"/>
        <v>-</v>
      </c>
      <c r="AN385" s="148">
        <f t="shared" ca="1" si="167"/>
        <v>1.2482662222461158</v>
      </c>
      <c r="AU385" s="148"/>
    </row>
    <row r="386" spans="1:47" ht="16" customHeight="1" x14ac:dyDescent="0.2">
      <c r="A386" s="83" t="e" vm="354">
        <v>#VALUE!</v>
      </c>
      <c r="B386" s="83" t="str" cm="1">
        <f t="array" aca="1" ref="B386" ca="1">_FV(A386,"Ticker symbol",TRUE)</f>
        <v>VNA</v>
      </c>
      <c r="C386" s="49"/>
      <c r="D386" s="83" cm="1">
        <f t="array" aca="1" ref="D386" ca="1">_FV(A386,"Price")</f>
        <v>23.16</v>
      </c>
      <c r="E386" s="46"/>
      <c r="F386" s="46"/>
      <c r="G386" s="46"/>
      <c r="H386" s="46"/>
      <c r="I386" s="84">
        <v>37.92</v>
      </c>
      <c r="J386" s="83" cm="1">
        <f t="array" aca="1" ref="J386" ca="1">_FV(A386,"High")</f>
        <v>23.16</v>
      </c>
      <c r="K386" s="83" cm="1">
        <f t="array" aca="1" ref="K386" ca="1">_FV(A386,"Low")</f>
        <v>22.95</v>
      </c>
      <c r="L386" s="75" cm="1">
        <f t="array" aca="1" ref="L386" ca="1">_FV(A386,"52 week high",TRUE)</f>
        <v>62.68</v>
      </c>
      <c r="M386" s="75" t="e" cm="1" vm="224">
        <f t="array" aca="1" ref="M386" ca="1">_FV(B386,"52 week high",TRUE)</f>
        <v>#VALUE!</v>
      </c>
      <c r="N386" s="75" t="e" cm="1" vm="224">
        <f t="array" ref="N386">_FV(C386,"52 week high",TRUE)</f>
        <v>#VALUE!</v>
      </c>
      <c r="O386" s="75" cm="1">
        <f t="array" aca="1" ref="O386" ca="1">_FV(A386,"52 week low",TRUE)</f>
        <v>15.3</v>
      </c>
      <c r="S386" s="83" t="s">
        <v>75</v>
      </c>
      <c r="T386" s="112" t="s">
        <v>78</v>
      </c>
      <c r="U386" s="112"/>
      <c r="V386" s="93">
        <v>45533</v>
      </c>
      <c r="W386" s="94" t="s">
        <v>11</v>
      </c>
      <c r="X386" s="85" t="s">
        <v>11</v>
      </c>
      <c r="Y386" s="84">
        <v>30.62</v>
      </c>
      <c r="Z386" s="84" t="s">
        <v>11</v>
      </c>
      <c r="AA386" s="84" t="s">
        <v>11</v>
      </c>
      <c r="AB386" s="84"/>
      <c r="AC386" s="84">
        <v>37.92</v>
      </c>
      <c r="AD386" s="84"/>
      <c r="AE386" s="46">
        <f t="shared" si="168"/>
        <v>0.23840627041149576</v>
      </c>
      <c r="AF386" s="86" t="s">
        <v>11</v>
      </c>
      <c r="AG386" s="89" t="s">
        <v>11</v>
      </c>
      <c r="AH386" s="86">
        <v>26.98</v>
      </c>
      <c r="AI386" s="89">
        <f t="shared" si="164"/>
        <v>-0.11887655127367736</v>
      </c>
      <c r="AJ386" s="49" t="str">
        <f t="shared" si="165"/>
        <v>-</v>
      </c>
      <c r="AK386" s="46" t="str">
        <f t="shared" si="163"/>
        <v>-</v>
      </c>
      <c r="AL386" s="83"/>
      <c r="AM386" s="49" t="str">
        <f t="shared" si="166"/>
        <v>-</v>
      </c>
      <c r="AN386" s="148">
        <f t="shared" ca="1" si="167"/>
        <v>-0.24363161332462446</v>
      </c>
      <c r="AU386" s="148"/>
    </row>
    <row r="387" spans="1:47" ht="16" customHeight="1" x14ac:dyDescent="0.2">
      <c r="A387" s="83" t="e" vm="355">
        <v>#VALUE!</v>
      </c>
      <c r="B387" s="83" t="str" cm="1">
        <f t="array" aca="1" ref="B387" ca="1">_FV(A387,"Ticker symbol",TRUE)</f>
        <v>A2A</v>
      </c>
      <c r="C387" s="49"/>
      <c r="D387" s="83" cm="1">
        <f t="array" aca="1" ref="D387" ca="1">_FV(A387,"Price")</f>
        <v>2.3929999999999998</v>
      </c>
      <c r="E387" s="46"/>
      <c r="F387" s="46"/>
      <c r="G387" s="46"/>
      <c r="H387" s="46"/>
      <c r="I387" s="84">
        <v>2.4279999999999999</v>
      </c>
      <c r="J387" s="83" cm="1">
        <f t="array" aca="1" ref="J387" ca="1">_FV(A387,"High")</f>
        <v>2.4245000000000001</v>
      </c>
      <c r="K387" s="83" cm="1">
        <f t="array" aca="1" ref="K387" ca="1">_FV(A387,"Low")</f>
        <v>2.3660000000000001</v>
      </c>
      <c r="L387" s="75" cm="1">
        <f t="array" aca="1" ref="L387" ca="1">_FV(A387,"52 week high",TRUE)</f>
        <v>2.74</v>
      </c>
      <c r="M387" s="75" t="e" cm="1" vm="224">
        <f t="array" aca="1" ref="M387" ca="1">_FV(B387,"52 week high",TRUE)</f>
        <v>#VALUE!</v>
      </c>
      <c r="N387" s="75" t="e" cm="1" vm="224">
        <f t="array" ref="N387">_FV(C387,"52 week high",TRUE)</f>
        <v>#VALUE!</v>
      </c>
      <c r="O387" s="75" cm="1">
        <f t="array" aca="1" ref="O387" ca="1">_FV(A387,"52 week low",TRUE)</f>
        <v>2.0699999999999998</v>
      </c>
      <c r="S387" s="83" t="s">
        <v>75</v>
      </c>
      <c r="T387" s="112" t="s">
        <v>78</v>
      </c>
      <c r="U387" s="112"/>
      <c r="V387" s="93">
        <v>45523</v>
      </c>
      <c r="W387" s="94" t="s">
        <v>11</v>
      </c>
      <c r="X387" s="85" t="s">
        <v>11</v>
      </c>
      <c r="Y387" s="84">
        <v>2.028</v>
      </c>
      <c r="Z387" s="84" t="s">
        <v>11</v>
      </c>
      <c r="AA387" s="84" t="s">
        <v>11</v>
      </c>
      <c r="AB387" s="84"/>
      <c r="AC387" s="84">
        <v>2.4279999999999999</v>
      </c>
      <c r="AD387" s="84"/>
      <c r="AE387" s="46">
        <f t="shared" si="168"/>
        <v>0.19723865877712021</v>
      </c>
      <c r="AF387" s="86">
        <v>2.6280000000000001</v>
      </c>
      <c r="AG387" s="89">
        <f t="shared" ref="AG387:AG395" ca="1" si="170">IF(Z387="-",+AF387/D387-1,AF387/AC387-1)</f>
        <v>9.8203092352695531E-2</v>
      </c>
      <c r="AH387" s="86">
        <v>1.8280000000000001</v>
      </c>
      <c r="AI387" s="89">
        <f t="shared" si="164"/>
        <v>-9.8619329388560106E-2</v>
      </c>
      <c r="AJ387" s="49" t="str">
        <f t="shared" si="165"/>
        <v>-</v>
      </c>
      <c r="AK387" s="46" t="str">
        <f t="shared" si="163"/>
        <v>-</v>
      </c>
      <c r="AL387" s="83"/>
      <c r="AM387" s="49" t="str">
        <f t="shared" si="166"/>
        <v>-</v>
      </c>
      <c r="AN387" s="148">
        <f t="shared" ca="1" si="167"/>
        <v>0.17998027613412226</v>
      </c>
      <c r="AU387" s="148"/>
    </row>
    <row r="388" spans="1:47" ht="16" customHeight="1" x14ac:dyDescent="0.2">
      <c r="A388" s="83" t="e" vm="356">
        <v>#VALUE!</v>
      </c>
      <c r="B388" s="83" t="str" cm="1">
        <f t="array" aca="1" ref="B388" ca="1">_FV(A388,"Ticker symbol",TRUE)</f>
        <v>GDOT</v>
      </c>
      <c r="C388" s="49"/>
      <c r="D388" s="83" cm="1">
        <f t="array" aca="1" ref="D388" ca="1">_FV(A388,"Price")</f>
        <v>12.15</v>
      </c>
      <c r="E388" s="46"/>
      <c r="F388" s="46"/>
      <c r="G388" s="46"/>
      <c r="H388" s="46"/>
      <c r="I388" s="84" t="s">
        <v>11</v>
      </c>
      <c r="J388" s="83" cm="1">
        <f t="array" aca="1" ref="J388" ca="1">_FV(A388,"High")</f>
        <v>12.234999999999999</v>
      </c>
      <c r="K388" s="83" cm="1">
        <f t="array" aca="1" ref="K388" ca="1">_FV(A388,"Low")</f>
        <v>12.03</v>
      </c>
      <c r="L388" s="75" cm="1">
        <f t="array" aca="1" ref="L388" ca="1">_FV(A388,"52 week high",TRUE)</f>
        <v>15.4099</v>
      </c>
      <c r="M388" s="75" t="e" cm="1" vm="224">
        <f t="array" aca="1" ref="M388" ca="1">_FV(B388,"52 week high",TRUE)</f>
        <v>#VALUE!</v>
      </c>
      <c r="N388" s="75" t="e" cm="1" vm="224">
        <f t="array" ref="N388">_FV(C388,"52 week high",TRUE)</f>
        <v>#VALUE!</v>
      </c>
      <c r="O388" s="75" cm="1">
        <f t="array" aca="1" ref="O388" ca="1">_FV(A388,"52 week low",TRUE)</f>
        <v>8.0449999999999999</v>
      </c>
      <c r="S388" s="83" t="s">
        <v>76</v>
      </c>
      <c r="T388" s="112" t="s">
        <v>78</v>
      </c>
      <c r="U388" s="112"/>
      <c r="V388" s="93">
        <v>45520</v>
      </c>
      <c r="W388" s="94" t="s">
        <v>11</v>
      </c>
      <c r="X388" s="85" t="s">
        <v>11</v>
      </c>
      <c r="Y388" s="84">
        <v>10.76</v>
      </c>
      <c r="Z388" s="84" t="s">
        <v>11</v>
      </c>
      <c r="AA388" s="84" t="s">
        <v>11</v>
      </c>
      <c r="AB388" s="84"/>
      <c r="AC388" s="84" t="s">
        <v>11</v>
      </c>
      <c r="AD388" s="84"/>
      <c r="AE388" s="46" t="e">
        <f t="shared" si="168"/>
        <v>#VALUE!</v>
      </c>
      <c r="AF388" s="86" t="s">
        <v>11</v>
      </c>
      <c r="AG388" s="89" t="e">
        <f t="shared" ca="1" si="170"/>
        <v>#VALUE!</v>
      </c>
      <c r="AH388" s="86" t="s">
        <v>11</v>
      </c>
      <c r="AI388" s="89" t="e">
        <f t="shared" si="164"/>
        <v>#VALUE!</v>
      </c>
      <c r="AJ388" s="49" t="str">
        <f t="shared" si="165"/>
        <v>-</v>
      </c>
      <c r="AK388" s="46" t="str">
        <f t="shared" si="163"/>
        <v>-</v>
      </c>
      <c r="AL388" s="83"/>
      <c r="AM388" s="49" t="str">
        <f t="shared" si="166"/>
        <v>-</v>
      </c>
      <c r="AN388" s="148">
        <f t="shared" ca="1" si="167"/>
        <v>0.12918215613382911</v>
      </c>
      <c r="AU388" s="148"/>
    </row>
    <row r="389" spans="1:47" ht="16" customHeight="1" x14ac:dyDescent="0.2">
      <c r="A389" s="83" t="e" vm="357">
        <v>#VALUE!</v>
      </c>
      <c r="B389" s="83" t="str" cm="1">
        <f t="array" aca="1" ref="B389" ca="1">_FV(A389,"Ticker symbol",TRUE)</f>
        <v>VCYT</v>
      </c>
      <c r="C389" s="49"/>
      <c r="D389" s="83" cm="1">
        <f t="array" aca="1" ref="D389" ca="1">_FV(A389,"Price")</f>
        <v>33.85</v>
      </c>
      <c r="E389" s="46"/>
      <c r="F389" s="46"/>
      <c r="G389" s="46"/>
      <c r="H389" s="46"/>
      <c r="I389" s="84" t="s">
        <v>11</v>
      </c>
      <c r="J389" s="83" cm="1">
        <f t="array" aca="1" ref="J389" ca="1">_FV(A389,"High")</f>
        <v>34.799999999999997</v>
      </c>
      <c r="K389" s="83" cm="1">
        <f t="array" aca="1" ref="K389" ca="1">_FV(A389,"Low")</f>
        <v>33.799999999999997</v>
      </c>
      <c r="L389" s="75" cm="1">
        <f t="array" aca="1" ref="L389" ca="1">_FV(A389,"52 week high",TRUE)</f>
        <v>50.71</v>
      </c>
      <c r="M389" s="75" t="e" cm="1" vm="224">
        <f t="array" aca="1" ref="M389" ca="1">_FV(B389,"52 week high",TRUE)</f>
        <v>#VALUE!</v>
      </c>
      <c r="N389" s="75" t="e" cm="1" vm="224">
        <f t="array" ref="N389">_FV(C389,"52 week high",TRUE)</f>
        <v>#VALUE!</v>
      </c>
      <c r="O389" s="75" cm="1">
        <f t="array" aca="1" ref="O389" ca="1">_FV(A389,"52 week low",TRUE)</f>
        <v>22.61</v>
      </c>
      <c r="S389" s="83" t="s">
        <v>76</v>
      </c>
      <c r="T389" s="112" t="s">
        <v>78</v>
      </c>
      <c r="U389" s="112"/>
      <c r="V389" s="93">
        <v>45520</v>
      </c>
      <c r="W389" s="94" t="s">
        <v>11</v>
      </c>
      <c r="X389" s="85" t="s">
        <v>11</v>
      </c>
      <c r="Y389" s="84">
        <v>32.950000000000003</v>
      </c>
      <c r="Z389" s="84" t="s">
        <v>11</v>
      </c>
      <c r="AA389" s="84" t="s">
        <v>11</v>
      </c>
      <c r="AB389" s="84"/>
      <c r="AC389" s="84" t="s">
        <v>11</v>
      </c>
      <c r="AD389" s="84"/>
      <c r="AE389" s="46" t="e">
        <f t="shared" si="168"/>
        <v>#VALUE!</v>
      </c>
      <c r="AF389" s="86" t="s">
        <v>11</v>
      </c>
      <c r="AG389" s="89" t="e">
        <f t="shared" ca="1" si="170"/>
        <v>#VALUE!</v>
      </c>
      <c r="AH389" s="86" t="s">
        <v>11</v>
      </c>
      <c r="AI389" s="89" t="e">
        <f t="shared" si="164"/>
        <v>#VALUE!</v>
      </c>
      <c r="AJ389" s="49" t="str">
        <f t="shared" si="165"/>
        <v>-</v>
      </c>
      <c r="AK389" s="46" t="str">
        <f t="shared" si="163"/>
        <v>-</v>
      </c>
      <c r="AL389" s="83"/>
      <c r="AM389" s="49" t="str">
        <f t="shared" si="166"/>
        <v>-</v>
      </c>
      <c r="AN389" s="148">
        <f t="shared" ca="1" si="167"/>
        <v>2.7314112291350501E-2</v>
      </c>
      <c r="AU389" s="148"/>
    </row>
    <row r="390" spans="1:47" ht="16" customHeight="1" x14ac:dyDescent="0.2">
      <c r="A390" s="83" t="e" vm="358">
        <v>#VALUE!</v>
      </c>
      <c r="B390" s="83" t="str" cm="1">
        <f t="array" aca="1" ref="B390" ca="1">_FV(A390,"Ticker symbol",TRUE)</f>
        <v>NET</v>
      </c>
      <c r="C390" s="49"/>
      <c r="D390" s="83" cm="1">
        <f t="array" aca="1" ref="D390" ca="1">_FV(A390,"Price")</f>
        <v>212.53</v>
      </c>
      <c r="E390" s="46"/>
      <c r="F390" s="46"/>
      <c r="G390" s="46"/>
      <c r="H390" s="46"/>
      <c r="I390" s="84">
        <v>110.8</v>
      </c>
      <c r="J390" s="83" cm="1">
        <f t="array" aca="1" ref="J390" ca="1">_FV(A390,"High")</f>
        <v>214.97989999999999</v>
      </c>
      <c r="K390" s="83" cm="1">
        <f t="array" aca="1" ref="K390" ca="1">_FV(A390,"Low")</f>
        <v>204.42</v>
      </c>
      <c r="L390" s="75" cm="1">
        <f t="array" aca="1" ref="L390" ca="1">_FV(A390,"52 week high",TRUE)</f>
        <v>260</v>
      </c>
      <c r="M390" s="75" t="e" cm="1" vm="224">
        <f t="array" aca="1" ref="M390" ca="1">_FV(B390,"52 week high",TRUE)</f>
        <v>#VALUE!</v>
      </c>
      <c r="N390" s="75" t="e" cm="1" vm="224">
        <f t="array" ref="N390">_FV(C390,"52 week high",TRUE)</f>
        <v>#VALUE!</v>
      </c>
      <c r="O390" s="75" cm="1">
        <f t="array" aca="1" ref="O390" ca="1">_FV(A390,"52 week low",TRUE)</f>
        <v>117.0749</v>
      </c>
      <c r="S390" s="83" t="s">
        <v>76</v>
      </c>
      <c r="T390" s="112" t="s">
        <v>78</v>
      </c>
      <c r="U390" s="112"/>
      <c r="V390" s="93">
        <v>45576</v>
      </c>
      <c r="W390" s="94" t="s">
        <v>11</v>
      </c>
      <c r="X390" s="85" t="s">
        <v>11</v>
      </c>
      <c r="Y390" s="84">
        <v>92.56</v>
      </c>
      <c r="Z390" s="84" t="s">
        <v>11</v>
      </c>
      <c r="AA390" s="84" t="s">
        <v>11</v>
      </c>
      <c r="AB390" s="84"/>
      <c r="AC390" s="84">
        <v>110.8</v>
      </c>
      <c r="AD390" s="84"/>
      <c r="AE390" s="46">
        <f t="shared" si="168"/>
        <v>0.19706136560069143</v>
      </c>
      <c r="AF390" s="86" t="s">
        <v>11</v>
      </c>
      <c r="AG390" s="89" t="e">
        <f t="shared" ca="1" si="170"/>
        <v>#VALUE!</v>
      </c>
      <c r="AH390" s="86">
        <v>83.44</v>
      </c>
      <c r="AI390" s="89">
        <f t="shared" si="164"/>
        <v>-9.8530682800345715E-2</v>
      </c>
      <c r="AJ390" s="49" t="str">
        <f t="shared" si="165"/>
        <v>-</v>
      </c>
      <c r="AK390" s="46" t="str">
        <f t="shared" si="163"/>
        <v>-</v>
      </c>
      <c r="AL390" s="83"/>
      <c r="AM390" s="49" t="str">
        <f t="shared" si="166"/>
        <v>-</v>
      </c>
      <c r="AN390" s="148">
        <f t="shared" ca="1" si="167"/>
        <v>1.296132238547969</v>
      </c>
      <c r="AU390" s="148"/>
    </row>
    <row r="391" spans="1:47" ht="16" customHeight="1" x14ac:dyDescent="0.2">
      <c r="A391" s="83" t="e" vm="359">
        <v>#VALUE!</v>
      </c>
      <c r="B391" s="83" t="str" cm="1">
        <f t="array" aca="1" ref="B391" ca="1">_FV(A391,"Ticker symbol",TRUE)</f>
        <v>CCL</v>
      </c>
      <c r="C391" s="49"/>
      <c r="D391" s="83" cm="1">
        <f t="array" aca="1" ref="D391" ca="1">_FV(A391,"Price")</f>
        <v>26.77</v>
      </c>
      <c r="E391" s="46"/>
      <c r="F391" s="46"/>
      <c r="G391" s="46"/>
      <c r="H391" s="46"/>
      <c r="I391" s="84">
        <v>25.29</v>
      </c>
      <c r="J391" s="83" cm="1">
        <f t="array" aca="1" ref="J391" ca="1">_FV(A391,"High")</f>
        <v>27.05</v>
      </c>
      <c r="K391" s="83" cm="1">
        <f t="array" aca="1" ref="K391" ca="1">_FV(A391,"Low")</f>
        <v>26.45</v>
      </c>
      <c r="L391" s="75" cm="1">
        <f t="array" aca="1" ref="L391" ca="1">_FV(A391,"52 week high",TRUE)</f>
        <v>34.03</v>
      </c>
      <c r="M391" s="75" t="e" cm="1" vm="224">
        <f t="array" aca="1" ref="M391" ca="1">_FV(B391,"52 week high",TRUE)</f>
        <v>#VALUE!</v>
      </c>
      <c r="N391" s="75" t="e" cm="1" vm="224">
        <f t="array" ref="N391">_FV(C391,"52 week high",TRUE)</f>
        <v>#VALUE!</v>
      </c>
      <c r="O391" s="75" cm="1">
        <f t="array" aca="1" ref="O391" ca="1">_FV(A391,"52 week low",TRUE)</f>
        <v>17.329999999999998</v>
      </c>
      <c r="S391" s="83" t="s">
        <v>76</v>
      </c>
      <c r="T391" s="112" t="s">
        <v>78</v>
      </c>
      <c r="U391" s="112"/>
      <c r="V391" s="93">
        <v>45575</v>
      </c>
      <c r="W391" s="94" t="s">
        <v>11</v>
      </c>
      <c r="X391" s="85" t="s">
        <v>11</v>
      </c>
      <c r="Y391" s="84">
        <v>19.809999999999999</v>
      </c>
      <c r="Z391" s="84" t="s">
        <v>11</v>
      </c>
      <c r="AA391" s="84" t="s">
        <v>11</v>
      </c>
      <c r="AB391" s="84"/>
      <c r="AC391" s="84">
        <v>25.29</v>
      </c>
      <c r="AD391" s="84"/>
      <c r="AE391" s="46">
        <f t="shared" si="168"/>
        <v>0.27662796567390213</v>
      </c>
      <c r="AF391" s="86" t="s">
        <v>11</v>
      </c>
      <c r="AG391" s="89" t="e">
        <f t="shared" ca="1" si="170"/>
        <v>#VALUE!</v>
      </c>
      <c r="AH391" s="86">
        <v>17.079999999999998</v>
      </c>
      <c r="AI391" s="89">
        <f t="shared" si="164"/>
        <v>-0.13780918727915192</v>
      </c>
      <c r="AJ391" s="49" t="str">
        <f t="shared" si="165"/>
        <v>-</v>
      </c>
      <c r="AK391" s="46" t="str">
        <f t="shared" si="163"/>
        <v>-</v>
      </c>
      <c r="AL391" s="83"/>
      <c r="AM391" s="49" t="str">
        <f t="shared" si="166"/>
        <v>-</v>
      </c>
      <c r="AN391" s="148">
        <f t="shared" ca="1" si="167"/>
        <v>0.35133770822816768</v>
      </c>
      <c r="AU391" s="148"/>
    </row>
    <row r="392" spans="1:47" ht="16" customHeight="1" x14ac:dyDescent="0.2">
      <c r="A392" s="83" t="e" vm="360">
        <v>#VALUE!</v>
      </c>
      <c r="B392" s="83" t="str" cm="1">
        <f t="array" aca="1" ref="B392" ca="1">_FV(A392,"Ticker symbol",TRUE)</f>
        <v>CLB</v>
      </c>
      <c r="C392" s="49"/>
      <c r="D392" s="83" cm="1">
        <f t="array" aca="1" ref="D392" ca="1">_FV(A392,"Price")</f>
        <v>17.29</v>
      </c>
      <c r="E392" s="46"/>
      <c r="F392" s="46"/>
      <c r="G392" s="46"/>
      <c r="H392" s="46"/>
      <c r="I392" s="84">
        <v>22.99</v>
      </c>
      <c r="J392" s="83" cm="1">
        <f t="array" aca="1" ref="J392" ca="1">_FV(A392,"High")</f>
        <v>17.95</v>
      </c>
      <c r="K392" s="83" cm="1">
        <f t="array" aca="1" ref="K392" ca="1">_FV(A392,"Low")</f>
        <v>17.29</v>
      </c>
      <c r="L392" s="75" cm="1">
        <f t="array" aca="1" ref="L392" ca="1">_FV(A392,"52 week high",TRUE)</f>
        <v>20.36</v>
      </c>
      <c r="M392" s="75" t="e" cm="1" vm="224">
        <f t="array" aca="1" ref="M392" ca="1">_FV(B392,"52 week high",TRUE)</f>
        <v>#VALUE!</v>
      </c>
      <c r="N392" s="75" t="e" cm="1" vm="224">
        <f t="array" ref="N392">_FV(C392,"52 week high",TRUE)</f>
        <v>#VALUE!</v>
      </c>
      <c r="O392" s="75" cm="1">
        <f t="array" aca="1" ref="O392" ca="1">_FV(A392,"52 week low",TRUE)</f>
        <v>9.7200000000000006</v>
      </c>
      <c r="S392" s="83" t="s">
        <v>76</v>
      </c>
      <c r="T392" s="112" t="s">
        <v>78</v>
      </c>
      <c r="U392" s="112"/>
      <c r="V392" s="93">
        <v>45573</v>
      </c>
      <c r="W392" s="94" t="s">
        <v>11</v>
      </c>
      <c r="X392" s="85" t="s">
        <v>11</v>
      </c>
      <c r="Y392" s="84">
        <v>20.149999999999999</v>
      </c>
      <c r="Z392" s="84" t="s">
        <v>11</v>
      </c>
      <c r="AA392" s="84" t="s">
        <v>11</v>
      </c>
      <c r="AB392" s="84"/>
      <c r="AC392" s="84">
        <v>22.99</v>
      </c>
      <c r="AD392" s="84"/>
      <c r="AE392" s="46">
        <f t="shared" si="168"/>
        <v>0.14094292803970232</v>
      </c>
      <c r="AF392" s="86" t="s">
        <v>11</v>
      </c>
      <c r="AG392" s="89" t="e">
        <f t="shared" ca="1" si="170"/>
        <v>#VALUE!</v>
      </c>
      <c r="AH392" s="86">
        <v>18.78</v>
      </c>
      <c r="AI392" s="89">
        <f t="shared" si="164"/>
        <v>-6.7990074441687254E-2</v>
      </c>
      <c r="AJ392" s="49" t="str">
        <f t="shared" si="165"/>
        <v>-</v>
      </c>
      <c r="AK392" s="46" t="str">
        <f t="shared" ref="AK392:AK423" si="171">IF(AA392="-","-",+(D392/AA392)-1)</f>
        <v>-</v>
      </c>
      <c r="AL392" s="83"/>
      <c r="AM392" s="49" t="str">
        <f t="shared" si="166"/>
        <v>-</v>
      </c>
      <c r="AN392" s="148">
        <f t="shared" ca="1" si="167"/>
        <v>-0.14193548387096777</v>
      </c>
      <c r="AU392" s="148"/>
    </row>
    <row r="393" spans="1:47" ht="16" customHeight="1" x14ac:dyDescent="0.2">
      <c r="A393" s="83" t="e" vm="361">
        <v>#VALUE!</v>
      </c>
      <c r="B393" s="83" t="str" cm="1">
        <f t="array" aca="1" ref="B393" ca="1">_FV(A393,"Ticker symbol",TRUE)</f>
        <v>BWXT</v>
      </c>
      <c r="C393" s="49"/>
      <c r="D393" s="83" cm="1">
        <f t="array" aca="1" ref="D393" ca="1">_FV(A393,"Price")</f>
        <v>222.02</v>
      </c>
      <c r="E393" s="46"/>
      <c r="F393" s="46"/>
      <c r="G393" s="46"/>
      <c r="H393" s="46"/>
      <c r="I393" s="84">
        <v>133.22999999999999</v>
      </c>
      <c r="J393" s="83" cm="1">
        <f t="array" aca="1" ref="J393" ca="1">_FV(A393,"High")</f>
        <v>224</v>
      </c>
      <c r="K393" s="83" cm="1">
        <f t="array" aca="1" ref="K393" ca="1">_FV(A393,"Low")</f>
        <v>217.01599999999999</v>
      </c>
      <c r="L393" s="75" cm="1">
        <f t="array" aca="1" ref="L393" ca="1">_FV(A393,"52 week high",TRUE)</f>
        <v>241.82</v>
      </c>
      <c r="M393" s="75" t="e" cm="1" vm="224">
        <f t="array" aca="1" ref="M393" ca="1">_FV(B393,"52 week high",TRUE)</f>
        <v>#VALUE!</v>
      </c>
      <c r="N393" s="75" t="e" cm="1" vm="224">
        <f t="array" ref="N393">_FV(C393,"52 week high",TRUE)</f>
        <v>#VALUE!</v>
      </c>
      <c r="O393" s="75" cm="1">
        <f t="array" aca="1" ref="O393" ca="1">_FV(A393,"52 week low",TRUE)</f>
        <v>102.42</v>
      </c>
      <c r="S393" s="83" t="s">
        <v>76</v>
      </c>
      <c r="T393" s="112" t="s">
        <v>78</v>
      </c>
      <c r="U393" s="112"/>
      <c r="V393" s="93">
        <v>45565</v>
      </c>
      <c r="W393" s="94" t="s">
        <v>11</v>
      </c>
      <c r="X393" s="85"/>
      <c r="Y393" s="84">
        <v>108.87</v>
      </c>
      <c r="Z393" s="84"/>
      <c r="AA393" s="84" t="s">
        <v>11</v>
      </c>
      <c r="AB393" s="84"/>
      <c r="AC393" s="84">
        <v>133.22999999999999</v>
      </c>
      <c r="AD393" s="84"/>
      <c r="AE393" s="46">
        <f t="shared" ca="1" si="168"/>
        <v>-0.39991892622286285</v>
      </c>
      <c r="AF393" s="86" t="s">
        <v>11</v>
      </c>
      <c r="AG393" s="89" t="e">
        <f t="shared" si="170"/>
        <v>#VALUE!</v>
      </c>
      <c r="AH393" s="86">
        <v>96.69</v>
      </c>
      <c r="AI393" s="89">
        <f t="shared" ca="1" si="164"/>
        <v>-0.5644986938113683</v>
      </c>
      <c r="AJ393" s="49" t="e">
        <f t="shared" ca="1" si="165"/>
        <v>#DIV/0!</v>
      </c>
      <c r="AK393" s="46" t="str">
        <f t="shared" si="171"/>
        <v>-</v>
      </c>
      <c r="AL393" s="83"/>
      <c r="AM393" s="49" t="str">
        <f t="shared" si="166"/>
        <v>-</v>
      </c>
      <c r="AN393" s="148">
        <f t="shared" ca="1" si="167"/>
        <v>1.0393129420409664</v>
      </c>
      <c r="AU393" s="148"/>
    </row>
    <row r="394" spans="1:47" ht="16" customHeight="1" x14ac:dyDescent="0.2">
      <c r="A394" s="83" t="e" vm="59">
        <v>#VALUE!</v>
      </c>
      <c r="B394" s="83" t="str" cm="1">
        <f t="array" aca="1" ref="B394" ca="1">_FV(A394,"Ticker symbol",TRUE)</f>
        <v>DOCU</v>
      </c>
      <c r="C394" s="49"/>
      <c r="D394" s="83" cm="1">
        <f t="array" aca="1" ref="D394" ca="1">_FV(A394,"Price")</f>
        <v>45.66</v>
      </c>
      <c r="E394" s="46"/>
      <c r="F394" s="46"/>
      <c r="G394" s="46"/>
      <c r="H394" s="46"/>
      <c r="I394" s="84">
        <v>77.64</v>
      </c>
      <c r="J394" s="83" cm="1">
        <f t="array" aca="1" ref="J394" ca="1">_FV(A394,"High")</f>
        <v>46.97</v>
      </c>
      <c r="K394" s="83" cm="1">
        <f t="array" aca="1" ref="K394" ca="1">_FV(A394,"Low")</f>
        <v>45.6</v>
      </c>
      <c r="L394" s="75" cm="1">
        <f t="array" aca="1" ref="L394" ca="1">_FV(A394,"52 week high",TRUE)</f>
        <v>94.67</v>
      </c>
      <c r="M394" s="75" t="e" cm="1" vm="224">
        <f t="array" aca="1" ref="M394" ca="1">_FV(B394,"52 week high",TRUE)</f>
        <v>#VALUE!</v>
      </c>
      <c r="N394" s="75" t="e" cm="1" vm="224">
        <f t="array" ref="N394">_FV(C394,"52 week high",TRUE)</f>
        <v>#VALUE!</v>
      </c>
      <c r="O394" s="75" cm="1">
        <f t="array" aca="1" ref="O394" ca="1">_FV(A394,"52 week low",TRUE)</f>
        <v>40.159999999999997</v>
      </c>
      <c r="S394" s="83" t="s">
        <v>76</v>
      </c>
      <c r="T394" s="112" t="s">
        <v>78</v>
      </c>
      <c r="U394" s="112"/>
      <c r="V394" s="93">
        <v>45562</v>
      </c>
      <c r="W394" s="94" t="s">
        <v>11</v>
      </c>
      <c r="X394" s="85"/>
      <c r="Y394" s="84">
        <v>62.63</v>
      </c>
      <c r="Z394" s="84"/>
      <c r="AA394" s="84" t="s">
        <v>11</v>
      </c>
      <c r="AB394" s="84"/>
      <c r="AC394" s="84">
        <v>77.64</v>
      </c>
      <c r="AD394" s="84"/>
      <c r="AE394" s="46">
        <f t="shared" ca="1" si="168"/>
        <v>0.70039421813403435</v>
      </c>
      <c r="AF394" s="86" t="s">
        <v>11</v>
      </c>
      <c r="AG394" s="89" t="e">
        <f t="shared" si="170"/>
        <v>#VALUE!</v>
      </c>
      <c r="AH394" s="86">
        <v>55.13</v>
      </c>
      <c r="AI394" s="89">
        <f t="shared" ca="1" si="164"/>
        <v>0.20740254051686402</v>
      </c>
      <c r="AJ394" s="49" t="e">
        <f t="shared" ca="1" si="165"/>
        <v>#DIV/0!</v>
      </c>
      <c r="AK394" s="46" t="str">
        <f t="shared" si="171"/>
        <v>-</v>
      </c>
      <c r="AL394" s="83"/>
      <c r="AM394" s="49" t="str">
        <f t="shared" si="166"/>
        <v>-</v>
      </c>
      <c r="AN394" s="148">
        <f t="shared" ca="1" si="167"/>
        <v>-0.27095641066581522</v>
      </c>
      <c r="AU394" s="148"/>
    </row>
    <row r="395" spans="1:47" ht="16" customHeight="1" x14ac:dyDescent="0.2">
      <c r="A395" s="83" t="e" vm="362">
        <v>#VALUE!</v>
      </c>
      <c r="B395" s="83" t="str" cm="1">
        <f t="array" aca="1" ref="B395" ca="1">_FV(A395,"Ticker symbol",TRUE)</f>
        <v>BZU</v>
      </c>
      <c r="C395" s="49"/>
      <c r="D395" s="83" cm="1">
        <f t="array" aca="1" ref="D395" ca="1">_FV(A395,"Price")</f>
        <v>47.05</v>
      </c>
      <c r="E395" s="46"/>
      <c r="F395" s="46"/>
      <c r="G395" s="46"/>
      <c r="H395" s="46"/>
      <c r="I395" s="84">
        <v>43.56</v>
      </c>
      <c r="J395" s="83" cm="1">
        <f t="array" aca="1" ref="J395" ca="1">_FV(A395,"High")</f>
        <v>47.71</v>
      </c>
      <c r="K395" s="83" cm="1">
        <f t="array" aca="1" ref="K395" ca="1">_FV(A395,"Low")</f>
        <v>46.84</v>
      </c>
      <c r="L395" s="75" cm="1">
        <f t="array" aca="1" ref="L395" ca="1">_FV(A395,"52 week high",TRUE)</f>
        <v>54.75</v>
      </c>
      <c r="M395" s="75" t="e" cm="1" vm="224">
        <f t="array" aca="1" ref="M395" ca="1">_FV(B395,"52 week high",TRUE)</f>
        <v>#VALUE!</v>
      </c>
      <c r="N395" s="75" t="e" cm="1" vm="224">
        <f t="array" ref="N395">_FV(C395,"52 week high",TRUE)</f>
        <v>#VALUE!</v>
      </c>
      <c r="O395" s="75" cm="1">
        <f t="array" aca="1" ref="O395" ca="1">_FV(A395,"52 week low",TRUE)</f>
        <v>40.200000000000003</v>
      </c>
      <c r="S395" s="83" t="s">
        <v>75</v>
      </c>
      <c r="T395" s="112" t="s">
        <v>78</v>
      </c>
      <c r="U395" s="112"/>
      <c r="V395" s="93">
        <v>45602</v>
      </c>
      <c r="W395" s="94" t="s">
        <v>11</v>
      </c>
      <c r="X395" s="85" t="s">
        <v>11</v>
      </c>
      <c r="Y395" s="84">
        <v>37.5</v>
      </c>
      <c r="Z395" s="84" t="s">
        <v>11</v>
      </c>
      <c r="AA395" s="84" t="s">
        <v>11</v>
      </c>
      <c r="AB395" s="84"/>
      <c r="AC395" s="84">
        <v>43.56</v>
      </c>
      <c r="AD395" s="84"/>
      <c r="AE395" s="46">
        <f t="shared" si="168"/>
        <v>0.16159999999999997</v>
      </c>
      <c r="AF395" s="86" t="s">
        <v>11</v>
      </c>
      <c r="AG395" s="89" t="e">
        <f t="shared" ca="1" si="170"/>
        <v>#VALUE!</v>
      </c>
      <c r="AH395" s="86">
        <v>34.479999999999997</v>
      </c>
      <c r="AI395" s="89">
        <f t="shared" si="164"/>
        <v>-8.0533333333333457E-2</v>
      </c>
      <c r="AJ395" s="49" t="str">
        <f t="shared" si="165"/>
        <v>-</v>
      </c>
      <c r="AK395" s="46" t="str">
        <f t="shared" si="171"/>
        <v>-</v>
      </c>
      <c r="AL395" s="83"/>
      <c r="AM395" s="49" t="str">
        <f t="shared" si="166"/>
        <v>-</v>
      </c>
      <c r="AN395" s="148">
        <f t="shared" ca="1" si="167"/>
        <v>0.2546666666666666</v>
      </c>
      <c r="AU395" s="148"/>
    </row>
    <row r="396" spans="1:47" ht="16" customHeight="1" x14ac:dyDescent="0.2">
      <c r="A396" s="83" t="e" vm="363">
        <v>#VALUE!</v>
      </c>
      <c r="B396" s="83" t="str" cm="1">
        <f t="array" aca="1" ref="B396" ca="1">_FV(A396,"Ticker symbol",TRUE)</f>
        <v>RMTI</v>
      </c>
      <c r="C396" s="49"/>
      <c r="D396" s="83" cm="1">
        <f t="array" aca="1" ref="D396" ca="1">_FV(A396,"Price")</f>
        <v>0.84570000000000001</v>
      </c>
      <c r="E396" s="46"/>
      <c r="F396" s="46"/>
      <c r="G396" s="46"/>
      <c r="H396" s="46"/>
      <c r="I396" s="84">
        <v>4.6100000000000003</v>
      </c>
      <c r="J396" s="83" cm="1">
        <f t="array" aca="1" ref="J396" ca="1">_FV(A396,"High")</f>
        <v>0.89500000000000002</v>
      </c>
      <c r="K396" s="83" cm="1">
        <f t="array" aca="1" ref="K396" ca="1">_FV(A396,"Low")</f>
        <v>0.83689999999999998</v>
      </c>
      <c r="L396" s="75" cm="1">
        <f t="array" aca="1" ref="L396" ca="1">_FV(A396,"52 week high",TRUE)</f>
        <v>2.1</v>
      </c>
      <c r="M396" s="75" t="e" cm="1" vm="224">
        <f t="array" aca="1" ref="M396" ca="1">_FV(B396,"52 week high",TRUE)</f>
        <v>#VALUE!</v>
      </c>
      <c r="N396" s="75" t="e" cm="1" vm="224">
        <f t="array" ref="N396">_FV(C396,"52 week high",TRUE)</f>
        <v>#VALUE!</v>
      </c>
      <c r="O396" s="75" cm="1">
        <f t="array" aca="1" ref="O396" ca="1">_FV(A396,"52 week low",TRUE)</f>
        <v>0.78010000000000002</v>
      </c>
      <c r="S396" s="83" t="s">
        <v>76</v>
      </c>
      <c r="T396" s="112" t="s">
        <v>78</v>
      </c>
      <c r="U396" s="112"/>
      <c r="V396" s="93">
        <v>45593</v>
      </c>
      <c r="W396" s="94" t="s">
        <v>11</v>
      </c>
      <c r="X396" s="85" t="s">
        <v>11</v>
      </c>
      <c r="Y396" s="84">
        <v>3.77</v>
      </c>
      <c r="Z396" s="84" t="s">
        <v>11</v>
      </c>
      <c r="AA396" s="84" t="s">
        <v>11</v>
      </c>
      <c r="AB396" s="84"/>
      <c r="AC396" s="84">
        <v>4.6100000000000003</v>
      </c>
      <c r="AD396" s="84"/>
      <c r="AE396" s="46">
        <f t="shared" si="168"/>
        <v>0.22281167108753319</v>
      </c>
      <c r="AF396" s="86" t="s">
        <v>11</v>
      </c>
      <c r="AG396" s="89" t="s">
        <v>11</v>
      </c>
      <c r="AH396" s="86">
        <v>3.35</v>
      </c>
      <c r="AI396" s="89">
        <f t="shared" si="164"/>
        <v>-0.1114058355437666</v>
      </c>
      <c r="AJ396" s="49" t="str">
        <f t="shared" si="165"/>
        <v>-</v>
      </c>
      <c r="AK396" s="46" t="str">
        <f t="shared" si="171"/>
        <v>-</v>
      </c>
      <c r="AL396" s="83"/>
      <c r="AM396" s="49" t="str">
        <f t="shared" si="166"/>
        <v>-</v>
      </c>
      <c r="AN396" s="148">
        <f t="shared" ca="1" si="167"/>
        <v>-0.7756763925729443</v>
      </c>
      <c r="AU396" s="148"/>
    </row>
    <row r="397" spans="1:47" ht="16" customHeight="1" x14ac:dyDescent="0.2">
      <c r="A397" s="83" t="e" vm="364">
        <v>#VALUE!</v>
      </c>
      <c r="B397" s="83" t="str" cm="1">
        <f t="array" aca="1" ref="B397" ca="1">_FV(A397,"Ticker symbol",TRUE)</f>
        <v>PTLO</v>
      </c>
      <c r="C397" s="49"/>
      <c r="D397" s="83" cm="1">
        <f t="array" aca="1" ref="D397" ca="1">_FV(A397,"Price")</f>
        <v>6.39</v>
      </c>
      <c r="E397" s="46"/>
      <c r="F397" s="46"/>
      <c r="G397" s="46"/>
      <c r="H397" s="46"/>
      <c r="I397" s="84">
        <v>16.39</v>
      </c>
      <c r="J397" s="83" cm="1">
        <f t="array" aca="1" ref="J397" ca="1">_FV(A397,"High")</f>
        <v>6.46</v>
      </c>
      <c r="K397" s="83" cm="1">
        <f t="array" aca="1" ref="K397" ca="1">_FV(A397,"Low")</f>
        <v>6.2</v>
      </c>
      <c r="L397" s="75" cm="1">
        <f t="array" aca="1" ref="L397" ca="1">_FV(A397,"52 week high",TRUE)</f>
        <v>13.55</v>
      </c>
      <c r="M397" s="75" t="e" cm="1" vm="224">
        <f t="array" aca="1" ref="M397" ca="1">_FV(B397,"52 week high",TRUE)</f>
        <v>#VALUE!</v>
      </c>
      <c r="N397" s="75" t="e" cm="1" vm="224">
        <f t="array" ref="N397">_FV(C397,"52 week high",TRUE)</f>
        <v>#VALUE!</v>
      </c>
      <c r="O397" s="75" cm="1">
        <f t="array" aca="1" ref="O397" ca="1">_FV(A397,"52 week low",TRUE)</f>
        <v>4.41</v>
      </c>
      <c r="S397" s="83" t="s">
        <v>76</v>
      </c>
      <c r="T397" s="112" t="s">
        <v>78</v>
      </c>
      <c r="U397" s="112"/>
      <c r="V397" s="93">
        <v>45593</v>
      </c>
      <c r="W397" s="94" t="s">
        <v>11</v>
      </c>
      <c r="X397" s="85" t="s">
        <v>11</v>
      </c>
      <c r="Y397" s="84">
        <v>13.37</v>
      </c>
      <c r="Z397" s="84" t="s">
        <v>11</v>
      </c>
      <c r="AA397" s="84" t="s">
        <v>11</v>
      </c>
      <c r="AB397" s="84"/>
      <c r="AC397" s="84">
        <v>16.39</v>
      </c>
      <c r="AD397" s="84"/>
      <c r="AE397" s="46">
        <f t="shared" si="168"/>
        <v>0.2258788332086763</v>
      </c>
      <c r="AF397" s="86" t="s">
        <v>11</v>
      </c>
      <c r="AG397" s="89" t="s">
        <v>11</v>
      </c>
      <c r="AH397" s="86">
        <v>11.86</v>
      </c>
      <c r="AI397" s="89">
        <f t="shared" si="164"/>
        <v>-0.11293941660433804</v>
      </c>
      <c r="AJ397" s="49" t="str">
        <f t="shared" si="165"/>
        <v>-</v>
      </c>
      <c r="AK397" s="46" t="str">
        <f t="shared" si="171"/>
        <v>-</v>
      </c>
      <c r="AL397" s="83"/>
      <c r="AM397" s="49" t="str">
        <f t="shared" si="166"/>
        <v>-</v>
      </c>
      <c r="AN397" s="148">
        <f t="shared" ca="1" si="167"/>
        <v>-0.52206432311144346</v>
      </c>
      <c r="AU397" s="148"/>
    </row>
    <row r="398" spans="1:47" ht="16" customHeight="1" x14ac:dyDescent="0.2">
      <c r="A398" s="83" t="e" vm="365">
        <v>#VALUE!</v>
      </c>
      <c r="B398" s="83" t="str" cm="1">
        <f t="array" aca="1" ref="B398" ca="1">_FV(A398,"Ticker symbol",TRUE)</f>
        <v>BYRN</v>
      </c>
      <c r="C398" s="49"/>
      <c r="D398" s="83" cm="1">
        <f t="array" aca="1" ref="D398" ca="1">_FV(A398,"Price")</f>
        <v>6.01</v>
      </c>
      <c r="E398" s="46"/>
      <c r="F398" s="46"/>
      <c r="G398" s="46"/>
      <c r="H398" s="46"/>
      <c r="I398" s="84"/>
      <c r="J398" s="83" cm="1">
        <f t="array" aca="1" ref="J398" ca="1">_FV(A398,"High")</f>
        <v>6.16</v>
      </c>
      <c r="K398" s="83" cm="1">
        <f t="array" aca="1" ref="K398" ca="1">_FV(A398,"Low")</f>
        <v>5.94</v>
      </c>
      <c r="L398" s="75" cm="1">
        <f t="array" aca="1" ref="L398" ca="1">_FV(A398,"52 week high",TRUE)</f>
        <v>34.299999999999997</v>
      </c>
      <c r="M398" s="75" t="e" cm="1" vm="224">
        <f t="array" aca="1" ref="M398" ca="1">_FV(B398,"52 week high",TRUE)</f>
        <v>#VALUE!</v>
      </c>
      <c r="N398" s="75" t="e" cm="1" vm="224">
        <f t="array" ref="N398">_FV(C398,"52 week high",TRUE)</f>
        <v>#VALUE!</v>
      </c>
      <c r="O398" s="75" cm="1">
        <f t="array" aca="1" ref="O398" ca="1">_FV(A398,"52 week low",TRUE)</f>
        <v>5.56</v>
      </c>
      <c r="S398" s="83" t="s">
        <v>76</v>
      </c>
      <c r="T398" s="112" t="s">
        <v>78</v>
      </c>
      <c r="U398" s="112"/>
      <c r="V398" s="93">
        <v>45602</v>
      </c>
      <c r="W398" s="94" t="s">
        <v>11</v>
      </c>
      <c r="X398" s="85" t="s">
        <v>11</v>
      </c>
      <c r="Y398" s="84">
        <v>15.85</v>
      </c>
      <c r="Z398" s="84" t="s">
        <v>11</v>
      </c>
      <c r="AA398" s="84" t="s">
        <v>11</v>
      </c>
      <c r="AB398" s="84"/>
      <c r="AC398" s="84"/>
      <c r="AD398" s="84"/>
      <c r="AE398" s="46">
        <f t="shared" si="168"/>
        <v>-1</v>
      </c>
      <c r="AF398" s="86" t="s">
        <v>11</v>
      </c>
      <c r="AG398" s="89" t="e">
        <f t="shared" ref="AG398:AG429" ca="1" si="172">IF(Z398="-",+AF398/D398-1,AF398/AC398-1)</f>
        <v>#VALUE!</v>
      </c>
      <c r="AH398" s="86"/>
      <c r="AI398" s="89">
        <f t="shared" si="164"/>
        <v>-1</v>
      </c>
      <c r="AJ398" s="49" t="str">
        <f t="shared" si="165"/>
        <v>-</v>
      </c>
      <c r="AK398" s="46" t="str">
        <f t="shared" si="171"/>
        <v>-</v>
      </c>
      <c r="AL398" s="83"/>
      <c r="AM398" s="49" t="str">
        <f t="shared" si="166"/>
        <v>-</v>
      </c>
      <c r="AN398" s="148">
        <f t="shared" ca="1" si="167"/>
        <v>-0.62082018927444793</v>
      </c>
      <c r="AU398" s="148"/>
    </row>
    <row r="399" spans="1:47" ht="16" customHeight="1" x14ac:dyDescent="0.2">
      <c r="A399" s="83" t="e" vm="366">
        <v>#VALUE!</v>
      </c>
      <c r="B399" s="83" t="str" cm="1">
        <f t="array" aca="1" ref="B399" ca="1">_FV(A399,"Ticker symbol",TRUE)</f>
        <v>CF</v>
      </c>
      <c r="C399" s="49"/>
      <c r="D399" s="83" cm="1">
        <f t="array" aca="1" ref="D399" ca="1">_FV(A399,"Price")</f>
        <v>123.6</v>
      </c>
      <c r="E399" s="46"/>
      <c r="F399" s="46"/>
      <c r="G399" s="46"/>
      <c r="H399" s="46"/>
      <c r="I399" s="84">
        <v>101.25</v>
      </c>
      <c r="J399" s="83" cm="1">
        <f t="array" aca="1" ref="J399" ca="1">_FV(A399,"High")</f>
        <v>123.89</v>
      </c>
      <c r="K399" s="83" cm="1">
        <f t="array" aca="1" ref="K399" ca="1">_FV(A399,"Low")</f>
        <v>120.175</v>
      </c>
      <c r="L399" s="75" cm="1">
        <f t="array" aca="1" ref="L399" ca="1">_FV(A399,"52 week high",TRUE)</f>
        <v>141.96</v>
      </c>
      <c r="M399" s="75" t="e" cm="1" vm="224">
        <f t="array" aca="1" ref="M399" ca="1">_FV(B399,"52 week high",TRUE)</f>
        <v>#VALUE!</v>
      </c>
      <c r="N399" s="75" t="e" cm="1" vm="224">
        <f t="array" ref="N399">_FV(C399,"52 week high",TRUE)</f>
        <v>#VALUE!</v>
      </c>
      <c r="O399" s="75" cm="1">
        <f t="array" aca="1" ref="O399" ca="1">_FV(A399,"52 week low",TRUE)</f>
        <v>75.415000000000006</v>
      </c>
      <c r="S399" s="83" t="s">
        <v>76</v>
      </c>
      <c r="T399" s="112" t="s">
        <v>78</v>
      </c>
      <c r="U399" s="112"/>
      <c r="V399" s="93">
        <v>45602</v>
      </c>
      <c r="W399" s="94" t="s">
        <v>11</v>
      </c>
      <c r="X399" s="85" t="s">
        <v>11</v>
      </c>
      <c r="Y399" s="84">
        <v>87.03</v>
      </c>
      <c r="Z399" s="84" t="s">
        <v>11</v>
      </c>
      <c r="AA399" s="84" t="s">
        <v>11</v>
      </c>
      <c r="AB399" s="84"/>
      <c r="AC399" s="84">
        <v>101.25</v>
      </c>
      <c r="AD399" s="84"/>
      <c r="AE399" s="46">
        <f t="shared" si="168"/>
        <v>0.16339193381592554</v>
      </c>
      <c r="AF399" s="86">
        <v>108.46</v>
      </c>
      <c r="AG399" s="89">
        <f t="shared" ca="1" si="172"/>
        <v>-0.12249190938511323</v>
      </c>
      <c r="AH399" s="86">
        <v>79.92</v>
      </c>
      <c r="AI399" s="89">
        <f t="shared" si="164"/>
        <v>-8.1695966907962769E-2</v>
      </c>
      <c r="AJ399" s="49" t="str">
        <f t="shared" si="165"/>
        <v>-</v>
      </c>
      <c r="AK399" s="46" t="str">
        <f t="shared" si="171"/>
        <v>-</v>
      </c>
      <c r="AL399" s="83"/>
      <c r="AM399" s="49" t="str">
        <f t="shared" si="166"/>
        <v>-</v>
      </c>
      <c r="AN399" s="148">
        <f t="shared" ca="1" si="167"/>
        <v>0.42019993105825559</v>
      </c>
      <c r="AU399" s="148"/>
    </row>
    <row r="400" spans="1:47" ht="16" customHeight="1" x14ac:dyDescent="0.2">
      <c r="A400" s="83" t="e" vm="367">
        <v>#VALUE!</v>
      </c>
      <c r="B400" s="83" t="str" cm="1">
        <f t="array" aca="1" ref="B400" ca="1">_FV(A400,"Ticker symbol",TRUE)</f>
        <v>CAR</v>
      </c>
      <c r="C400" s="49"/>
      <c r="D400" s="83" cm="1">
        <f t="array" aca="1" ref="D400" ca="1">_FV(A400,"Price")</f>
        <v>187.07</v>
      </c>
      <c r="E400" s="46"/>
      <c r="F400" s="46"/>
      <c r="G400" s="46"/>
      <c r="H400" s="46"/>
      <c r="I400" s="84">
        <v>112.14</v>
      </c>
      <c r="J400" s="83" cm="1">
        <f t="array" aca="1" ref="J400" ca="1">_FV(A400,"High")</f>
        <v>204.10990000000001</v>
      </c>
      <c r="K400" s="83" cm="1">
        <f t="array" aca="1" ref="K400" ca="1">_FV(A400,"Low")</f>
        <v>182</v>
      </c>
      <c r="L400" s="75" cm="1">
        <f t="array" aca="1" ref="L400" ca="1">_FV(A400,"52 week high",TRUE)</f>
        <v>847.69989999999996</v>
      </c>
      <c r="M400" s="75" t="e" cm="1" vm="224">
        <f t="array" aca="1" ref="M400" ca="1">_FV(B400,"52 week high",TRUE)</f>
        <v>#VALUE!</v>
      </c>
      <c r="N400" s="75" t="e" cm="1" vm="224">
        <f t="array" ref="N400">_FV(C400,"52 week high",TRUE)</f>
        <v>#VALUE!</v>
      </c>
      <c r="O400" s="75" cm="1">
        <f t="array" aca="1" ref="O400" ca="1">_FV(A400,"52 week low",TRUE)</f>
        <v>85.96</v>
      </c>
      <c r="S400" s="83" t="s">
        <v>76</v>
      </c>
      <c r="T400" s="112" t="s">
        <v>78</v>
      </c>
      <c r="U400" s="112"/>
      <c r="V400" s="93">
        <v>45600</v>
      </c>
      <c r="W400" s="94" t="s">
        <v>11</v>
      </c>
      <c r="X400" s="85" t="s">
        <v>11</v>
      </c>
      <c r="Y400" s="84">
        <v>92.36</v>
      </c>
      <c r="Z400" s="84" t="s">
        <v>11</v>
      </c>
      <c r="AA400" s="84" t="s">
        <v>11</v>
      </c>
      <c r="AB400" s="84"/>
      <c r="AC400" s="84">
        <v>112.14</v>
      </c>
      <c r="AD400" s="84"/>
      <c r="AE400" s="46">
        <f t="shared" si="168"/>
        <v>0.21416197488090094</v>
      </c>
      <c r="AF400" s="86" t="s">
        <v>11</v>
      </c>
      <c r="AG400" s="89" t="e">
        <f t="shared" ca="1" si="172"/>
        <v>#VALUE!</v>
      </c>
      <c r="AH400" s="86">
        <v>82.48</v>
      </c>
      <c r="AI400" s="89">
        <f t="shared" si="164"/>
        <v>-0.10697271546123854</v>
      </c>
      <c r="AJ400" s="49" t="str">
        <f t="shared" si="165"/>
        <v>-</v>
      </c>
      <c r="AK400" s="46" t="str">
        <f t="shared" si="171"/>
        <v>-</v>
      </c>
      <c r="AL400" s="83"/>
      <c r="AM400" s="49" t="str">
        <f t="shared" si="166"/>
        <v>-</v>
      </c>
      <c r="AN400" s="148">
        <f t="shared" ca="1" si="167"/>
        <v>1.0254439151147681</v>
      </c>
      <c r="AU400" s="148"/>
    </row>
    <row r="401" spans="1:47" ht="16" customHeight="1" x14ac:dyDescent="0.2">
      <c r="A401" s="83" t="e" vm="368">
        <v>#VALUE!</v>
      </c>
      <c r="B401" s="83" t="str" cm="1">
        <f t="array" aca="1" ref="B401" ca="1">_FV(A401,"Ticker symbol",TRUE)</f>
        <v>GOOG</v>
      </c>
      <c r="C401" s="49"/>
      <c r="D401" s="83" cm="1">
        <f t="array" aca="1" ref="D401" ca="1">_FV(A401,"Price")</f>
        <v>348.52</v>
      </c>
      <c r="E401" s="46"/>
      <c r="F401" s="46"/>
      <c r="G401" s="46"/>
      <c r="H401" s="46"/>
      <c r="I401" s="84">
        <v>196.69</v>
      </c>
      <c r="J401" s="83" cm="1">
        <f t="array" aca="1" ref="J401" ca="1">_FV(A401,"High")</f>
        <v>350.9</v>
      </c>
      <c r="K401" s="83" cm="1">
        <f t="array" aca="1" ref="K401" ca="1">_FV(A401,"Low")</f>
        <v>340.81</v>
      </c>
      <c r="L401" s="75" cm="1">
        <f t="array" aca="1" ref="L401" ca="1">_FV(A401,"52 week high",TRUE)</f>
        <v>350.9</v>
      </c>
      <c r="M401" s="75" t="e" cm="1" vm="224">
        <f t="array" aca="1" ref="M401" ca="1">_FV(B401,"52 week high",TRUE)</f>
        <v>#VALUE!</v>
      </c>
      <c r="N401" s="75" t="e" cm="1" vm="224">
        <f t="array" ref="N401">_FV(C401,"52 week high",TRUE)</f>
        <v>#VALUE!</v>
      </c>
      <c r="O401" s="75" cm="1">
        <f t="array" aca="1" ref="O401" ca="1">_FV(A401,"52 week low",TRUE)</f>
        <v>149.49010000000001</v>
      </c>
      <c r="S401" s="83" t="s">
        <v>75</v>
      </c>
      <c r="T401" s="112" t="s">
        <v>78</v>
      </c>
      <c r="U401" s="112"/>
      <c r="V401" s="93">
        <v>45596</v>
      </c>
      <c r="W401" s="94" t="s">
        <v>11</v>
      </c>
      <c r="X401" s="85" t="s">
        <v>11</v>
      </c>
      <c r="Y401" s="84">
        <v>172.81</v>
      </c>
      <c r="Z401" s="84" t="s">
        <v>11</v>
      </c>
      <c r="AA401" s="84" t="s">
        <v>11</v>
      </c>
      <c r="AB401" s="84"/>
      <c r="AC401" s="84">
        <v>196.69</v>
      </c>
      <c r="AD401" s="84"/>
      <c r="AE401" s="46">
        <f t="shared" si="168"/>
        <v>0.13818644754354481</v>
      </c>
      <c r="AF401" s="86" t="s">
        <v>11</v>
      </c>
      <c r="AG401" s="89" t="e">
        <f t="shared" ca="1" si="172"/>
        <v>#VALUE!</v>
      </c>
      <c r="AH401" s="86">
        <v>160.88</v>
      </c>
      <c r="AI401" s="89">
        <f t="shared" si="164"/>
        <v>-6.9035356750188126E-2</v>
      </c>
      <c r="AJ401" s="49" t="str">
        <f t="shared" si="165"/>
        <v>-</v>
      </c>
      <c r="AK401" s="46" t="str">
        <f t="shared" si="171"/>
        <v>-</v>
      </c>
      <c r="AL401" s="83"/>
      <c r="AM401" s="49" t="str">
        <f t="shared" si="166"/>
        <v>-</v>
      </c>
      <c r="AN401" s="148">
        <f t="shared" ca="1" si="167"/>
        <v>1.0167814362594756</v>
      </c>
      <c r="AU401" s="148"/>
    </row>
    <row r="402" spans="1:47" ht="16" customHeight="1" x14ac:dyDescent="0.2">
      <c r="A402" s="83" t="e" vm="369">
        <v>#VALUE!</v>
      </c>
      <c r="B402" s="83" t="str" cm="1">
        <f t="array" aca="1" ref="B402" ca="1">_FV(A402,"Ticker symbol",TRUE)</f>
        <v>SGO</v>
      </c>
      <c r="C402" s="49"/>
      <c r="D402" s="83" cm="1">
        <f t="array" aca="1" ref="D402" ca="1">_FV(A402,"Price")</f>
        <v>77.36</v>
      </c>
      <c r="E402" s="46"/>
      <c r="F402" s="46"/>
      <c r="G402" s="46"/>
      <c r="H402" s="46"/>
      <c r="I402" s="84">
        <v>90.94</v>
      </c>
      <c r="J402" s="83" cm="1">
        <f t="array" aca="1" ref="J402" ca="1">_FV(A402,"High")</f>
        <v>78.22</v>
      </c>
      <c r="K402" s="83" cm="1">
        <f t="array" aca="1" ref="K402" ca="1">_FV(A402,"Low")</f>
        <v>77.239999999999995</v>
      </c>
      <c r="L402" s="75" cm="1">
        <f t="array" aca="1" ref="L402" ca="1">_FV(A402,"52 week high",TRUE)</f>
        <v>104.65</v>
      </c>
      <c r="M402" s="75" t="e" cm="1" vm="224">
        <f t="array" aca="1" ref="M402" ca="1">_FV(B402,"52 week high",TRUE)</f>
        <v>#VALUE!</v>
      </c>
      <c r="N402" s="75" t="e" cm="1" vm="224">
        <f t="array" ref="N402">_FV(C402,"52 week high",TRUE)</f>
        <v>#VALUE!</v>
      </c>
      <c r="O402" s="75" cm="1">
        <f t="array" aca="1" ref="O402" ca="1">_FV(A402,"52 week low",TRUE)</f>
        <v>65.88</v>
      </c>
      <c r="S402" s="83" t="s">
        <v>76</v>
      </c>
      <c r="T402" s="112" t="s">
        <v>78</v>
      </c>
      <c r="U402" s="112"/>
      <c r="V402" s="93">
        <v>45561</v>
      </c>
      <c r="W402" s="94" t="s">
        <v>11</v>
      </c>
      <c r="X402" s="85"/>
      <c r="Y402" s="84">
        <v>82.5</v>
      </c>
      <c r="Z402" s="84"/>
      <c r="AA402" s="84" t="s">
        <v>11</v>
      </c>
      <c r="AB402" s="84"/>
      <c r="AC402" s="84">
        <v>90.94</v>
      </c>
      <c r="AD402" s="84"/>
      <c r="AE402" s="46">
        <f t="shared" ca="1" si="168"/>
        <v>0.17554291623578067</v>
      </c>
      <c r="AF402" s="86" t="s">
        <v>11</v>
      </c>
      <c r="AG402" s="89" t="e">
        <f t="shared" si="172"/>
        <v>#VALUE!</v>
      </c>
      <c r="AH402" s="86">
        <v>78.48</v>
      </c>
      <c r="AI402" s="89">
        <f t="shared" ca="1" si="164"/>
        <v>1.4477766287487093E-2</v>
      </c>
      <c r="AJ402" s="49" t="e">
        <f t="shared" ca="1" si="165"/>
        <v>#DIV/0!</v>
      </c>
      <c r="AK402" s="46" t="str">
        <f t="shared" si="171"/>
        <v>-</v>
      </c>
      <c r="AL402" s="83"/>
      <c r="AM402" s="49" t="str">
        <f t="shared" si="166"/>
        <v>-</v>
      </c>
      <c r="AN402" s="148">
        <f t="shared" ca="1" si="167"/>
        <v>-6.2303030303030305E-2</v>
      </c>
      <c r="AU402" s="148"/>
    </row>
    <row r="403" spans="1:47" ht="16" customHeight="1" x14ac:dyDescent="0.2">
      <c r="A403" s="83" t="e" vm="370">
        <v>#VALUE!</v>
      </c>
      <c r="B403" s="83" t="str" cm="1">
        <f t="array" aca="1" ref="B403" ca="1">_FV(A403,"Ticker symbol",TRUE)</f>
        <v>IVZ</v>
      </c>
      <c r="C403" s="49"/>
      <c r="D403" s="83" cm="1">
        <f t="array" aca="1" ref="D403" ca="1">_FV(A403,"Price")</f>
        <v>25.5</v>
      </c>
      <c r="E403" s="46"/>
      <c r="F403" s="46"/>
      <c r="G403" s="46"/>
      <c r="H403" s="46"/>
      <c r="I403" s="84">
        <v>22.18</v>
      </c>
      <c r="J403" s="83" cm="1">
        <f t="array" aca="1" ref="J403" ca="1">_FV(A403,"High")</f>
        <v>25.91</v>
      </c>
      <c r="K403" s="83" cm="1">
        <f t="array" aca="1" ref="K403" ca="1">_FV(A403,"Low")</f>
        <v>25.3</v>
      </c>
      <c r="L403" s="75" cm="1">
        <f t="array" aca="1" ref="L403" ca="1">_FV(A403,"52 week high",TRUE)</f>
        <v>29.61</v>
      </c>
      <c r="M403" s="75" t="e" cm="1" vm="224">
        <f t="array" aca="1" ref="M403" ca="1">_FV(B403,"52 week high",TRUE)</f>
        <v>#VALUE!</v>
      </c>
      <c r="N403" s="75" t="e" cm="1" vm="224">
        <f t="array" ref="N403">_FV(C403,"52 week high",TRUE)</f>
        <v>#VALUE!</v>
      </c>
      <c r="O403" s="75" cm="1">
        <f t="array" aca="1" ref="O403" ca="1">_FV(A403,"52 week low",TRUE)</f>
        <v>13.46</v>
      </c>
      <c r="S403" s="83" t="s">
        <v>76</v>
      </c>
      <c r="T403" s="112" t="s">
        <v>78</v>
      </c>
      <c r="U403" s="112"/>
      <c r="V403" s="93">
        <v>45561</v>
      </c>
      <c r="W403" s="94" t="s">
        <v>11</v>
      </c>
      <c r="X403" s="85"/>
      <c r="Y403" s="84">
        <v>17.600000000000001</v>
      </c>
      <c r="Z403" s="84"/>
      <c r="AA403" s="84" t="s">
        <v>11</v>
      </c>
      <c r="AB403" s="84"/>
      <c r="AC403" s="84">
        <v>22.18</v>
      </c>
      <c r="AD403" s="84"/>
      <c r="AE403" s="46">
        <f t="shared" ca="1" si="168"/>
        <v>-0.1301960784313726</v>
      </c>
      <c r="AF403" s="86" t="s">
        <v>11</v>
      </c>
      <c r="AG403" s="89" t="e">
        <f t="shared" si="172"/>
        <v>#VALUE!</v>
      </c>
      <c r="AH403" s="86">
        <v>15.32</v>
      </c>
      <c r="AI403" s="89">
        <f t="shared" ca="1" si="164"/>
        <v>-0.39921568627450976</v>
      </c>
      <c r="AJ403" s="49" t="e">
        <f t="shared" ca="1" si="165"/>
        <v>#DIV/0!</v>
      </c>
      <c r="AK403" s="46" t="str">
        <f t="shared" si="171"/>
        <v>-</v>
      </c>
      <c r="AL403" s="83"/>
      <c r="AM403" s="49" t="str">
        <f t="shared" si="166"/>
        <v>-</v>
      </c>
      <c r="AN403" s="148">
        <f t="shared" ca="1" si="167"/>
        <v>0.44886363636363624</v>
      </c>
      <c r="AU403" s="148"/>
    </row>
    <row r="404" spans="1:47" ht="16" customHeight="1" x14ac:dyDescent="0.2">
      <c r="A404" s="83" t="e" vm="371">
        <v>#VALUE!</v>
      </c>
      <c r="B404" s="83" t="str" cm="1">
        <f t="array" aca="1" ref="B404" ca="1">_FV(A404,"Ticker symbol",TRUE)</f>
        <v>PAYX</v>
      </c>
      <c r="C404" s="49"/>
      <c r="D404" s="83" cm="1">
        <f t="array" aca="1" ref="D404" ca="1">_FV(A404,"Price")</f>
        <v>89.93</v>
      </c>
      <c r="E404" s="46"/>
      <c r="F404" s="46"/>
      <c r="G404" s="46"/>
      <c r="H404" s="46"/>
      <c r="I404" s="84">
        <v>160</v>
      </c>
      <c r="J404" s="83" cm="1">
        <f t="array" aca="1" ref="J404" ca="1">_FV(A404,"High")</f>
        <v>91.11</v>
      </c>
      <c r="K404" s="83" cm="1">
        <f t="array" aca="1" ref="K404" ca="1">_FV(A404,"Low")</f>
        <v>89.534999999999997</v>
      </c>
      <c r="L404" s="75" cm="1">
        <f t="array" aca="1" ref="L404" ca="1">_FV(A404,"52 week high",TRUE)</f>
        <v>161.24</v>
      </c>
      <c r="M404" s="75" t="e" cm="1" vm="224">
        <f t="array" aca="1" ref="M404" ca="1">_FV(B404,"52 week high",TRUE)</f>
        <v>#VALUE!</v>
      </c>
      <c r="N404" s="75" t="e" cm="1" vm="224">
        <f t="array" ref="N404">_FV(C404,"52 week high",TRUE)</f>
        <v>#VALUE!</v>
      </c>
      <c r="O404" s="75" cm="1">
        <f t="array" aca="1" ref="O404" ca="1">_FV(A404,"52 week low",TRUE)</f>
        <v>85.45</v>
      </c>
      <c r="S404" s="83" t="s">
        <v>76</v>
      </c>
      <c r="T404" s="112" t="s">
        <v>77</v>
      </c>
      <c r="U404" s="112"/>
      <c r="V404" s="93">
        <v>45559</v>
      </c>
      <c r="W404" s="94" t="s">
        <v>11</v>
      </c>
      <c r="X404" s="85"/>
      <c r="Y404" s="84">
        <v>134.06</v>
      </c>
      <c r="Z404" s="84"/>
      <c r="AA404" s="84" t="s">
        <v>11</v>
      </c>
      <c r="AB404" s="84"/>
      <c r="AC404" s="84">
        <v>160</v>
      </c>
      <c r="AD404" s="84"/>
      <c r="AE404" s="46">
        <f t="shared" ca="1" si="168"/>
        <v>0.77916157011008558</v>
      </c>
      <c r="AF404" s="86">
        <v>165</v>
      </c>
      <c r="AG404" s="89">
        <f t="shared" si="172"/>
        <v>3.125E-2</v>
      </c>
      <c r="AH404" s="86">
        <v>112.95</v>
      </c>
      <c r="AI404" s="89">
        <f t="shared" ca="1" si="164"/>
        <v>0.25597687089958843</v>
      </c>
      <c r="AJ404" s="49" t="e">
        <f t="shared" ca="1" si="165"/>
        <v>#DIV/0!</v>
      </c>
      <c r="AK404" s="46" t="str">
        <f t="shared" si="171"/>
        <v>-</v>
      </c>
      <c r="AL404" s="83"/>
      <c r="AM404" s="49" t="str">
        <f t="shared" si="166"/>
        <v>-</v>
      </c>
      <c r="AN404" s="148">
        <f t="shared" ca="1" si="167"/>
        <v>-0.32918096374757566</v>
      </c>
      <c r="AU404" s="148"/>
    </row>
    <row r="405" spans="1:47" ht="16" customHeight="1" x14ac:dyDescent="0.2">
      <c r="A405" s="83" t="e" vm="372">
        <v>#VALUE!</v>
      </c>
      <c r="B405" s="83" t="str" cm="1">
        <f t="array" aca="1" ref="B405" ca="1">_FV(A405,"Ticker symbol",TRUE)</f>
        <v>IMCD</v>
      </c>
      <c r="C405" s="49"/>
      <c r="D405" s="83" cm="1">
        <f t="array" aca="1" ref="D405" ca="1">_FV(A405,"Price")</f>
        <v>98.08</v>
      </c>
      <c r="E405" s="46"/>
      <c r="F405" s="46"/>
      <c r="G405" s="46"/>
      <c r="H405" s="46"/>
      <c r="I405" s="84">
        <v>173.8</v>
      </c>
      <c r="J405" s="83" cm="1">
        <f t="array" aca="1" ref="J405" ca="1">_FV(A405,"High")</f>
        <v>98.9</v>
      </c>
      <c r="K405" s="83" cm="1">
        <f t="array" aca="1" ref="K405" ca="1">_FV(A405,"Low")</f>
        <v>95.94</v>
      </c>
      <c r="L405" s="75" cm="1">
        <f t="array" aca="1" ref="L405" ca="1">_FV(A405,"52 week high",TRUE)</f>
        <v>126.55</v>
      </c>
      <c r="M405" s="75" t="e" cm="1" vm="224">
        <f t="array" aca="1" ref="M405" ca="1">_FV(B405,"52 week high",TRUE)</f>
        <v>#VALUE!</v>
      </c>
      <c r="N405" s="75" t="e" cm="1" vm="224">
        <f t="array" ref="N405">_FV(C405,"52 week high",TRUE)</f>
        <v>#VALUE!</v>
      </c>
      <c r="O405" s="75" cm="1">
        <f t="array" aca="1" ref="O405" ca="1">_FV(A405,"52 week low",TRUE)</f>
        <v>68.14</v>
      </c>
      <c r="S405" s="83" t="s">
        <v>76</v>
      </c>
      <c r="T405" s="112" t="s">
        <v>78</v>
      </c>
      <c r="U405" s="112"/>
      <c r="V405" s="93">
        <v>45537</v>
      </c>
      <c r="W405" s="94" t="s">
        <v>11</v>
      </c>
      <c r="X405" s="85" t="s">
        <v>11</v>
      </c>
      <c r="Y405" s="84">
        <v>147.80000000000001</v>
      </c>
      <c r="Z405" s="84" t="s">
        <v>11</v>
      </c>
      <c r="AA405" s="84" t="s">
        <v>11</v>
      </c>
      <c r="AB405" s="84"/>
      <c r="AC405" s="84">
        <v>173.8</v>
      </c>
      <c r="AD405" s="84"/>
      <c r="AE405" s="46">
        <f t="shared" si="168"/>
        <v>0.1759133964817321</v>
      </c>
      <c r="AF405" s="86" t="s">
        <v>11</v>
      </c>
      <c r="AG405" s="89" t="e">
        <f t="shared" ca="1" si="172"/>
        <v>#VALUE!</v>
      </c>
      <c r="AH405" s="86">
        <v>134.9</v>
      </c>
      <c r="AI405" s="89">
        <f t="shared" si="164"/>
        <v>-8.7280108254397915E-2</v>
      </c>
      <c r="AJ405" s="49" t="str">
        <f t="shared" si="165"/>
        <v>-</v>
      </c>
      <c r="AK405" s="46" t="str">
        <f t="shared" si="171"/>
        <v>-</v>
      </c>
      <c r="AL405" s="83"/>
      <c r="AM405" s="49" t="str">
        <f t="shared" si="166"/>
        <v>-</v>
      </c>
      <c r="AN405" s="148">
        <f t="shared" ca="1" si="167"/>
        <v>-0.33640054127198926</v>
      </c>
      <c r="AU405" s="148"/>
    </row>
    <row r="406" spans="1:47" ht="16" customHeight="1" x14ac:dyDescent="0.2">
      <c r="A406" s="83" t="e" vm="373">
        <v>#VALUE!</v>
      </c>
      <c r="B406" s="83" t="str" cm="1">
        <f t="array" aca="1" ref="B406" ca="1">_FV(A406,"Ticker symbol",TRUE)</f>
        <v>OVS</v>
      </c>
      <c r="C406" s="49"/>
      <c r="D406" s="83" cm="1">
        <f t="array" aca="1" ref="D406" ca="1">_FV(A406,"Price")</f>
        <v>5.1050000000000004</v>
      </c>
      <c r="E406" s="46"/>
      <c r="F406" s="46"/>
      <c r="G406" s="46"/>
      <c r="H406" s="46"/>
      <c r="I406" s="84">
        <v>3.3879999999999999</v>
      </c>
      <c r="J406" s="83" cm="1">
        <f t="array" aca="1" ref="J406" ca="1">_FV(A406,"High")</f>
        <v>5.1449999999999996</v>
      </c>
      <c r="K406" s="83" cm="1">
        <f t="array" aca="1" ref="K406" ca="1">_FV(A406,"Low")</f>
        <v>5.05</v>
      </c>
      <c r="L406" s="75" cm="1">
        <f t="array" aca="1" ref="L406" ca="1">_FV(A406,"52 week high",TRUE)</f>
        <v>5.44</v>
      </c>
      <c r="M406" s="75" t="e" cm="1" vm="224">
        <f t="array" aca="1" ref="M406" ca="1">_FV(B406,"52 week high",TRUE)</f>
        <v>#VALUE!</v>
      </c>
      <c r="N406" s="75" t="e" cm="1" vm="224">
        <f t="array" ref="N406">_FV(C406,"52 week high",TRUE)</f>
        <v>#VALUE!</v>
      </c>
      <c r="O406" s="75" cm="1">
        <f t="array" aca="1" ref="O406" ca="1">_FV(A406,"52 week low",TRUE)</f>
        <v>3.13</v>
      </c>
      <c r="S406" s="83" t="s">
        <v>75</v>
      </c>
      <c r="T406" s="112" t="s">
        <v>78</v>
      </c>
      <c r="U406" s="112"/>
      <c r="V406" s="93">
        <v>45614</v>
      </c>
      <c r="W406" s="94" t="s">
        <v>11</v>
      </c>
      <c r="X406" s="85" t="s">
        <v>11</v>
      </c>
      <c r="Y406" s="84">
        <v>2.97</v>
      </c>
      <c r="Z406" s="84" t="s">
        <v>11</v>
      </c>
      <c r="AA406" s="84" t="s">
        <v>11</v>
      </c>
      <c r="AB406" s="84"/>
      <c r="AC406" s="84">
        <v>3.3879999999999999</v>
      </c>
      <c r="AD406" s="84"/>
      <c r="AE406" s="46" t="s">
        <v>11</v>
      </c>
      <c r="AF406" s="86" t="s">
        <v>11</v>
      </c>
      <c r="AG406" s="89" t="e">
        <f t="shared" ca="1" si="172"/>
        <v>#VALUE!</v>
      </c>
      <c r="AH406" s="86">
        <v>2.7639999999999998</v>
      </c>
      <c r="AI406" s="89">
        <f t="shared" si="164"/>
        <v>-6.9360269360269511E-2</v>
      </c>
      <c r="AJ406" s="49" t="str">
        <f t="shared" si="165"/>
        <v>-</v>
      </c>
      <c r="AK406" s="46" t="str">
        <f t="shared" si="171"/>
        <v>-</v>
      </c>
      <c r="AL406" s="83"/>
      <c r="AM406" s="49" t="str">
        <f t="shared" si="166"/>
        <v>-</v>
      </c>
      <c r="AN406" s="148">
        <f t="shared" ca="1" si="167"/>
        <v>0.71885521885521886</v>
      </c>
      <c r="AU406" s="148"/>
    </row>
    <row r="407" spans="1:47" ht="16" customHeight="1" x14ac:dyDescent="0.2">
      <c r="A407" s="83" t="e" vm="374">
        <v>#VALUE!</v>
      </c>
      <c r="B407" s="83" t="str" cm="1">
        <f t="array" aca="1" ref="B407" ca="1">_FV(A407,"Ticker symbol",TRUE)</f>
        <v>BPSO</v>
      </c>
      <c r="C407" s="49"/>
      <c r="D407" s="83" cm="1">
        <f t="array" aca="1" ref="D407" ca="1">_FV(A407,"Price")</f>
        <v>17.864999999999998</v>
      </c>
      <c r="E407" s="46"/>
      <c r="F407" s="46"/>
      <c r="G407" s="46"/>
      <c r="H407" s="46"/>
      <c r="I407" s="84">
        <v>8.73</v>
      </c>
      <c r="J407" s="83" cm="1">
        <f t="array" aca="1" ref="J407" ca="1">_FV(A407,"High")</f>
        <v>18.07</v>
      </c>
      <c r="K407" s="83" cm="1">
        <f t="array" aca="1" ref="K407" ca="1">_FV(A407,"Low")</f>
        <v>17.47</v>
      </c>
      <c r="L407" s="75" cm="1">
        <f t="array" aca="1" ref="L407" ca="1">_FV(A407,"52 week high",TRUE)</f>
        <v>18.54</v>
      </c>
      <c r="M407" s="75" t="e" cm="1" vm="224">
        <f t="array" aca="1" ref="M407" ca="1">_FV(B407,"52 week high",TRUE)</f>
        <v>#VALUE!</v>
      </c>
      <c r="N407" s="75" t="e" cm="1" vm="224">
        <f t="array" ref="N407">_FV(C407,"52 week high",TRUE)</f>
        <v>#VALUE!</v>
      </c>
      <c r="O407" s="75" cm="1">
        <f t="array" aca="1" ref="O407" ca="1">_FV(A407,"52 week low",TRUE)</f>
        <v>9.76</v>
      </c>
      <c r="S407" s="83" t="s">
        <v>75</v>
      </c>
      <c r="T407" s="112" t="s">
        <v>78</v>
      </c>
      <c r="U407" s="112"/>
      <c r="V407" s="93">
        <v>45611</v>
      </c>
      <c r="W407" s="94" t="s">
        <v>11</v>
      </c>
      <c r="X407" s="85" t="s">
        <v>11</v>
      </c>
      <c r="Y407" s="84">
        <v>7.49</v>
      </c>
      <c r="Z407" s="84" t="s">
        <v>11</v>
      </c>
      <c r="AA407" s="84" t="s">
        <v>11</v>
      </c>
      <c r="AB407" s="84"/>
      <c r="AC407" s="84">
        <v>8.73</v>
      </c>
      <c r="AD407" s="84"/>
      <c r="AE407" s="46">
        <f t="shared" ref="AE407:AE429" si="173">IF(Z407="-",+AC407/Y407-1,AC407/D407-1)</f>
        <v>0.16555407209612816</v>
      </c>
      <c r="AF407" s="86" t="s">
        <v>11</v>
      </c>
      <c r="AG407" s="89" t="e">
        <f t="shared" ca="1" si="172"/>
        <v>#VALUE!</v>
      </c>
      <c r="AH407" s="86">
        <v>6.87</v>
      </c>
      <c r="AI407" s="89">
        <f t="shared" ref="AI407:AI429" si="174">IF(Z407="-",AH407/Y407-1,+AH407/D407-1)</f>
        <v>-8.2777036048064079E-2</v>
      </c>
      <c r="AJ407" s="49" t="str">
        <f t="shared" ref="AJ407:AJ423" si="175">IF(Z407="-","-",+(D407/Z407)-1)</f>
        <v>-</v>
      </c>
      <c r="AK407" s="46" t="str">
        <f t="shared" si="171"/>
        <v>-</v>
      </c>
      <c r="AL407" s="83"/>
      <c r="AM407" s="49" t="str">
        <f t="shared" ref="AM407:AM423" si="176">IF(AL407=0,"-",+AL407/Z407-1)</f>
        <v>-</v>
      </c>
      <c r="AN407" s="148">
        <f t="shared" ref="AN407:AN423" ca="1" si="177">+D407/Y407-1</f>
        <v>1.3851802403204267</v>
      </c>
      <c r="AU407" s="148"/>
    </row>
    <row r="408" spans="1:47" ht="16" customHeight="1" x14ac:dyDescent="0.2">
      <c r="A408" s="83" t="e" vm="326">
        <v>#VALUE!</v>
      </c>
      <c r="B408" s="83" t="str" cm="1">
        <f t="array" aca="1" ref="B408" ca="1">_FV(A408,"Ticker symbol",TRUE)</f>
        <v>BCP</v>
      </c>
      <c r="C408" s="49"/>
      <c r="D408" s="83" cm="1">
        <f t="array" aca="1" ref="D408" ca="1">_FV(A408,"Price")</f>
        <v>0.87039999999999995</v>
      </c>
      <c r="E408" s="46"/>
      <c r="F408" s="46"/>
      <c r="G408" s="46"/>
      <c r="H408" s="46"/>
      <c r="I408" s="84">
        <v>0.51049999999999995</v>
      </c>
      <c r="J408" s="83" cm="1">
        <f t="array" aca="1" ref="J408" ca="1">_FV(A408,"High")</f>
        <v>0.87939999999999996</v>
      </c>
      <c r="K408" s="83" cm="1">
        <f t="array" aca="1" ref="K408" ca="1">_FV(A408,"Low")</f>
        <v>0.86699999999999999</v>
      </c>
      <c r="L408" s="75" cm="1">
        <f t="array" aca="1" ref="L408" ca="1">_FV(A408,"52 week high",TRUE)</f>
        <v>0.95</v>
      </c>
      <c r="M408" s="75" t="e" cm="1" vm="224">
        <f t="array" aca="1" ref="M408" ca="1">_FV(B408,"52 week high",TRUE)</f>
        <v>#VALUE!</v>
      </c>
      <c r="N408" s="75" t="e" cm="1" vm="224">
        <f t="array" ref="N408">_FV(C408,"52 week high",TRUE)</f>
        <v>#VALUE!</v>
      </c>
      <c r="O408" s="75" cm="1">
        <f t="array" aca="1" ref="O408" ca="1">_FV(A408,"52 week low",TRUE)</f>
        <v>0.56000000000000005</v>
      </c>
      <c r="S408" s="83" t="s">
        <v>75</v>
      </c>
      <c r="T408" s="112" t="s">
        <v>78</v>
      </c>
      <c r="U408" s="112"/>
      <c r="V408" s="93">
        <v>45643</v>
      </c>
      <c r="W408" s="94" t="s">
        <v>11</v>
      </c>
      <c r="X408" s="85" t="s">
        <v>11</v>
      </c>
      <c r="Y408" s="84">
        <v>0.45660000000000001</v>
      </c>
      <c r="Z408" s="84" t="s">
        <v>11</v>
      </c>
      <c r="AA408" s="84" t="s">
        <v>11</v>
      </c>
      <c r="AB408" s="84"/>
      <c r="AC408" s="84">
        <v>0.51049999999999995</v>
      </c>
      <c r="AD408" s="84"/>
      <c r="AE408" s="46">
        <f t="shared" si="173"/>
        <v>0.1180464301357862</v>
      </c>
      <c r="AF408" s="86" t="s">
        <v>11</v>
      </c>
      <c r="AG408" s="89" t="e">
        <f t="shared" ca="1" si="172"/>
        <v>#VALUE!</v>
      </c>
      <c r="AH408" s="86">
        <v>0.43080000000000002</v>
      </c>
      <c r="AI408" s="89">
        <f t="shared" si="174"/>
        <v>-5.65045992115637E-2</v>
      </c>
      <c r="AJ408" s="49" t="str">
        <f t="shared" si="175"/>
        <v>-</v>
      </c>
      <c r="AK408" s="46" t="str">
        <f t="shared" si="171"/>
        <v>-</v>
      </c>
      <c r="AL408" s="83"/>
      <c r="AM408" s="49" t="str">
        <f t="shared" si="176"/>
        <v>-</v>
      </c>
      <c r="AN408" s="148">
        <f t="shared" ca="1" si="177"/>
        <v>0.90626368812965374</v>
      </c>
      <c r="AU408" s="148"/>
    </row>
    <row r="409" spans="1:47" ht="16" customHeight="1" x14ac:dyDescent="0.2">
      <c r="A409" s="83" t="e" vm="375">
        <v>#VALUE!</v>
      </c>
      <c r="B409" s="83" t="str" cm="1">
        <f t="array" aca="1" ref="B409" ca="1">_FV(A409,"Ticker symbol",TRUE)</f>
        <v>ANF</v>
      </c>
      <c r="C409" s="49"/>
      <c r="D409" s="83" cm="1">
        <f t="array" aca="1" ref="D409" ca="1">_FV(A409,"Price")</f>
        <v>86.59</v>
      </c>
      <c r="E409" s="46"/>
      <c r="F409" s="46"/>
      <c r="G409" s="46"/>
      <c r="H409" s="46"/>
      <c r="I409" s="84">
        <v>173.9</v>
      </c>
      <c r="J409" s="83" cm="1">
        <f t="array" aca="1" ref="J409" ca="1">_FV(A409,"High")</f>
        <v>87.63</v>
      </c>
      <c r="K409" s="83" cm="1">
        <f t="array" aca="1" ref="K409" ca="1">_FV(A409,"Low")</f>
        <v>85.94</v>
      </c>
      <c r="L409" s="75" cm="1">
        <f t="array" aca="1" ref="L409" ca="1">_FV(A409,"52 week high",TRUE)</f>
        <v>133.11000000000001</v>
      </c>
      <c r="M409" s="75" t="e" cm="1" vm="224">
        <f t="array" aca="1" ref="M409" ca="1">_FV(B409,"52 week high",TRUE)</f>
        <v>#VALUE!</v>
      </c>
      <c r="N409" s="75" t="e" cm="1" vm="224">
        <f t="array" ref="N409">_FV(C409,"52 week high",TRUE)</f>
        <v>#VALUE!</v>
      </c>
      <c r="O409" s="75" cm="1">
        <f t="array" aca="1" ref="O409" ca="1">_FV(A409,"52 week low",TRUE)</f>
        <v>65.45</v>
      </c>
      <c r="S409" s="83" t="s">
        <v>76</v>
      </c>
      <c r="T409" s="112" t="s">
        <v>78</v>
      </c>
      <c r="U409" s="112"/>
      <c r="V409" s="93">
        <v>45643</v>
      </c>
      <c r="W409" s="94" t="s">
        <v>11</v>
      </c>
      <c r="X409" s="85" t="s">
        <v>11</v>
      </c>
      <c r="Y409" s="84">
        <v>147.12</v>
      </c>
      <c r="Z409" s="84" t="s">
        <v>11</v>
      </c>
      <c r="AA409" s="84" t="s">
        <v>11</v>
      </c>
      <c r="AB409" s="84"/>
      <c r="AC409" s="84">
        <v>173.9</v>
      </c>
      <c r="AD409" s="84"/>
      <c r="AE409" s="46">
        <f t="shared" si="173"/>
        <v>0.18202827623708528</v>
      </c>
      <c r="AF409" s="86" t="s">
        <v>11</v>
      </c>
      <c r="AG409" s="89" t="e">
        <f t="shared" ca="1" si="172"/>
        <v>#VALUE!</v>
      </c>
      <c r="AH409" s="86">
        <v>133.78</v>
      </c>
      <c r="AI409" s="89">
        <f t="shared" si="174"/>
        <v>-9.0674279499728172E-2</v>
      </c>
      <c r="AJ409" s="49" t="str">
        <f t="shared" si="175"/>
        <v>-</v>
      </c>
      <c r="AK409" s="46" t="str">
        <f t="shared" si="171"/>
        <v>-</v>
      </c>
      <c r="AL409" s="83"/>
      <c r="AM409" s="49" t="str">
        <f t="shared" si="176"/>
        <v>-</v>
      </c>
      <c r="AN409" s="148">
        <f t="shared" ca="1" si="177"/>
        <v>-0.41143284393692225</v>
      </c>
      <c r="AU409" s="148"/>
    </row>
    <row r="410" spans="1:47" ht="16" customHeight="1" x14ac:dyDescent="0.2">
      <c r="A410" s="83" t="e" vm="376">
        <v>#VALUE!</v>
      </c>
      <c r="B410" s="83" t="str" cm="1">
        <f t="array" aca="1" ref="B410" ca="1">_FV(A410,"Ticker symbol",TRUE)</f>
        <v>GNPX</v>
      </c>
      <c r="C410" s="49"/>
      <c r="D410" s="83" cm="1">
        <f t="array" aca="1" ref="D410" ca="1">_FV(A410,"Price")</f>
        <v>0.93</v>
      </c>
      <c r="E410" s="46"/>
      <c r="F410" s="46"/>
      <c r="G410" s="46"/>
      <c r="H410" s="46"/>
      <c r="I410" s="84">
        <v>1.59</v>
      </c>
      <c r="J410" s="83" cm="1">
        <f t="array" aca="1" ref="J410" ca="1">_FV(A410,"High")</f>
        <v>1.03</v>
      </c>
      <c r="K410" s="83" cm="1">
        <f t="array" aca="1" ref="K410" ca="1">_FV(A410,"Low")</f>
        <v>0.91959999999999997</v>
      </c>
      <c r="L410" s="75" cm="1">
        <f t="array" aca="1" ref="L410" ca="1">_FV(A410,"52 week high",TRUE)</f>
        <v>55</v>
      </c>
      <c r="M410" s="75" t="e" cm="1" vm="224">
        <f t="array" aca="1" ref="M410" ca="1">_FV(B410,"52 week high",TRUE)</f>
        <v>#VALUE!</v>
      </c>
      <c r="N410" s="75" t="e" cm="1" vm="224">
        <f t="array" ref="N410">_FV(C410,"52 week high",TRUE)</f>
        <v>#VALUE!</v>
      </c>
      <c r="O410" s="75" cm="1">
        <f t="array" aca="1" ref="O410" ca="1">_FV(A410,"52 week low",TRUE)</f>
        <v>0.91959999999999997</v>
      </c>
      <c r="S410" s="83" t="s">
        <v>76</v>
      </c>
      <c r="T410" s="112" t="s">
        <v>78</v>
      </c>
      <c r="U410" s="112"/>
      <c r="V410" s="93">
        <v>45642</v>
      </c>
      <c r="W410" s="94" t="s">
        <v>11</v>
      </c>
      <c r="X410" s="85" t="s">
        <v>11</v>
      </c>
      <c r="Y410" s="84">
        <v>1.19</v>
      </c>
      <c r="Z410" s="84" t="s">
        <v>11</v>
      </c>
      <c r="AA410" s="84" t="s">
        <v>11</v>
      </c>
      <c r="AB410" s="84"/>
      <c r="AC410" s="84">
        <v>1.59</v>
      </c>
      <c r="AD410" s="84"/>
      <c r="AE410" s="46">
        <f t="shared" si="173"/>
        <v>0.33613445378151274</v>
      </c>
      <c r="AF410" s="86" t="s">
        <v>11</v>
      </c>
      <c r="AG410" s="89" t="e">
        <f t="shared" ca="1" si="172"/>
        <v>#VALUE!</v>
      </c>
      <c r="AH410" s="86">
        <v>1.04</v>
      </c>
      <c r="AI410" s="89">
        <f t="shared" si="174"/>
        <v>-0.12605042016806711</v>
      </c>
      <c r="AJ410" s="49" t="str">
        <f t="shared" si="175"/>
        <v>-</v>
      </c>
      <c r="AK410" s="46" t="str">
        <f t="shared" si="171"/>
        <v>-</v>
      </c>
      <c r="AL410" s="83"/>
      <c r="AM410" s="49" t="str">
        <f t="shared" si="176"/>
        <v>-</v>
      </c>
      <c r="AN410" s="148">
        <f t="shared" ca="1" si="177"/>
        <v>-0.21848739495798308</v>
      </c>
      <c r="AU410" s="148"/>
    </row>
    <row r="411" spans="1:47" ht="16" customHeight="1" x14ac:dyDescent="0.2">
      <c r="A411" s="83" t="e" vm="349">
        <v>#VALUE!</v>
      </c>
      <c r="B411" s="83" t="str" cm="1">
        <f t="array" aca="1" ref="B411" ca="1">_FV(A411,"Ticker symbol",TRUE)</f>
        <v>ANE</v>
      </c>
      <c r="C411" s="49"/>
      <c r="D411" s="83" cm="1">
        <f t="array" aca="1" ref="D411" ca="1">_FV(A411,"Price")</f>
        <v>22.64</v>
      </c>
      <c r="E411" s="46"/>
      <c r="F411" s="46"/>
      <c r="G411" s="46"/>
      <c r="H411" s="46"/>
      <c r="I411" s="84">
        <v>22.3</v>
      </c>
      <c r="J411" s="83" cm="1">
        <f t="array" aca="1" ref="J411" ca="1">_FV(A411,"High")</f>
        <v>23.02</v>
      </c>
      <c r="K411" s="83" cm="1">
        <f t="array" aca="1" ref="K411" ca="1">_FV(A411,"Low")</f>
        <v>22.32</v>
      </c>
      <c r="L411" s="75" cm="1">
        <f t="array" aca="1" ref="L411" ca="1">_FV(A411,"52 week high",TRUE)</f>
        <v>25.64</v>
      </c>
      <c r="M411" s="75" t="e" cm="1" vm="224">
        <f t="array" aca="1" ref="M411" ca="1">_FV(B411,"52 week high",TRUE)</f>
        <v>#VALUE!</v>
      </c>
      <c r="N411" s="75" t="e" cm="1" vm="224">
        <f t="array" ref="N411">_FV(C411,"52 week high",TRUE)</f>
        <v>#VALUE!</v>
      </c>
      <c r="O411" s="75" cm="1">
        <f t="array" aca="1" ref="O411" ca="1">_FV(A411,"52 week low",TRUE)</f>
        <v>15.82</v>
      </c>
      <c r="S411" s="83" t="s">
        <v>26</v>
      </c>
      <c r="T411" s="112" t="s">
        <v>78</v>
      </c>
      <c r="U411" s="112"/>
      <c r="V411" s="93">
        <v>45637</v>
      </c>
      <c r="W411" s="94" t="s">
        <v>11</v>
      </c>
      <c r="X411" s="85" t="s">
        <v>11</v>
      </c>
      <c r="Y411" s="84">
        <v>20.420000000000002</v>
      </c>
      <c r="Z411" s="84" t="s">
        <v>11</v>
      </c>
      <c r="AA411" s="84" t="s">
        <v>11</v>
      </c>
      <c r="AB411" s="84"/>
      <c r="AC411" s="84">
        <v>22.3</v>
      </c>
      <c r="AD411" s="84"/>
      <c r="AE411" s="46">
        <f t="shared" si="173"/>
        <v>9.2066601371204593E-2</v>
      </c>
      <c r="AF411" s="86">
        <v>22.45</v>
      </c>
      <c r="AG411" s="89">
        <f t="shared" ca="1" si="172"/>
        <v>-8.3922261484099536E-3</v>
      </c>
      <c r="AH411" s="86">
        <v>17.61</v>
      </c>
      <c r="AI411" s="89">
        <f t="shared" si="174"/>
        <v>-0.13761018609206666</v>
      </c>
      <c r="AJ411" s="49" t="str">
        <f t="shared" si="175"/>
        <v>-</v>
      </c>
      <c r="AK411" s="46" t="str">
        <f t="shared" si="171"/>
        <v>-</v>
      </c>
      <c r="AL411" s="83"/>
      <c r="AM411" s="49" t="str">
        <f t="shared" si="176"/>
        <v>-</v>
      </c>
      <c r="AN411" s="148">
        <f t="shared" ca="1" si="177"/>
        <v>0.10871694417237987</v>
      </c>
      <c r="AU411" s="148"/>
    </row>
    <row r="412" spans="1:47" ht="16" customHeight="1" x14ac:dyDescent="0.2">
      <c r="A412" s="83" t="e" vm="377">
        <v>#VALUE!</v>
      </c>
      <c r="B412" s="83" t="str" cm="1">
        <f t="array" aca="1" ref="B412" ca="1">_FV(A412,"Ticker symbol",TRUE)</f>
        <v>IPGP</v>
      </c>
      <c r="C412" s="49"/>
      <c r="D412" s="83" cm="1">
        <f t="array" aca="1" ref="D412" ca="1">_FV(A412,"Price")</f>
        <v>116.67</v>
      </c>
      <c r="E412" s="46"/>
      <c r="F412" s="46"/>
      <c r="G412" s="46"/>
      <c r="H412" s="46"/>
      <c r="I412" s="84">
        <v>99.78</v>
      </c>
      <c r="J412" s="83" cm="1">
        <f t="array" aca="1" ref="J412" ca="1">_FV(A412,"High")</f>
        <v>125.55</v>
      </c>
      <c r="K412" s="83" cm="1">
        <f t="array" aca="1" ref="K412" ca="1">_FV(A412,"Low")</f>
        <v>111.70010000000001</v>
      </c>
      <c r="L412" s="75" cm="1">
        <f t="array" aca="1" ref="L412" ca="1">_FV(A412,"52 week high",TRUE)</f>
        <v>155.82</v>
      </c>
      <c r="M412" s="75" t="e" cm="1" vm="224">
        <f t="array" aca="1" ref="M412" ca="1">_FV(B412,"52 week high",TRUE)</f>
        <v>#VALUE!</v>
      </c>
      <c r="N412" s="75" t="e" cm="1" vm="224">
        <f t="array" ref="N412">_FV(C412,"52 week high",TRUE)</f>
        <v>#VALUE!</v>
      </c>
      <c r="O412" s="75" cm="1">
        <f t="array" aca="1" ref="O412" ca="1">_FV(A412,"52 week low",TRUE)</f>
        <v>51.77</v>
      </c>
      <c r="S412" s="83" t="s">
        <v>76</v>
      </c>
      <c r="T412" s="112" t="s">
        <v>78</v>
      </c>
      <c r="U412" s="112"/>
      <c r="V412" s="93">
        <v>45636</v>
      </c>
      <c r="W412" s="94" t="s">
        <v>11</v>
      </c>
      <c r="X412" s="85" t="s">
        <v>11</v>
      </c>
      <c r="Y412" s="84">
        <v>81.91</v>
      </c>
      <c r="Z412" s="84" t="s">
        <v>11</v>
      </c>
      <c r="AA412" s="84" t="s">
        <v>11</v>
      </c>
      <c r="AB412" s="84"/>
      <c r="AC412" s="84">
        <v>99.78</v>
      </c>
      <c r="AD412" s="84"/>
      <c r="AE412" s="46">
        <f t="shared" si="173"/>
        <v>0.21816628006348449</v>
      </c>
      <c r="AF412" s="86" t="s">
        <v>11</v>
      </c>
      <c r="AG412" s="89" t="e">
        <f t="shared" ca="1" si="172"/>
        <v>#VALUE!</v>
      </c>
      <c r="AH412" s="86">
        <v>72.98</v>
      </c>
      <c r="AI412" s="89">
        <f t="shared" si="174"/>
        <v>-0.10902209742400182</v>
      </c>
      <c r="AJ412" s="49" t="str">
        <f t="shared" si="175"/>
        <v>-</v>
      </c>
      <c r="AK412" s="46" t="str">
        <f t="shared" si="171"/>
        <v>-</v>
      </c>
      <c r="AL412" s="83"/>
      <c r="AM412" s="49" t="str">
        <f t="shared" si="176"/>
        <v>-</v>
      </c>
      <c r="AN412" s="148">
        <f t="shared" ca="1" si="177"/>
        <v>0.42436820900988903</v>
      </c>
      <c r="AU412" s="148"/>
    </row>
    <row r="413" spans="1:47" ht="16" customHeight="1" x14ac:dyDescent="0.2">
      <c r="A413" s="83" t="e" vm="378">
        <v>#VALUE!</v>
      </c>
      <c r="B413" s="83" t="str" cm="1">
        <f t="array" aca="1" ref="B413" ca="1">_FV(A413,"Ticker symbol",TRUE)</f>
        <v>ILMN</v>
      </c>
      <c r="C413" s="49"/>
      <c r="D413" s="83" cm="1">
        <f t="array" aca="1" ref="D413" ca="1">_FV(A413,"Price")</f>
        <v>128.52000000000001</v>
      </c>
      <c r="E413" s="46"/>
      <c r="F413" s="46"/>
      <c r="G413" s="46"/>
      <c r="H413" s="46"/>
      <c r="I413" s="84">
        <v>170.19</v>
      </c>
      <c r="J413" s="83" cm="1">
        <f t="array" aca="1" ref="J413" ca="1">_FV(A413,"High")</f>
        <v>129.28</v>
      </c>
      <c r="K413" s="83" cm="1">
        <f t="array" aca="1" ref="K413" ca="1">_FV(A413,"Low")</f>
        <v>126.93</v>
      </c>
      <c r="L413" s="75" cm="1">
        <f t="array" aca="1" ref="L413" ca="1">_FV(A413,"52 week high",TRUE)</f>
        <v>155.529</v>
      </c>
      <c r="M413" s="75" t="e" cm="1" vm="224">
        <f t="array" aca="1" ref="M413" ca="1">_FV(B413,"52 week high",TRUE)</f>
        <v>#VALUE!</v>
      </c>
      <c r="N413" s="75" t="e" cm="1" vm="224">
        <f t="array" ref="N413">_FV(C413,"52 week high",TRUE)</f>
        <v>#VALUE!</v>
      </c>
      <c r="O413" s="75" cm="1">
        <f t="array" aca="1" ref="O413" ca="1">_FV(A413,"52 week low",TRUE)</f>
        <v>73.86</v>
      </c>
      <c r="S413" s="83" t="s">
        <v>76</v>
      </c>
      <c r="T413" s="112" t="s">
        <v>78</v>
      </c>
      <c r="U413" s="112"/>
      <c r="V413" s="93">
        <v>45636</v>
      </c>
      <c r="W413" s="94" t="s">
        <v>11</v>
      </c>
      <c r="X413" s="85" t="s">
        <v>11</v>
      </c>
      <c r="Y413" s="84">
        <v>148.31</v>
      </c>
      <c r="Z413" s="84" t="s">
        <v>11</v>
      </c>
      <c r="AA413" s="84" t="s">
        <v>11</v>
      </c>
      <c r="AB413" s="84"/>
      <c r="AC413" s="84">
        <v>170.19</v>
      </c>
      <c r="AD413" s="84"/>
      <c r="AE413" s="46">
        <f t="shared" si="173"/>
        <v>0.14752882475895079</v>
      </c>
      <c r="AF413" s="86" t="s">
        <v>11</v>
      </c>
      <c r="AG413" s="89" t="e">
        <f t="shared" ca="1" si="172"/>
        <v>#VALUE!</v>
      </c>
      <c r="AH413" s="86">
        <v>137.38999999999999</v>
      </c>
      <c r="AI413" s="89">
        <f t="shared" si="174"/>
        <v>-7.3629559706021253E-2</v>
      </c>
      <c r="AJ413" s="49" t="str">
        <f t="shared" si="175"/>
        <v>-</v>
      </c>
      <c r="AK413" s="46" t="str">
        <f t="shared" si="171"/>
        <v>-</v>
      </c>
      <c r="AL413" s="83"/>
      <c r="AM413" s="49" t="str">
        <f t="shared" si="176"/>
        <v>-</v>
      </c>
      <c r="AN413" s="148">
        <f t="shared" ca="1" si="177"/>
        <v>-0.13343672038298149</v>
      </c>
      <c r="AU413" s="148"/>
    </row>
    <row r="414" spans="1:47" ht="16" customHeight="1" x14ac:dyDescent="0.2">
      <c r="A414" s="83" t="e" vm="379">
        <v>#VALUE!</v>
      </c>
      <c r="B414" s="83" t="str" cm="1">
        <f t="array" aca="1" ref="B414" ca="1">_FV(A414,"Ticker symbol",TRUE)</f>
        <v>BAMNB</v>
      </c>
      <c r="C414" s="49"/>
      <c r="D414" s="83" cm="1">
        <f t="array" aca="1" ref="D414" ca="1">_FV(A414,"Price")</f>
        <v>9.19</v>
      </c>
      <c r="E414" s="46"/>
      <c r="F414" s="46"/>
      <c r="G414" s="46"/>
      <c r="H414" s="46"/>
      <c r="I414" s="84">
        <v>4.8600000000000003</v>
      </c>
      <c r="J414" s="83" cm="1">
        <f t="array" aca="1" ref="J414" ca="1">_FV(A414,"High")</f>
        <v>9.3699999999999992</v>
      </c>
      <c r="K414" s="83" cm="1">
        <f t="array" aca="1" ref="K414" ca="1">_FV(A414,"Low")</f>
        <v>9.15</v>
      </c>
      <c r="L414" s="75" cm="1">
        <f t="array" aca="1" ref="L414" ca="1">_FV(A414,"52 week high",TRUE)</f>
        <v>10.29</v>
      </c>
      <c r="M414" s="75" t="e" cm="1" vm="224">
        <f t="array" aca="1" ref="M414" ca="1">_FV(B414,"52 week high",TRUE)</f>
        <v>#VALUE!</v>
      </c>
      <c r="N414" s="75" t="e" cm="1" vm="224">
        <f t="array" ref="N414">_FV(C414,"52 week high",TRUE)</f>
        <v>#VALUE!</v>
      </c>
      <c r="O414" s="75" cm="1">
        <f t="array" aca="1" ref="O414" ca="1">_FV(A414,"52 week low",TRUE)</f>
        <v>5.49</v>
      </c>
      <c r="S414" s="83" t="s">
        <v>75</v>
      </c>
      <c r="T414" s="112" t="s">
        <v>78</v>
      </c>
      <c r="U414" s="112"/>
      <c r="V414" s="93">
        <v>45630</v>
      </c>
      <c r="W414" s="94" t="s">
        <v>11</v>
      </c>
      <c r="X414" s="85" t="s">
        <v>11</v>
      </c>
      <c r="Y414" s="84">
        <v>4.1639999999999997</v>
      </c>
      <c r="Z414" s="84" t="s">
        <v>11</v>
      </c>
      <c r="AA414" s="84" t="s">
        <v>11</v>
      </c>
      <c r="AB414" s="84"/>
      <c r="AC414" s="84">
        <v>4.8600000000000003</v>
      </c>
      <c r="AD414" s="84"/>
      <c r="AE414" s="46">
        <f t="shared" si="173"/>
        <v>0.16714697406340084</v>
      </c>
      <c r="AF414" s="86" t="s">
        <v>11</v>
      </c>
      <c r="AG414" s="89" t="e">
        <f t="shared" ca="1" si="172"/>
        <v>#VALUE!</v>
      </c>
      <c r="AH414" s="86">
        <v>3.8180000000000001</v>
      </c>
      <c r="AI414" s="89">
        <f t="shared" si="174"/>
        <v>-8.3093179634966319E-2</v>
      </c>
      <c r="AJ414" s="49" t="str">
        <f t="shared" si="175"/>
        <v>-</v>
      </c>
      <c r="AK414" s="46" t="str">
        <f t="shared" si="171"/>
        <v>-</v>
      </c>
      <c r="AL414" s="83"/>
      <c r="AM414" s="49" t="str">
        <f t="shared" si="176"/>
        <v>-</v>
      </c>
      <c r="AN414" s="148">
        <f t="shared" ca="1" si="177"/>
        <v>1.2070124879923152</v>
      </c>
      <c r="AU414" s="148"/>
    </row>
    <row r="415" spans="1:47" ht="16" customHeight="1" x14ac:dyDescent="0.2">
      <c r="A415" s="83" t="e" vm="380">
        <v>#VALUE!</v>
      </c>
      <c r="B415" s="83" t="str" cm="1">
        <f t="array" aca="1" ref="B415" ca="1">_FV(A415,"Ticker symbol",TRUE)</f>
        <v>TWST</v>
      </c>
      <c r="C415" s="49"/>
      <c r="D415" s="83" cm="1">
        <f t="array" aca="1" ref="D415" ca="1">_FV(A415,"Price")</f>
        <v>61</v>
      </c>
      <c r="E415" s="46"/>
      <c r="F415" s="46"/>
      <c r="G415" s="46"/>
      <c r="H415" s="46"/>
      <c r="I415" s="84">
        <v>64.89</v>
      </c>
      <c r="J415" s="83" cm="1">
        <f t="array" aca="1" ref="J415" ca="1">_FV(A415,"High")</f>
        <v>62.5</v>
      </c>
      <c r="K415" s="83" cm="1">
        <f t="array" aca="1" ref="K415" ca="1">_FV(A415,"Low")</f>
        <v>59.655000000000001</v>
      </c>
      <c r="L415" s="75" cm="1">
        <f t="array" aca="1" ref="L415" ca="1">_FV(A415,"52 week high",TRUE)</f>
        <v>66.06</v>
      </c>
      <c r="M415" s="75" t="e" cm="1" vm="224">
        <f t="array" aca="1" ref="M415" ca="1">_FV(B415,"52 week high",TRUE)</f>
        <v>#VALUE!</v>
      </c>
      <c r="N415" s="75" t="e" cm="1" vm="224">
        <f t="array" ref="N415">_FV(C415,"52 week high",TRUE)</f>
        <v>#VALUE!</v>
      </c>
      <c r="O415" s="75" cm="1">
        <f t="array" aca="1" ref="O415" ca="1">_FV(A415,"52 week low",TRUE)</f>
        <v>23.3</v>
      </c>
      <c r="S415" s="83" t="s">
        <v>76</v>
      </c>
      <c r="T415" s="112" t="s">
        <v>78</v>
      </c>
      <c r="U415" s="112"/>
      <c r="V415" s="93">
        <v>45629</v>
      </c>
      <c r="W415" s="94" t="s">
        <v>11</v>
      </c>
      <c r="X415" s="85" t="s">
        <v>11</v>
      </c>
      <c r="Y415" s="84">
        <v>50.51</v>
      </c>
      <c r="Z415" s="84" t="s">
        <v>11</v>
      </c>
      <c r="AA415" s="84" t="s">
        <v>11</v>
      </c>
      <c r="AB415" s="84"/>
      <c r="AC415" s="84">
        <v>64.89</v>
      </c>
      <c r="AD415" s="84"/>
      <c r="AE415" s="46">
        <f t="shared" si="173"/>
        <v>0.28469609978222143</v>
      </c>
      <c r="AF415" s="86" t="s">
        <v>11</v>
      </c>
      <c r="AG415" s="89" t="e">
        <f t="shared" ca="1" si="172"/>
        <v>#VALUE!</v>
      </c>
      <c r="AH415" s="86">
        <v>43.39</v>
      </c>
      <c r="AI415" s="89">
        <f t="shared" si="174"/>
        <v>-0.14096218570580077</v>
      </c>
      <c r="AJ415" s="49" t="str">
        <f t="shared" si="175"/>
        <v>-</v>
      </c>
      <c r="AK415" s="46" t="str">
        <f t="shared" si="171"/>
        <v>-</v>
      </c>
      <c r="AL415" s="83"/>
      <c r="AM415" s="49" t="str">
        <f t="shared" si="176"/>
        <v>-</v>
      </c>
      <c r="AN415" s="148">
        <f t="shared" ca="1" si="177"/>
        <v>0.20768164719857451</v>
      </c>
      <c r="AU415" s="148"/>
    </row>
    <row r="416" spans="1:47" ht="16" customHeight="1" x14ac:dyDescent="0.2">
      <c r="A416" s="83" t="e" vm="381">
        <v>#VALUE!</v>
      </c>
      <c r="B416" s="83" t="str" cm="1">
        <f t="array" aca="1" ref="B416" ca="1">_FV(A416,"Ticker symbol",TRUE)</f>
        <v>ALLY</v>
      </c>
      <c r="C416" s="49"/>
      <c r="D416" s="83" cm="1">
        <f t="array" aca="1" ref="D416" ca="1">_FV(A416,"Price")</f>
        <v>44.4</v>
      </c>
      <c r="E416" s="46"/>
      <c r="F416" s="46"/>
      <c r="G416" s="46"/>
      <c r="H416" s="46"/>
      <c r="I416" s="84">
        <v>51.07</v>
      </c>
      <c r="J416" s="83" cm="1">
        <f t="array" aca="1" ref="J416" ca="1">_FV(A416,"High")</f>
        <v>44.884999999999998</v>
      </c>
      <c r="K416" s="83" cm="1">
        <f t="array" aca="1" ref="K416" ca="1">_FV(A416,"Low")</f>
        <v>44.16</v>
      </c>
      <c r="L416" s="75" cm="1">
        <f t="array" aca="1" ref="L416" ca="1">_FV(A416,"52 week high",TRUE)</f>
        <v>47.27</v>
      </c>
      <c r="M416" s="75" t="e" cm="1" vm="224">
        <f t="array" aca="1" ref="M416" ca="1">_FV(B416,"52 week high",TRUE)</f>
        <v>#VALUE!</v>
      </c>
      <c r="N416" s="75" t="e" cm="1" vm="224">
        <f t="array" ref="N416">_FV(C416,"52 week high",TRUE)</f>
        <v>#VALUE!</v>
      </c>
      <c r="O416" s="75" cm="1">
        <f t="array" aca="1" ref="O416" ca="1">_FV(A416,"52 week low",TRUE)</f>
        <v>31.454999999999998</v>
      </c>
      <c r="S416" s="83" t="s">
        <v>75</v>
      </c>
      <c r="T416" s="112" t="s">
        <v>78</v>
      </c>
      <c r="U416" s="112"/>
      <c r="V416" s="93">
        <v>45628</v>
      </c>
      <c r="W416" s="94" t="s">
        <v>11</v>
      </c>
      <c r="X416" s="85" t="s">
        <v>11</v>
      </c>
      <c r="Y416" s="84">
        <v>40.15</v>
      </c>
      <c r="Z416" s="84" t="s">
        <v>11</v>
      </c>
      <c r="AA416" s="84" t="s">
        <v>11</v>
      </c>
      <c r="AB416" s="84"/>
      <c r="AC416" s="84">
        <v>51.07</v>
      </c>
      <c r="AD416" s="84"/>
      <c r="AE416" s="46">
        <f t="shared" si="173"/>
        <v>0.2719800747198009</v>
      </c>
      <c r="AF416" s="86" t="s">
        <v>11</v>
      </c>
      <c r="AG416" s="89" t="e">
        <f t="shared" ca="1" si="172"/>
        <v>#VALUE!</v>
      </c>
      <c r="AH416" s="86">
        <v>34.69</v>
      </c>
      <c r="AI416" s="89">
        <f t="shared" si="174"/>
        <v>-0.13599003735990045</v>
      </c>
      <c r="AJ416" s="49" t="str">
        <f t="shared" si="175"/>
        <v>-</v>
      </c>
      <c r="AK416" s="46" t="str">
        <f t="shared" si="171"/>
        <v>-</v>
      </c>
      <c r="AL416" s="83"/>
      <c r="AM416" s="49" t="str">
        <f t="shared" si="176"/>
        <v>-</v>
      </c>
      <c r="AN416" s="148">
        <f t="shared" ca="1" si="177"/>
        <v>0.10585305105853049</v>
      </c>
      <c r="AU416" s="148"/>
    </row>
    <row r="417" spans="1:47" ht="16" customHeight="1" x14ac:dyDescent="0.2">
      <c r="A417" s="83" t="e" vm="355">
        <v>#VALUE!</v>
      </c>
      <c r="B417" s="83" t="str" cm="1">
        <f t="array" aca="1" ref="B417" ca="1">_FV(A417,"Ticker symbol",TRUE)</f>
        <v>A2A</v>
      </c>
      <c r="C417" s="49"/>
      <c r="D417" s="83" cm="1">
        <f t="array" aca="1" ref="D417" ca="1">_FV(A417,"Price")</f>
        <v>2.3929999999999998</v>
      </c>
      <c r="E417" s="46"/>
      <c r="F417" s="46"/>
      <c r="G417" s="46"/>
      <c r="H417" s="46"/>
      <c r="I417" s="84">
        <v>2.3650000000000002</v>
      </c>
      <c r="J417" s="83" cm="1">
        <f t="array" aca="1" ref="J417" ca="1">_FV(A417,"High")</f>
        <v>2.4245000000000001</v>
      </c>
      <c r="K417" s="83" cm="1">
        <f t="array" aca="1" ref="K417" ca="1">_FV(A417,"Low")</f>
        <v>2.3660000000000001</v>
      </c>
      <c r="L417" s="75" cm="1">
        <f t="array" aca="1" ref="L417" ca="1">_FV(A417,"52 week high",TRUE)</f>
        <v>2.74</v>
      </c>
      <c r="M417" s="75" t="e" cm="1" vm="224">
        <f t="array" aca="1" ref="M417" ca="1">_FV(B417,"52 week high",TRUE)</f>
        <v>#VALUE!</v>
      </c>
      <c r="N417" s="75" t="e" cm="1" vm="224">
        <f t="array" ref="N417">_FV(C417,"52 week high",TRUE)</f>
        <v>#VALUE!</v>
      </c>
      <c r="O417" s="75" cm="1">
        <f t="array" aca="1" ref="O417" ca="1">_FV(A417,"52 week low",TRUE)</f>
        <v>2.0699999999999998</v>
      </c>
      <c r="S417" s="83" t="s">
        <v>75</v>
      </c>
      <c r="T417" s="112" t="s">
        <v>78</v>
      </c>
      <c r="U417" s="112"/>
      <c r="V417" s="93">
        <v>45618</v>
      </c>
      <c r="W417" s="94" t="s">
        <v>11</v>
      </c>
      <c r="X417" s="85" t="s">
        <v>11</v>
      </c>
      <c r="Y417" s="84">
        <v>2.105</v>
      </c>
      <c r="Z417" s="84" t="s">
        <v>11</v>
      </c>
      <c r="AA417" s="84" t="s">
        <v>11</v>
      </c>
      <c r="AB417" s="84"/>
      <c r="AC417" s="84">
        <v>2.3650000000000002</v>
      </c>
      <c r="AD417" s="84"/>
      <c r="AE417" s="46">
        <f t="shared" si="173"/>
        <v>0.12351543942992893</v>
      </c>
      <c r="AF417" s="86"/>
      <c r="AG417" s="89">
        <f t="shared" ca="1" si="172"/>
        <v>-1</v>
      </c>
      <c r="AH417" s="86">
        <v>1.9750000000000001</v>
      </c>
      <c r="AI417" s="89">
        <f t="shared" si="174"/>
        <v>-6.1757719714964354E-2</v>
      </c>
      <c r="AJ417" s="49" t="str">
        <f t="shared" si="175"/>
        <v>-</v>
      </c>
      <c r="AK417" s="46" t="str">
        <f t="shared" si="171"/>
        <v>-</v>
      </c>
      <c r="AL417" s="83"/>
      <c r="AM417" s="49" t="str">
        <f t="shared" si="176"/>
        <v>-</v>
      </c>
      <c r="AN417" s="148">
        <f t="shared" ca="1" si="177"/>
        <v>0.1368171021377671</v>
      </c>
      <c r="AU417" s="148"/>
    </row>
    <row r="418" spans="1:47" ht="16" customHeight="1" x14ac:dyDescent="0.2">
      <c r="A418" s="83" t="e" vm="382">
        <v>#VALUE!</v>
      </c>
      <c r="B418" s="83" t="str" cm="1">
        <f t="array" aca="1" ref="B418" ca="1">_FV(A418,"Ticker symbol",TRUE)</f>
        <v>IBM</v>
      </c>
      <c r="C418" s="49"/>
      <c r="D418" s="83" cm="1">
        <f t="array" aca="1" ref="D418" ca="1">_FV(A418,"Price")</f>
        <v>228.05</v>
      </c>
      <c r="E418" s="46"/>
      <c r="F418" s="46"/>
      <c r="G418" s="46"/>
      <c r="H418" s="46"/>
      <c r="I418" s="84">
        <v>247.04</v>
      </c>
      <c r="J418" s="83" cm="1">
        <f t="array" aca="1" ref="J418" ca="1">_FV(A418,"High")</f>
        <v>231.32</v>
      </c>
      <c r="K418" s="83" cm="1">
        <f t="array" aca="1" ref="K418" ca="1">_FV(A418,"Low")</f>
        <v>227.12</v>
      </c>
      <c r="L418" s="75" cm="1">
        <f t="array" aca="1" ref="L418" ca="1">_FV(A418,"52 week high",TRUE)</f>
        <v>324.89999999999998</v>
      </c>
      <c r="M418" s="75" t="e" cm="1" vm="224">
        <f t="array" aca="1" ref="M418" ca="1">_FV(B418,"52 week high",TRUE)</f>
        <v>#VALUE!</v>
      </c>
      <c r="N418" s="75" t="e" cm="1" vm="224">
        <f t="array" ref="N418">_FV(C418,"52 week high",TRUE)</f>
        <v>#VALUE!</v>
      </c>
      <c r="O418" s="75" cm="1">
        <f t="array" aca="1" ref="O418" ca="1">_FV(A418,"52 week low",TRUE)</f>
        <v>220.72</v>
      </c>
      <c r="S418" s="83" t="s">
        <v>75</v>
      </c>
      <c r="T418" s="112" t="s">
        <v>78</v>
      </c>
      <c r="U418" s="112"/>
      <c r="V418" s="93">
        <v>45617</v>
      </c>
      <c r="W418" s="94" t="s">
        <v>11</v>
      </c>
      <c r="X418" s="85" t="s">
        <v>155</v>
      </c>
      <c r="Y418" s="84">
        <v>215.6</v>
      </c>
      <c r="Z418" s="84" t="s">
        <v>11</v>
      </c>
      <c r="AA418" s="84" t="s">
        <v>11</v>
      </c>
      <c r="AB418" s="84"/>
      <c r="AC418" s="84">
        <v>247.04</v>
      </c>
      <c r="AD418" s="84"/>
      <c r="AE418" s="46">
        <f t="shared" si="173"/>
        <v>0.14582560296846014</v>
      </c>
      <c r="AF418" s="86" t="s">
        <v>11</v>
      </c>
      <c r="AG418" s="89" t="e">
        <f t="shared" ca="1" si="172"/>
        <v>#VALUE!</v>
      </c>
      <c r="AH418" s="86">
        <v>199.88</v>
      </c>
      <c r="AI418" s="89">
        <f t="shared" si="174"/>
        <v>-7.2912801484230072E-2</v>
      </c>
      <c r="AJ418" s="49" t="str">
        <f t="shared" si="175"/>
        <v>-</v>
      </c>
      <c r="AK418" s="46" t="str">
        <f t="shared" si="171"/>
        <v>-</v>
      </c>
      <c r="AL418" s="83"/>
      <c r="AM418" s="49" t="str">
        <f t="shared" si="176"/>
        <v>-</v>
      </c>
      <c r="AN418" s="148">
        <f t="shared" ca="1" si="177"/>
        <v>5.7745825602968592E-2</v>
      </c>
      <c r="AU418" s="148"/>
    </row>
    <row r="419" spans="1:47" ht="16" customHeight="1" x14ac:dyDescent="0.2">
      <c r="A419" s="83" t="e" vm="383">
        <v>#VALUE!</v>
      </c>
      <c r="B419" s="83" t="str" cm="1">
        <f t="array" aca="1" ref="B419" ca="1">_FV(A419,"Ticker symbol",TRUE)</f>
        <v>APLD</v>
      </c>
      <c r="C419" s="49"/>
      <c r="D419" s="83" cm="1">
        <f t="array" aca="1" ref="D419" ca="1">_FV(A419,"Price")</f>
        <v>33.67</v>
      </c>
      <c r="E419" s="46"/>
      <c r="F419" s="46"/>
      <c r="G419" s="46"/>
      <c r="H419" s="46"/>
      <c r="I419" s="84">
        <v>10.89</v>
      </c>
      <c r="J419" s="83" cm="1">
        <f t="array" aca="1" ref="J419" ca="1">_FV(A419,"High")</f>
        <v>35.8795</v>
      </c>
      <c r="K419" s="83" cm="1">
        <f t="array" aca="1" ref="K419" ca="1">_FV(A419,"Low")</f>
        <v>33.31</v>
      </c>
      <c r="L419" s="75" cm="1">
        <f t="array" aca="1" ref="L419" ca="1">_FV(A419,"52 week high",TRUE)</f>
        <v>42.27</v>
      </c>
      <c r="M419" s="75" t="e" cm="1" vm="224">
        <f t="array" aca="1" ref="M419" ca="1">_FV(B419,"52 week high",TRUE)</f>
        <v>#VALUE!</v>
      </c>
      <c r="N419" s="75" t="e" cm="1" vm="224">
        <f t="array" ref="N419">_FV(C419,"52 week high",TRUE)</f>
        <v>#VALUE!</v>
      </c>
      <c r="O419" s="75" cm="1">
        <f t="array" aca="1" ref="O419" ca="1">_FV(A419,"52 week low",TRUE)</f>
        <v>4.2</v>
      </c>
      <c r="S419" s="83" t="s">
        <v>76</v>
      </c>
      <c r="T419" s="112" t="s">
        <v>78</v>
      </c>
      <c r="U419" s="112"/>
      <c r="V419" s="93">
        <v>45616</v>
      </c>
      <c r="W419" s="94" t="s">
        <v>11</v>
      </c>
      <c r="X419" s="85" t="s">
        <v>11</v>
      </c>
      <c r="Y419" s="84">
        <v>8.39</v>
      </c>
      <c r="Z419" s="84" t="s">
        <v>11</v>
      </c>
      <c r="AA419" s="84" t="s">
        <v>11</v>
      </c>
      <c r="AB419" s="84"/>
      <c r="AC419" s="84">
        <v>10.89</v>
      </c>
      <c r="AD419" s="84"/>
      <c r="AE419" s="46">
        <f t="shared" si="173"/>
        <v>0.29797377830750893</v>
      </c>
      <c r="AF419" s="86" t="s">
        <v>11</v>
      </c>
      <c r="AG419" s="89" t="e">
        <f t="shared" ca="1" si="172"/>
        <v>#VALUE!</v>
      </c>
      <c r="AH419" s="86">
        <v>7.14</v>
      </c>
      <c r="AI419" s="89">
        <f t="shared" si="174"/>
        <v>-0.14898688915375458</v>
      </c>
      <c r="AJ419" s="49" t="str">
        <f t="shared" si="175"/>
        <v>-</v>
      </c>
      <c r="AK419" s="46" t="str">
        <f t="shared" si="171"/>
        <v>-</v>
      </c>
      <c r="AL419" s="83"/>
      <c r="AM419" s="49" t="str">
        <f t="shared" si="176"/>
        <v>-</v>
      </c>
      <c r="AN419" s="148">
        <f t="shared" ca="1" si="177"/>
        <v>3.0131108462455307</v>
      </c>
      <c r="AU419" s="148"/>
    </row>
    <row r="420" spans="1:47" ht="16" customHeight="1" x14ac:dyDescent="0.2">
      <c r="A420" s="83" t="e" vm="384">
        <v>#VALUE!</v>
      </c>
      <c r="B420" s="83" t="str" cm="1">
        <f t="array" aca="1" ref="B420" ca="1">_FV(A420,"Ticker symbol",TRUE)</f>
        <v>PEG</v>
      </c>
      <c r="C420" s="49"/>
      <c r="D420" s="83" cm="1">
        <f t="array" aca="1" ref="D420" ca="1">_FV(A420,"Price")</f>
        <v>80.209999999999994</v>
      </c>
      <c r="E420" s="46"/>
      <c r="F420" s="46"/>
      <c r="G420" s="46"/>
      <c r="H420" s="46"/>
      <c r="I420" s="84">
        <v>108.09</v>
      </c>
      <c r="J420" s="83" cm="1">
        <f t="array" aca="1" ref="J420" ca="1">_FV(A420,"High")</f>
        <v>81.22</v>
      </c>
      <c r="K420" s="83" cm="1">
        <f t="array" aca="1" ref="K420" ca="1">_FV(A420,"Low")</f>
        <v>80.19</v>
      </c>
      <c r="L420" s="75" cm="1">
        <f t="array" aca="1" ref="L420" ca="1">_FV(A420,"52 week high",TRUE)</f>
        <v>91.254999999999995</v>
      </c>
      <c r="M420" s="75" t="e" cm="1" vm="224">
        <f t="array" aca="1" ref="M420" ca="1">_FV(B420,"52 week high",TRUE)</f>
        <v>#VALUE!</v>
      </c>
      <c r="N420" s="75" t="e" cm="1" vm="224">
        <f t="array" ref="N420">_FV(C420,"52 week high",TRUE)</f>
        <v>#VALUE!</v>
      </c>
      <c r="O420" s="75" cm="1">
        <f t="array" aca="1" ref="O420" ca="1">_FV(A420,"52 week low",TRUE)</f>
        <v>76</v>
      </c>
      <c r="S420" s="83" t="s">
        <v>76</v>
      </c>
      <c r="T420" s="112" t="s">
        <v>78</v>
      </c>
      <c r="U420" s="112"/>
      <c r="V420" s="93">
        <v>45614</v>
      </c>
      <c r="W420" s="94" t="s">
        <v>11</v>
      </c>
      <c r="X420" s="85" t="s">
        <v>11</v>
      </c>
      <c r="Y420" s="84">
        <v>89.35</v>
      </c>
      <c r="Z420" s="84" t="s">
        <v>11</v>
      </c>
      <c r="AA420" s="84" t="s">
        <v>11</v>
      </c>
      <c r="AB420" s="84"/>
      <c r="AC420" s="84">
        <v>108.09</v>
      </c>
      <c r="AD420" s="84"/>
      <c r="AE420" s="46">
        <f t="shared" si="173"/>
        <v>0.2097369893676555</v>
      </c>
      <c r="AF420" s="86" t="s">
        <v>11</v>
      </c>
      <c r="AG420" s="89" t="e">
        <f t="shared" ca="1" si="172"/>
        <v>#VALUE!</v>
      </c>
      <c r="AH420" s="86">
        <v>79.98</v>
      </c>
      <c r="AI420" s="89">
        <f t="shared" si="174"/>
        <v>-0.10486849468382753</v>
      </c>
      <c r="AJ420" s="49" t="str">
        <f t="shared" si="175"/>
        <v>-</v>
      </c>
      <c r="AK420" s="46" t="str">
        <f t="shared" si="171"/>
        <v>-</v>
      </c>
      <c r="AL420" s="83"/>
      <c r="AM420" s="49" t="str">
        <f t="shared" si="176"/>
        <v>-</v>
      </c>
      <c r="AN420" s="148">
        <f t="shared" ca="1" si="177"/>
        <v>-0.10229434806939008</v>
      </c>
      <c r="AU420" s="148"/>
    </row>
    <row r="421" spans="1:47" ht="16" customHeight="1" x14ac:dyDescent="0.2">
      <c r="A421" s="83" t="e" vm="385">
        <v>#VALUE!</v>
      </c>
      <c r="B421" s="83" t="str" cm="1">
        <f t="array" aca="1" ref="B421" ca="1">_FV(A421,"Ticker symbol",TRUE)</f>
        <v>AMRX</v>
      </c>
      <c r="C421" s="49"/>
      <c r="D421" s="83" cm="1">
        <f t="array" aca="1" ref="D421" ca="1">_FV(A421,"Price")</f>
        <v>12.57</v>
      </c>
      <c r="E421" s="46"/>
      <c r="F421" s="46"/>
      <c r="G421" s="46"/>
      <c r="H421" s="46"/>
      <c r="I421" s="84">
        <v>11.37</v>
      </c>
      <c r="J421" s="83" cm="1">
        <f t="array" aca="1" ref="J421" ca="1">_FV(A421,"High")</f>
        <v>13.03</v>
      </c>
      <c r="K421" s="83" cm="1">
        <f t="array" aca="1" ref="K421" ca="1">_FV(A421,"Low")</f>
        <v>12.515000000000001</v>
      </c>
      <c r="L421" s="75" cm="1">
        <f t="array" aca="1" ref="L421" ca="1">_FV(A421,"52 week high",TRUE)</f>
        <v>15.42</v>
      </c>
      <c r="M421" s="75" t="e" cm="1" vm="224">
        <f t="array" aca="1" ref="M421" ca="1">_FV(B421,"52 week high",TRUE)</f>
        <v>#VALUE!</v>
      </c>
      <c r="N421" s="75" t="e" cm="1" vm="224">
        <f t="array" ref="N421">_FV(C421,"52 week high",TRUE)</f>
        <v>#VALUE!</v>
      </c>
      <c r="O421" s="75" cm="1">
        <f t="array" aca="1" ref="O421" ca="1">_FV(A421,"52 week low",TRUE)</f>
        <v>7.02</v>
      </c>
      <c r="S421" s="83" t="s">
        <v>76</v>
      </c>
      <c r="T421" s="112" t="s">
        <v>78</v>
      </c>
      <c r="U421" s="112"/>
      <c r="V421" s="93">
        <v>45607</v>
      </c>
      <c r="W421" s="94"/>
      <c r="X421" s="85" t="s">
        <v>11</v>
      </c>
      <c r="Y421" s="84">
        <v>8.75</v>
      </c>
      <c r="Z421" s="84">
        <v>8.27</v>
      </c>
      <c r="AA421" s="84">
        <v>8.27</v>
      </c>
      <c r="AB421" s="84"/>
      <c r="AC421" s="84">
        <v>11.37</v>
      </c>
      <c r="AD421" s="84"/>
      <c r="AE421" s="46">
        <f t="shared" ca="1" si="173"/>
        <v>-9.5465393794749498E-2</v>
      </c>
      <c r="AF421" s="86" t="s">
        <v>11</v>
      </c>
      <c r="AG421" s="89" t="e">
        <f t="shared" si="172"/>
        <v>#VALUE!</v>
      </c>
      <c r="AH421" s="86">
        <v>7.44</v>
      </c>
      <c r="AI421" s="89">
        <f t="shared" ca="1" si="174"/>
        <v>-0.40811455847255373</v>
      </c>
      <c r="AJ421" s="49">
        <f t="shared" ca="1" si="175"/>
        <v>0.51995163240628783</v>
      </c>
      <c r="AK421" s="46">
        <f t="shared" ca="1" si="171"/>
        <v>0.51995163240628783</v>
      </c>
      <c r="AL421" s="83"/>
      <c r="AM421" s="49" t="str">
        <f t="shared" si="176"/>
        <v>-</v>
      </c>
      <c r="AN421" s="148">
        <f t="shared" ca="1" si="177"/>
        <v>0.43657142857142861</v>
      </c>
      <c r="AU421" s="148"/>
    </row>
    <row r="422" spans="1:47" ht="16" customHeight="1" x14ac:dyDescent="0.2">
      <c r="A422" s="83" t="e" vm="386">
        <v>#VALUE!</v>
      </c>
      <c r="B422" s="83" t="str" cm="1">
        <f t="array" aca="1" ref="B422" ca="1">_FV(A422,"Ticker symbol",TRUE)</f>
        <v>DIA</v>
      </c>
      <c r="C422" s="49"/>
      <c r="D422" s="83" cm="1">
        <f t="array" aca="1" ref="D422" ca="1">_FV(A422,"Price")</f>
        <v>59.82</v>
      </c>
      <c r="E422" s="46"/>
      <c r="F422" s="46"/>
      <c r="G422" s="46"/>
      <c r="H422" s="46"/>
      <c r="I422" s="84">
        <v>131.69999999999999</v>
      </c>
      <c r="J422" s="83" cm="1">
        <f t="array" aca="1" ref="J422" ca="1">_FV(A422,"High")</f>
        <v>60.3</v>
      </c>
      <c r="K422" s="83" cm="1">
        <f t="array" aca="1" ref="K422" ca="1">_FV(A422,"Low")</f>
        <v>59.6</v>
      </c>
      <c r="L422" s="75" cm="1">
        <f t="array" aca="1" ref="L422" ca="1">_FV(A422,"52 week high",TRUE)</f>
        <v>101.6</v>
      </c>
      <c r="M422" s="75" t="e" cm="1" vm="224">
        <f t="array" aca="1" ref="M422" ca="1">_FV(B422,"52 week high",TRUE)</f>
        <v>#VALUE!</v>
      </c>
      <c r="N422" s="75" t="e" cm="1" vm="224">
        <f t="array" ref="N422">_FV(C422,"52 week high",TRUE)</f>
        <v>#VALUE!</v>
      </c>
      <c r="O422" s="75" cm="1">
        <f t="array" aca="1" ref="O422" ca="1">_FV(A422,"52 week low",TRUE)</f>
        <v>52.34</v>
      </c>
      <c r="S422" s="83" t="s">
        <v>75</v>
      </c>
      <c r="T422" s="112" t="s">
        <v>78</v>
      </c>
      <c r="U422" s="112"/>
      <c r="V422" s="93">
        <v>45604</v>
      </c>
      <c r="W422" s="94" t="s">
        <v>11</v>
      </c>
      <c r="X422" s="85" t="s">
        <v>11</v>
      </c>
      <c r="Y422" s="84">
        <v>109.2</v>
      </c>
      <c r="Z422" s="84" t="s">
        <v>11</v>
      </c>
      <c r="AA422" s="84" t="s">
        <v>11</v>
      </c>
      <c r="AB422" s="84"/>
      <c r="AC422" s="84">
        <v>131.69999999999999</v>
      </c>
      <c r="AD422" s="84"/>
      <c r="AE422" s="46">
        <f t="shared" si="173"/>
        <v>0.20604395604395598</v>
      </c>
      <c r="AF422" s="86" t="s">
        <v>11</v>
      </c>
      <c r="AG422" s="89" t="e">
        <f t="shared" ca="1" si="172"/>
        <v>#VALUE!</v>
      </c>
      <c r="AH422" s="86">
        <v>97.94</v>
      </c>
      <c r="AI422" s="89">
        <f t="shared" si="174"/>
        <v>-0.10311355311355319</v>
      </c>
      <c r="AJ422" s="49" t="str">
        <f t="shared" si="175"/>
        <v>-</v>
      </c>
      <c r="AK422" s="46" t="str">
        <f t="shared" si="171"/>
        <v>-</v>
      </c>
      <c r="AL422" s="83"/>
      <c r="AM422" s="49" t="str">
        <f t="shared" si="176"/>
        <v>-</v>
      </c>
      <c r="AN422" s="148">
        <f t="shared" ca="1" si="177"/>
        <v>-0.45219780219780226</v>
      </c>
      <c r="AU422" s="148"/>
    </row>
    <row r="423" spans="1:47" ht="16" customHeight="1" x14ac:dyDescent="0.2">
      <c r="A423" s="83" t="e" vm="387">
        <v>#VALUE!</v>
      </c>
      <c r="B423" s="83" t="str" cm="1">
        <f t="array" aca="1" ref="B423" ca="1">_FV(A423,"Ticker symbol",TRUE)</f>
        <v>NTAP</v>
      </c>
      <c r="C423" s="49"/>
      <c r="D423" s="83" cm="1">
        <f t="array" aca="1" ref="D423" ca="1">_FV(A423,"Price")</f>
        <v>108.44</v>
      </c>
      <c r="E423" s="46"/>
      <c r="F423" s="46"/>
      <c r="G423" s="46"/>
      <c r="H423" s="46"/>
      <c r="I423" s="84">
        <v>146.18</v>
      </c>
      <c r="J423" s="83" cm="1">
        <f t="array" aca="1" ref="J423" ca="1">_FV(A423,"High")</f>
        <v>109.18</v>
      </c>
      <c r="K423" s="83" cm="1">
        <f t="array" aca="1" ref="K423" ca="1">_FV(A423,"Low")</f>
        <v>107.62</v>
      </c>
      <c r="L423" s="75" cm="1">
        <f t="array" aca="1" ref="L423" ca="1">_FV(A423,"52 week high",TRUE)</f>
        <v>126.66</v>
      </c>
      <c r="M423" s="75" t="e" cm="1" vm="224">
        <f t="array" aca="1" ref="M423" ca="1">_FV(B423,"52 week high",TRUE)</f>
        <v>#VALUE!</v>
      </c>
      <c r="N423" s="75" t="e" cm="1" vm="224">
        <f t="array" ref="N423">_FV(C423,"52 week high",TRUE)</f>
        <v>#VALUE!</v>
      </c>
      <c r="O423" s="75" cm="1">
        <f t="array" aca="1" ref="O423" ca="1">_FV(A423,"52 week low",TRUE)</f>
        <v>86.7</v>
      </c>
      <c r="S423" s="83" t="s">
        <v>75</v>
      </c>
      <c r="T423" s="112" t="s">
        <v>78</v>
      </c>
      <c r="U423" s="112"/>
      <c r="V423" s="93">
        <v>45604</v>
      </c>
      <c r="W423" s="94" t="s">
        <v>11</v>
      </c>
      <c r="X423" s="85" t="s">
        <v>11</v>
      </c>
      <c r="Y423" s="84">
        <v>122.9</v>
      </c>
      <c r="Z423" s="84" t="s">
        <v>11</v>
      </c>
      <c r="AA423" s="84" t="s">
        <v>11</v>
      </c>
      <c r="AB423" s="84"/>
      <c r="AC423" s="84">
        <v>146.18</v>
      </c>
      <c r="AD423" s="84"/>
      <c r="AE423" s="46">
        <f t="shared" si="173"/>
        <v>0.18942229454841342</v>
      </c>
      <c r="AF423" s="86">
        <v>157.82</v>
      </c>
      <c r="AG423" s="89">
        <f t="shared" ca="1" si="172"/>
        <v>0.4553670232386573</v>
      </c>
      <c r="AH423" s="86">
        <v>111.26</v>
      </c>
      <c r="AI423" s="89">
        <f t="shared" si="174"/>
        <v>-9.4711147274206708E-2</v>
      </c>
      <c r="AJ423" s="49" t="str">
        <f t="shared" si="175"/>
        <v>-</v>
      </c>
      <c r="AK423" s="46" t="str">
        <f t="shared" si="171"/>
        <v>-</v>
      </c>
      <c r="AL423" s="83"/>
      <c r="AM423" s="49" t="str">
        <f t="shared" si="176"/>
        <v>-</v>
      </c>
      <c r="AN423" s="148">
        <f t="shared" ca="1" si="177"/>
        <v>-0.11765663140764859</v>
      </c>
      <c r="AU423" s="148"/>
    </row>
    <row r="424" spans="1:47" ht="16" customHeight="1" x14ac:dyDescent="0.25">
      <c r="A424" s="205">
        <v>2025</v>
      </c>
      <c r="B424" s="83"/>
      <c r="C424" s="49"/>
      <c r="D424" s="83"/>
      <c r="E424" s="46"/>
      <c r="F424" s="46"/>
      <c r="G424" s="46"/>
      <c r="H424" s="46"/>
      <c r="I424" s="84"/>
      <c r="J424" s="83"/>
      <c r="K424" s="83"/>
      <c r="S424" s="83"/>
      <c r="T424" s="112"/>
      <c r="U424" s="112"/>
      <c r="V424" s="93"/>
      <c r="W424" s="94"/>
      <c r="X424" s="85"/>
      <c r="Y424" s="84"/>
      <c r="Z424" s="84"/>
      <c r="AA424" s="84"/>
      <c r="AB424" s="84"/>
      <c r="AC424" s="84"/>
      <c r="AD424" s="84"/>
      <c r="AE424" s="46"/>
      <c r="AF424" s="86"/>
      <c r="AG424" s="89"/>
      <c r="AH424" s="86"/>
      <c r="AI424" s="89"/>
      <c r="AJ424" s="49"/>
      <c r="AK424" s="46"/>
      <c r="AL424" s="83"/>
      <c r="AM424" s="49"/>
      <c r="AN424" s="148"/>
      <c r="AO424" s="259">
        <f ca="1">SUM(AN343:AN423)</f>
        <v>32.598825234211674</v>
      </c>
      <c r="AU424" s="148"/>
    </row>
    <row r="425" spans="1:47" ht="16" customHeight="1" x14ac:dyDescent="0.2">
      <c r="A425" s="83" t="e" vm="388">
        <v>#VALUE!</v>
      </c>
      <c r="B425" s="83" t="str" cm="1">
        <f t="array" aca="1" ref="B425" ca="1">_FV(A425,"Ticker symbol",TRUE)</f>
        <v>FTAI</v>
      </c>
      <c r="C425" s="236" cm="1">
        <f t="array" aca="1" ref="C425" ca="1">_FV(A425,"Change (%)",TRUE)</f>
        <v>-1.2755000000000001E-2</v>
      </c>
      <c r="D425" s="83" cm="1">
        <f t="array" aca="1" ref="D425" ca="1">_FV(A425,"Price")</f>
        <v>229.88</v>
      </c>
      <c r="E425" s="46"/>
      <c r="F425" s="46"/>
      <c r="G425" s="46"/>
      <c r="H425" s="46"/>
      <c r="I425" s="84">
        <v>188.59</v>
      </c>
      <c r="J425" s="83" cm="1">
        <f t="array" aca="1" ref="J425" ca="1">_FV(A425,"High")</f>
        <v>237.02</v>
      </c>
      <c r="K425" s="83" cm="1">
        <f t="array" aca="1" ref="K425" ca="1">_FV(A425,"Low")</f>
        <v>229.02500000000001</v>
      </c>
      <c r="L425" s="75" cm="1">
        <f t="array" aca="1" ref="L425" ca="1">_FV(A425,"52 week high",TRUE)</f>
        <v>323.51</v>
      </c>
      <c r="M425" s="75" t="e" cm="1" vm="224">
        <f t="array" aca="1" ref="M425" ca="1">_FV(B425,"52 week high",TRUE)</f>
        <v>#VALUE!</v>
      </c>
      <c r="N425" s="75" t="e" cm="1" vm="224">
        <f t="array" aca="1" ref="N425" ca="1">_FV(C425,"52 week high",TRUE)</f>
        <v>#VALUE!</v>
      </c>
      <c r="O425" s="75" cm="1">
        <f t="array" aca="1" ref="O425" ca="1">_FV(A425,"52 week low",TRUE)</f>
        <v>86.84</v>
      </c>
      <c r="S425" s="83" t="s">
        <v>75</v>
      </c>
      <c r="T425" s="112" t="s">
        <v>78</v>
      </c>
      <c r="U425" s="112"/>
      <c r="V425" s="93">
        <v>45659</v>
      </c>
      <c r="W425" s="94" t="s">
        <v>11</v>
      </c>
      <c r="X425" s="85" t="s">
        <v>11</v>
      </c>
      <c r="Y425" s="84">
        <v>145.08000000000001</v>
      </c>
      <c r="Z425" s="84" t="s">
        <v>11</v>
      </c>
      <c r="AA425" s="84" t="s">
        <v>11</v>
      </c>
      <c r="AB425" s="84"/>
      <c r="AC425" s="84">
        <v>188.59</v>
      </c>
      <c r="AD425" s="84"/>
      <c r="AE425" s="46">
        <f t="shared" si="173"/>
        <v>0.29990350151640466</v>
      </c>
      <c r="AF425" s="86" t="s">
        <v>11</v>
      </c>
      <c r="AG425" s="89" t="e">
        <f t="shared" ca="1" si="172"/>
        <v>#VALUE!</v>
      </c>
      <c r="AH425" s="86">
        <v>123.33</v>
      </c>
      <c r="AI425" s="89">
        <f t="shared" si="174"/>
        <v>-0.14991728701406126</v>
      </c>
      <c r="AJ425" s="49" t="str">
        <f t="shared" ref="AJ425:AJ461" si="178">IF(Z425="-","-",+(D425/Z425)-1)</f>
        <v>-</v>
      </c>
      <c r="AK425" s="46" t="str">
        <f t="shared" ref="AK425:AK461" si="179">IF(AA425="-","-",+(D425/AA425)-1)</f>
        <v>-</v>
      </c>
      <c r="AL425" s="83"/>
      <c r="AM425" s="49" t="str">
        <f t="shared" ref="AM425:AM461" si="180">IF(AL425=0,"-",+AL425/Z425-1)</f>
        <v>-</v>
      </c>
      <c r="AN425" s="148">
        <f t="shared" ref="AN425:AN434" ca="1" si="181">+D425/Y425-1</f>
        <v>0.58450510063413263</v>
      </c>
      <c r="AU425" s="148"/>
    </row>
    <row r="426" spans="1:47" ht="16" customHeight="1" x14ac:dyDescent="0.2">
      <c r="A426" s="83" t="e" vm="363">
        <v>#VALUE!</v>
      </c>
      <c r="B426" s="83" t="str" cm="1">
        <f t="array" aca="1" ref="B426" ca="1">_FV(A426,"Ticker symbol",TRUE)</f>
        <v>RMTI</v>
      </c>
      <c r="C426" s="236" cm="1">
        <f t="array" aca="1" ref="C426" ca="1">_FV(A426,"Change (%)",TRUE)</f>
        <v>-3.0938E-2</v>
      </c>
      <c r="D426" s="83" cm="1">
        <f t="array" aca="1" ref="D426" ca="1">_FV(A426,"Price")</f>
        <v>0.84570000000000001</v>
      </c>
      <c r="E426" s="46"/>
      <c r="F426" s="46"/>
      <c r="G426" s="46"/>
      <c r="H426" s="46"/>
      <c r="I426" s="84">
        <v>3.31</v>
      </c>
      <c r="J426" s="83" cm="1">
        <f t="array" aca="1" ref="J426" ca="1">_FV(A426,"High")</f>
        <v>0.89500000000000002</v>
      </c>
      <c r="K426" s="83" cm="1">
        <f t="array" aca="1" ref="K426" ca="1">_FV(A426,"Low")</f>
        <v>0.83689999999999998</v>
      </c>
      <c r="L426" s="75" cm="1">
        <f t="array" aca="1" ref="L426" ca="1">_FV(A426,"52 week high",TRUE)</f>
        <v>2.1</v>
      </c>
      <c r="M426" s="75" t="e" cm="1" vm="224">
        <f t="array" aca="1" ref="M426" ca="1">_FV(B426,"52 week high",TRUE)</f>
        <v>#VALUE!</v>
      </c>
      <c r="N426" s="75" t="e" cm="1" vm="224">
        <f t="array" aca="1" ref="N426" ca="1">_FV(C426,"52 week high",TRUE)</f>
        <v>#VALUE!</v>
      </c>
      <c r="O426" s="75" cm="1">
        <f t="array" aca="1" ref="O426" ca="1">_FV(A426,"52 week low",TRUE)</f>
        <v>0.78010000000000002</v>
      </c>
      <c r="S426" s="83" t="s">
        <v>166</v>
      </c>
      <c r="T426" s="112" t="s">
        <v>78</v>
      </c>
      <c r="U426" s="112"/>
      <c r="V426" s="93">
        <v>45659</v>
      </c>
      <c r="W426" s="94" t="s">
        <v>11</v>
      </c>
      <c r="X426" s="85" t="s">
        <v>11</v>
      </c>
      <c r="Y426" s="84">
        <v>2.1800000000000002</v>
      </c>
      <c r="Z426" s="84" t="s">
        <v>11</v>
      </c>
      <c r="AA426" s="84" t="s">
        <v>11</v>
      </c>
      <c r="AB426" s="84"/>
      <c r="AC426" s="84">
        <v>3.31</v>
      </c>
      <c r="AD426" s="84"/>
      <c r="AE426" s="46">
        <f t="shared" si="173"/>
        <v>0.5183486238532109</v>
      </c>
      <c r="AF426" s="86" t="s">
        <v>11</v>
      </c>
      <c r="AG426" s="89" t="e">
        <f t="shared" ca="1" si="172"/>
        <v>#VALUE!</v>
      </c>
      <c r="AH426" s="86">
        <v>124.33</v>
      </c>
      <c r="AI426" s="89">
        <f t="shared" si="174"/>
        <v>56.032110091743114</v>
      </c>
      <c r="AJ426" s="49" t="str">
        <f t="shared" si="178"/>
        <v>-</v>
      </c>
      <c r="AK426" s="46" t="str">
        <f t="shared" si="179"/>
        <v>-</v>
      </c>
      <c r="AL426" s="83"/>
      <c r="AM426" s="49" t="str">
        <f t="shared" si="180"/>
        <v>-</v>
      </c>
      <c r="AN426" s="148">
        <f t="shared" ca="1" si="181"/>
        <v>-0.61206422018348627</v>
      </c>
      <c r="AU426" s="148"/>
    </row>
    <row r="427" spans="1:47" ht="16" customHeight="1" x14ac:dyDescent="0.2">
      <c r="A427" s="83" t="e" vm="389">
        <v>#VALUE!</v>
      </c>
      <c r="B427" s="83" t="str" cm="1">
        <f t="array" aca="1" ref="B427" ca="1">_FV(A427,"Ticker symbol",TRUE)</f>
        <v>NBIS</v>
      </c>
      <c r="C427" s="236" cm="1">
        <f t="array" aca="1" ref="C427" ca="1">_FV(A427,"Change (%)",TRUE)</f>
        <v>-1.4950000000000001E-2</v>
      </c>
      <c r="D427" s="83" cm="1">
        <f t="array" aca="1" ref="D427" ca="1">_FV(A427,"Price")</f>
        <v>144.96</v>
      </c>
      <c r="E427" s="46"/>
      <c r="F427" s="46"/>
      <c r="G427" s="46"/>
      <c r="H427" s="46"/>
      <c r="I427" s="84">
        <v>44.42</v>
      </c>
      <c r="J427" s="83" cm="1">
        <f t="array" aca="1" ref="J427" ca="1">_FV(A427,"High")</f>
        <v>148.80000000000001</v>
      </c>
      <c r="K427" s="83" cm="1">
        <f t="array" aca="1" ref="K427" ca="1">_FV(A427,"Low")</f>
        <v>138.56</v>
      </c>
      <c r="L427" s="75" cm="1">
        <f t="array" aca="1" ref="L427" ca="1">_FV(A427,"52 week high",TRUE)</f>
        <v>168.71</v>
      </c>
      <c r="M427" s="75" t="e" cm="1" vm="224">
        <f t="array" aca="1" ref="M427" ca="1">_FV(B427,"52 week high",TRUE)</f>
        <v>#VALUE!</v>
      </c>
      <c r="N427" s="75" t="e" cm="1" vm="224">
        <f t="array" aca="1" ref="N427" ca="1">_FV(C427,"52 week high",TRUE)</f>
        <v>#VALUE!</v>
      </c>
      <c r="O427" s="75" cm="1">
        <f t="array" aca="1" ref="O427" ca="1">_FV(A427,"52 week low",TRUE)</f>
        <v>21.450099999999999</v>
      </c>
      <c r="S427" s="83" t="s">
        <v>166</v>
      </c>
      <c r="T427" s="112" t="s">
        <v>78</v>
      </c>
      <c r="U427" s="112"/>
      <c r="V427" s="93">
        <v>45659</v>
      </c>
      <c r="W427" s="94" t="s">
        <v>11</v>
      </c>
      <c r="X427" s="85" t="s">
        <v>11</v>
      </c>
      <c r="Y427" s="84">
        <v>29.32</v>
      </c>
      <c r="Z427" s="84" t="s">
        <v>11</v>
      </c>
      <c r="AA427" s="84" t="s">
        <v>11</v>
      </c>
      <c r="AB427" s="84"/>
      <c r="AC427" s="84">
        <v>44.42</v>
      </c>
      <c r="AD427" s="84"/>
      <c r="AE427" s="46">
        <f t="shared" si="173"/>
        <v>0.51500682128240105</v>
      </c>
      <c r="AF427" s="86" t="s">
        <v>11</v>
      </c>
      <c r="AG427" s="89" t="e">
        <f t="shared" ca="1" si="172"/>
        <v>#VALUE!</v>
      </c>
      <c r="AH427" s="86">
        <v>125.33</v>
      </c>
      <c r="AI427" s="89">
        <f t="shared" si="174"/>
        <v>3.2745566166439293</v>
      </c>
      <c r="AJ427" s="49" t="str">
        <f t="shared" si="178"/>
        <v>-</v>
      </c>
      <c r="AK427" s="46" t="str">
        <f t="shared" si="179"/>
        <v>-</v>
      </c>
      <c r="AL427" s="83"/>
      <c r="AM427" s="49" t="str">
        <f t="shared" si="180"/>
        <v>-</v>
      </c>
      <c r="AN427" s="148">
        <f t="shared" ca="1" si="181"/>
        <v>3.944065484311051</v>
      </c>
      <c r="AU427" s="148"/>
    </row>
    <row r="428" spans="1:47" ht="16" customHeight="1" x14ac:dyDescent="0.2">
      <c r="A428" s="83" t="e" vm="390">
        <v>#VALUE!</v>
      </c>
      <c r="B428" s="83" t="str" cm="1">
        <f t="array" aca="1" ref="B428" ca="1">_FV(A428,"Ticker symbol",TRUE)</f>
        <v>AENA</v>
      </c>
      <c r="C428" s="236" cm="1">
        <f t="array" aca="1" ref="C428" ca="1">_FV(A428,"Change (%)",TRUE)</f>
        <v>-1.0744E-2</v>
      </c>
      <c r="D428" s="83" cm="1">
        <f t="array" aca="1" ref="D428" ca="1">_FV(A428,"Price")</f>
        <v>23.94</v>
      </c>
      <c r="E428" s="46"/>
      <c r="F428" s="46"/>
      <c r="G428" s="46"/>
      <c r="H428" s="46"/>
      <c r="I428" s="84">
        <v>226.4</v>
      </c>
      <c r="J428" s="83" cm="1">
        <f t="array" aca="1" ref="J428" ca="1">_FV(A428,"High")</f>
        <v>24.26</v>
      </c>
      <c r="K428" s="83" cm="1">
        <f t="array" aca="1" ref="K428" ca="1">_FV(A428,"Low")</f>
        <v>23.9</v>
      </c>
      <c r="L428" s="75" cm="1">
        <f t="array" aca="1" ref="L428" ca="1">_FV(A428,"52 week high",TRUE)</f>
        <v>28.86</v>
      </c>
      <c r="M428" s="75">
        <f t="shared" ref="M428:M461" ca="1" si="182">+L428*0.9</f>
        <v>25.974</v>
      </c>
      <c r="N428" s="75">
        <f t="shared" ref="N428:N461" ca="1" si="183">+L428*0.95</f>
        <v>27.416999999999998</v>
      </c>
      <c r="O428" s="75" cm="1">
        <f t="array" aca="1" ref="O428" ca="1">_FV(A428,"52 week low",TRUE)</f>
        <v>21.48</v>
      </c>
      <c r="Q428" s="220">
        <f t="shared" ref="Q428:Q461" ca="1" si="184">GESTEP(D428,M428)</f>
        <v>0</v>
      </c>
      <c r="R428" s="220">
        <f t="shared" ref="R428:R461" ca="1" si="185">GESTEP(D428,N428)</f>
        <v>0</v>
      </c>
      <c r="S428" s="83" t="s">
        <v>75</v>
      </c>
      <c r="T428" s="112" t="s">
        <v>78</v>
      </c>
      <c r="U428" s="112"/>
      <c r="V428" s="93">
        <v>45659</v>
      </c>
      <c r="W428" s="94" t="s">
        <v>11</v>
      </c>
      <c r="X428" s="85" t="s">
        <v>11</v>
      </c>
      <c r="Y428" s="84">
        <v>202</v>
      </c>
      <c r="Z428" s="84" t="s">
        <v>11</v>
      </c>
      <c r="AA428" s="84" t="s">
        <v>11</v>
      </c>
      <c r="AB428" s="84"/>
      <c r="AC428" s="84">
        <v>226.4</v>
      </c>
      <c r="AD428" s="84"/>
      <c r="AE428" s="46">
        <f t="shared" si="173"/>
        <v>0.1207920792079209</v>
      </c>
      <c r="AF428" s="86" t="s">
        <v>11</v>
      </c>
      <c r="AG428" s="89" t="e">
        <f t="shared" ca="1" si="172"/>
        <v>#VALUE!</v>
      </c>
      <c r="AH428" s="86">
        <v>189.8</v>
      </c>
      <c r="AI428" s="89">
        <f t="shared" si="174"/>
        <v>-6.0396039603960339E-2</v>
      </c>
      <c r="AJ428" s="49" t="str">
        <f t="shared" si="178"/>
        <v>-</v>
      </c>
      <c r="AK428" s="46" t="str">
        <f t="shared" si="179"/>
        <v>-</v>
      </c>
      <c r="AL428" s="83"/>
      <c r="AM428" s="49" t="str">
        <f t="shared" si="180"/>
        <v>-</v>
      </c>
      <c r="AN428" s="148">
        <f t="shared" ca="1" si="181"/>
        <v>-0.88148514851485149</v>
      </c>
      <c r="AU428" s="148"/>
    </row>
    <row r="429" spans="1:47" ht="16" customHeight="1" x14ac:dyDescent="0.2">
      <c r="A429" s="83" t="e" vm="391">
        <v>#VALUE!</v>
      </c>
      <c r="B429" s="83" t="str" cm="1">
        <f t="array" aca="1" ref="B429" ca="1">_FV(A429,"Ticker symbol",TRUE)</f>
        <v>GTT</v>
      </c>
      <c r="C429" s="236" cm="1">
        <f t="array" aca="1" ref="C429" ca="1">_FV(A429,"Change (%)",TRUE)</f>
        <v>1.0617000000000001E-2</v>
      </c>
      <c r="D429" s="83" cm="1">
        <f t="array" aca="1" ref="D429" ca="1">_FV(A429,"Price")</f>
        <v>199.9</v>
      </c>
      <c r="E429" s="46"/>
      <c r="F429" s="46"/>
      <c r="G429" s="46"/>
      <c r="H429" s="46"/>
      <c r="I429" s="84">
        <v>153.9</v>
      </c>
      <c r="J429" s="83" cm="1">
        <f t="array" aca="1" ref="J429" ca="1">_FV(A429,"High")</f>
        <v>201.6</v>
      </c>
      <c r="K429" s="83" cm="1">
        <f t="array" aca="1" ref="K429" ca="1">_FV(A429,"Low")</f>
        <v>197.7</v>
      </c>
      <c r="L429" s="75" cm="1">
        <f t="array" aca="1" ref="L429" ca="1">_FV(A429,"52 week high",TRUE)</f>
        <v>215</v>
      </c>
      <c r="M429" s="75">
        <f t="shared" ca="1" si="182"/>
        <v>193.5</v>
      </c>
      <c r="N429" s="75">
        <f t="shared" ca="1" si="183"/>
        <v>204.25</v>
      </c>
      <c r="O429" s="75" cm="1">
        <f t="array" aca="1" ref="O429" ca="1">_FV(A429,"52 week low",TRUE)</f>
        <v>136.30000000000001</v>
      </c>
      <c r="Q429" s="220">
        <f t="shared" ca="1" si="184"/>
        <v>1</v>
      </c>
      <c r="R429" s="220">
        <f t="shared" ca="1" si="185"/>
        <v>0</v>
      </c>
      <c r="S429" s="83" t="s">
        <v>75</v>
      </c>
      <c r="T429" s="112" t="s">
        <v>78</v>
      </c>
      <c r="U429" s="112"/>
      <c r="V429" s="93">
        <v>45659</v>
      </c>
      <c r="W429" s="94" t="s">
        <v>11</v>
      </c>
      <c r="X429" s="85" t="s">
        <v>11</v>
      </c>
      <c r="Y429" s="84">
        <v>134.9</v>
      </c>
      <c r="Z429" s="84" t="s">
        <v>11</v>
      </c>
      <c r="AA429" s="84" t="s">
        <v>11</v>
      </c>
      <c r="AB429" s="84"/>
      <c r="AC429" s="84">
        <v>153.9</v>
      </c>
      <c r="AD429" s="84"/>
      <c r="AE429" s="46">
        <f t="shared" si="173"/>
        <v>0.14084507042253525</v>
      </c>
      <c r="AF429" s="86" t="s">
        <v>11</v>
      </c>
      <c r="AG429" s="89" t="e">
        <f t="shared" ca="1" si="172"/>
        <v>#VALUE!</v>
      </c>
      <c r="AH429" s="86">
        <v>125.4</v>
      </c>
      <c r="AI429" s="89">
        <f t="shared" si="174"/>
        <v>-7.0422535211267623E-2</v>
      </c>
      <c r="AJ429" s="49" t="str">
        <f t="shared" si="178"/>
        <v>-</v>
      </c>
      <c r="AK429" s="46" t="str">
        <f t="shared" si="179"/>
        <v>-</v>
      </c>
      <c r="AL429" s="83"/>
      <c r="AM429" s="49" t="str">
        <f t="shared" si="180"/>
        <v>-</v>
      </c>
      <c r="AN429" s="148">
        <f t="shared" ca="1" si="181"/>
        <v>0.48183839881393631</v>
      </c>
      <c r="AU429" s="148"/>
    </row>
    <row r="430" spans="1:47" ht="16" customHeight="1" x14ac:dyDescent="0.2">
      <c r="A430" s="83" t="e" vm="392">
        <v>#VALUE!</v>
      </c>
      <c r="B430" s="83" t="str" cm="1">
        <f t="array" aca="1" ref="B430" ca="1">_FV(A430,"Ticker symbol",TRUE)</f>
        <v>RBLX</v>
      </c>
      <c r="C430" s="236" cm="1">
        <f t="array" aca="1" ref="C430" ca="1">_FV(A430,"Change (%)",TRUE)</f>
        <v>2.5495E-2</v>
      </c>
      <c r="D430" s="83" cm="1">
        <f t="array" aca="1" ref="D430" ca="1">_FV(A430,"Price")</f>
        <v>57.52</v>
      </c>
      <c r="E430" s="46"/>
      <c r="F430" s="46"/>
      <c r="G430" s="46"/>
      <c r="H430" s="46"/>
      <c r="I430" s="84">
        <v>117</v>
      </c>
      <c r="J430" s="83" cm="1">
        <f t="array" aca="1" ref="J430" ca="1">_FV(A430,"High")</f>
        <v>57.86</v>
      </c>
      <c r="K430" s="83" cm="1">
        <f t="array" aca="1" ref="K430" ca="1">_FV(A430,"Low")</f>
        <v>55.45</v>
      </c>
      <c r="L430" s="75" cm="1">
        <f t="array" aca="1" ref="L430" ca="1">_FV(A430,"52 week high",TRUE)</f>
        <v>150.59</v>
      </c>
      <c r="M430" s="75">
        <f t="shared" ca="1" si="182"/>
        <v>135.53100000000001</v>
      </c>
      <c r="N430" s="75">
        <f t="shared" ca="1" si="183"/>
        <v>143.06049999999999</v>
      </c>
      <c r="O430" s="75" cm="1">
        <f t="array" aca="1" ref="O430" ca="1">_FV(A430,"52 week low",TRUE)</f>
        <v>51.23</v>
      </c>
      <c r="Q430" s="220">
        <f t="shared" ca="1" si="184"/>
        <v>0</v>
      </c>
      <c r="R430" s="220">
        <f t="shared" ca="1" si="185"/>
        <v>0</v>
      </c>
      <c r="S430" s="83" t="s">
        <v>75</v>
      </c>
      <c r="T430" s="112" t="s">
        <v>26</v>
      </c>
      <c r="U430" s="112" t="s">
        <v>26</v>
      </c>
      <c r="V430" s="93">
        <v>45666</v>
      </c>
      <c r="W430" s="94" t="s">
        <v>11</v>
      </c>
      <c r="X430" s="85" t="s">
        <v>11</v>
      </c>
      <c r="Y430" s="84">
        <v>62.05</v>
      </c>
      <c r="Z430" s="84" t="s">
        <v>11</v>
      </c>
      <c r="AA430" s="84" t="s">
        <v>11</v>
      </c>
      <c r="AB430" s="84"/>
      <c r="AC430" s="84">
        <v>117</v>
      </c>
      <c r="AD430" s="84"/>
      <c r="AE430" s="46">
        <f>IF(Z430="-",+AC430/Y430-1,AC430/D430-1)</f>
        <v>0.88557614826752618</v>
      </c>
      <c r="AF430" s="86" t="s">
        <v>11</v>
      </c>
      <c r="AG430" s="89" t="e">
        <f ca="1">IF(Z430="-",+AF430/D430-1,AF430/AC430-1)</f>
        <v>#VALUE!</v>
      </c>
      <c r="AH430" s="86">
        <v>54</v>
      </c>
      <c r="AI430" s="89">
        <f>IF(Z430="-",AH430/Y430-1,+AH430/D430-1)</f>
        <v>-0.12973408541498788</v>
      </c>
      <c r="AJ430" s="49" t="str">
        <f t="shared" si="178"/>
        <v>-</v>
      </c>
      <c r="AK430" s="46" t="str">
        <f t="shared" si="179"/>
        <v>-</v>
      </c>
      <c r="AL430" s="83"/>
      <c r="AM430" s="49" t="str">
        <f t="shared" si="180"/>
        <v>-</v>
      </c>
      <c r="AN430" s="148">
        <f t="shared" ca="1" si="181"/>
        <v>-7.3005640612409217E-2</v>
      </c>
      <c r="AU430" s="148"/>
    </row>
    <row r="431" spans="1:47" ht="16" customHeight="1" x14ac:dyDescent="0.2">
      <c r="A431" s="83" t="e" vm="393">
        <v>#VALUE!</v>
      </c>
      <c r="B431" s="83" t="str" cm="1">
        <f t="array" aca="1" ref="B431" ca="1">_FV(A431,"Ticker symbol",TRUE)</f>
        <v>DOV</v>
      </c>
      <c r="C431" s="236" cm="1">
        <f t="array" aca="1" ref="C431" ca="1">_FV(A431,"Change (%)",TRUE)</f>
        <v>-2.4226999999999999E-2</v>
      </c>
      <c r="D431" s="83" cm="1">
        <f t="array" aca="1" ref="D431" ca="1">_FV(A431,"Price")</f>
        <v>2.3359999999999999</v>
      </c>
      <c r="E431" s="46"/>
      <c r="F431" s="46"/>
      <c r="G431" s="46"/>
      <c r="H431" s="46"/>
      <c r="I431" s="84">
        <v>1.9</v>
      </c>
      <c r="J431" s="83" cm="1">
        <f t="array" aca="1" ref="J431" ca="1">_FV(A431,"High")</f>
        <v>2.4260000000000002</v>
      </c>
      <c r="K431" s="83" cm="1">
        <f t="array" aca="1" ref="K431" ca="1">_FV(A431,"Low")</f>
        <v>2.3239999999999998</v>
      </c>
      <c r="L431" s="75" cm="1">
        <f t="array" aca="1" ref="L431" ca="1">_FV(A431,"52 week high",TRUE)</f>
        <v>3.37</v>
      </c>
      <c r="M431" s="75">
        <f t="shared" ca="1" si="182"/>
        <v>3.0330000000000004</v>
      </c>
      <c r="N431" s="75">
        <f t="shared" ca="1" si="183"/>
        <v>3.2014999999999998</v>
      </c>
      <c r="O431" s="75" cm="1">
        <f t="array" aca="1" ref="O431" ca="1">_FV(A431,"52 week low",TRUE)</f>
        <v>1.76</v>
      </c>
      <c r="Q431" s="220">
        <f t="shared" ca="1" si="184"/>
        <v>0</v>
      </c>
      <c r="R431" s="220">
        <f t="shared" ca="1" si="185"/>
        <v>0</v>
      </c>
      <c r="S431" s="83" t="s">
        <v>166</v>
      </c>
      <c r="T431" s="112" t="s">
        <v>78</v>
      </c>
      <c r="U431" s="112"/>
      <c r="V431" s="93">
        <v>45666</v>
      </c>
      <c r="W431" s="94" t="s">
        <v>11</v>
      </c>
      <c r="X431" s="85" t="s">
        <v>11</v>
      </c>
      <c r="Y431" s="84">
        <v>1.512</v>
      </c>
      <c r="Z431" s="84" t="s">
        <v>11</v>
      </c>
      <c r="AA431" s="84" t="s">
        <v>11</v>
      </c>
      <c r="AB431" s="84"/>
      <c r="AC431" s="84">
        <v>1.9</v>
      </c>
      <c r="AD431" s="84"/>
      <c r="AE431" s="46">
        <f>IF(Z431="-",+AC431/Y431-1,AC431/D431-1)</f>
        <v>0.25661375661375652</v>
      </c>
      <c r="AF431" s="86" t="s">
        <v>11</v>
      </c>
      <c r="AG431" s="89" t="e">
        <f ca="1">IF(Z431="-",+AF431/D431-1,AF431/AC431-1)</f>
        <v>#VALUE!</v>
      </c>
      <c r="AH431" s="86">
        <v>1.3180000000000001</v>
      </c>
      <c r="AI431" s="89">
        <f>IF(Z431="-",AH431/Y431-1,+AH431/D431-1)</f>
        <v>-0.12830687830687826</v>
      </c>
      <c r="AJ431" s="49" t="str">
        <f t="shared" si="178"/>
        <v>-</v>
      </c>
      <c r="AK431" s="46" t="str">
        <f t="shared" si="179"/>
        <v>-</v>
      </c>
      <c r="AL431" s="83"/>
      <c r="AM431" s="49" t="str">
        <f t="shared" si="180"/>
        <v>-</v>
      </c>
      <c r="AN431" s="148">
        <f t="shared" ca="1" si="181"/>
        <v>0.54497354497354489</v>
      </c>
      <c r="AU431" s="148"/>
    </row>
    <row r="432" spans="1:47" ht="16" customHeight="1" x14ac:dyDescent="0.2">
      <c r="A432" s="83" t="e" vm="394">
        <v>#VALUE!</v>
      </c>
      <c r="B432" s="83" t="str" cm="1">
        <f t="array" aca="1" ref="B432" ca="1">_FV(A432,"Ticker symbol",TRUE)</f>
        <v>ATRC</v>
      </c>
      <c r="C432" s="236" cm="1">
        <f t="array" aca="1" ref="C432" ca="1">_FV(A432,"Change (%)",TRUE)</f>
        <v>-8.1969999999999994E-3</v>
      </c>
      <c r="D432" s="83" cm="1">
        <f t="array" aca="1" ref="D432" ca="1">_FV(A432,"Price")</f>
        <v>29.04</v>
      </c>
      <c r="E432" s="46"/>
      <c r="F432" s="46"/>
      <c r="G432" s="46"/>
      <c r="H432" s="46"/>
      <c r="I432" s="84">
        <v>38.97</v>
      </c>
      <c r="J432" s="83" cm="1">
        <f t="array" aca="1" ref="J432" ca="1">_FV(A432,"High")</f>
        <v>29.765000000000001</v>
      </c>
      <c r="K432" s="83" cm="1">
        <f t="array" aca="1" ref="K432" ca="1">_FV(A432,"Low")</f>
        <v>28.674099999999999</v>
      </c>
      <c r="L432" s="75" cm="1">
        <f t="array" aca="1" ref="L432" ca="1">_FV(A432,"52 week high",TRUE)</f>
        <v>43.18</v>
      </c>
      <c r="M432" s="75">
        <f t="shared" ca="1" si="182"/>
        <v>38.862000000000002</v>
      </c>
      <c r="N432" s="75">
        <f t="shared" ca="1" si="183"/>
        <v>41.021000000000001</v>
      </c>
      <c r="O432" s="75" cm="1">
        <f t="array" aca="1" ref="O432" ca="1">_FV(A432,"52 week low",TRUE)</f>
        <v>27.06</v>
      </c>
      <c r="Q432" s="220">
        <f t="shared" ca="1" si="184"/>
        <v>0</v>
      </c>
      <c r="R432" s="220">
        <f t="shared" ca="1" si="185"/>
        <v>0</v>
      </c>
      <c r="S432" s="83" t="s">
        <v>75</v>
      </c>
      <c r="T432" s="112" t="s">
        <v>78</v>
      </c>
      <c r="U432" s="112"/>
      <c r="V432" s="93">
        <v>45663</v>
      </c>
      <c r="W432" s="94" t="s">
        <v>11</v>
      </c>
      <c r="X432" s="85" t="s">
        <v>11</v>
      </c>
      <c r="Y432" s="84">
        <v>32.51</v>
      </c>
      <c r="Z432" s="84" t="s">
        <v>11</v>
      </c>
      <c r="AA432" s="84" t="s">
        <v>11</v>
      </c>
      <c r="AB432" s="84"/>
      <c r="AC432" s="84">
        <v>38.97</v>
      </c>
      <c r="AD432" s="84"/>
      <c r="AE432" s="46">
        <f>IF(Z432="-",+AC432/Y432-1,AC432/D432-1)</f>
        <v>0.1987080898185174</v>
      </c>
      <c r="AF432" s="86" t="s">
        <v>11</v>
      </c>
      <c r="AG432" s="89" t="e">
        <f ca="1">IF(Z432="-",+AF432/D432-1,AF432/AC432-1)</f>
        <v>#VALUE!</v>
      </c>
      <c r="AH432" s="86">
        <v>29.28</v>
      </c>
      <c r="AI432" s="89">
        <f>IF(Z432="-",AH432/Y432-1,+AH432/D432-1)</f>
        <v>-9.9354044909258588E-2</v>
      </c>
      <c r="AJ432" s="49" t="str">
        <f t="shared" si="178"/>
        <v>-</v>
      </c>
      <c r="AK432" s="46" t="str">
        <f t="shared" si="179"/>
        <v>-</v>
      </c>
      <c r="AL432" s="83"/>
      <c r="AM432" s="49" t="str">
        <f t="shared" si="180"/>
        <v>-</v>
      </c>
      <c r="AN432" s="148">
        <f t="shared" ca="1" si="181"/>
        <v>-0.10673638880344505</v>
      </c>
      <c r="AU432" s="148"/>
    </row>
    <row r="433" spans="1:47" ht="16" customHeight="1" x14ac:dyDescent="0.2">
      <c r="A433" s="83" t="e" vm="395">
        <v>#VALUE!</v>
      </c>
      <c r="B433" s="83" t="str" cm="1">
        <f t="array" aca="1" ref="B433" ca="1">_FV(A433,"Ticker symbol",TRUE)</f>
        <v>LBRT</v>
      </c>
      <c r="C433" s="236" cm="1">
        <f t="array" aca="1" ref="C433" ca="1">_FV(A433,"Change (%)",TRUE)</f>
        <v>3.0539999999999999E-3</v>
      </c>
      <c r="D433" s="83" cm="1">
        <f t="array" aca="1" ref="D433" ca="1">_FV(A433,"Price")</f>
        <v>32.840000000000003</v>
      </c>
      <c r="E433" s="46"/>
      <c r="F433" s="46"/>
      <c r="G433" s="46"/>
      <c r="H433" s="46"/>
      <c r="I433" s="84">
        <v>27.28</v>
      </c>
      <c r="J433" s="83" cm="1">
        <f t="array" aca="1" ref="J433" ca="1">_FV(A433,"High")</f>
        <v>33.5</v>
      </c>
      <c r="K433" s="83" cm="1">
        <f t="array" aca="1" ref="K433" ca="1">_FV(A433,"Low")</f>
        <v>32.32</v>
      </c>
      <c r="L433" s="75" cm="1">
        <f t="array" aca="1" ref="L433" ca="1">_FV(A433,"52 week high",TRUE)</f>
        <v>33.5</v>
      </c>
      <c r="M433" s="75">
        <f t="shared" ca="1" si="182"/>
        <v>30.150000000000002</v>
      </c>
      <c r="N433" s="75">
        <f t="shared" ca="1" si="183"/>
        <v>31.824999999999999</v>
      </c>
      <c r="O433" s="75" cm="1">
        <f t="array" aca="1" ref="O433" ca="1">_FV(A433,"52 week low",TRUE)</f>
        <v>9.9</v>
      </c>
      <c r="Q433" s="220">
        <f t="shared" ca="1" si="184"/>
        <v>1</v>
      </c>
      <c r="R433" s="220">
        <f t="shared" ca="1" si="185"/>
        <v>1</v>
      </c>
      <c r="S433" s="83" t="s">
        <v>75</v>
      </c>
      <c r="T433" s="112" t="s">
        <v>78</v>
      </c>
      <c r="U433" s="112"/>
      <c r="V433" s="93">
        <v>45663</v>
      </c>
      <c r="W433" s="94" t="s">
        <v>11</v>
      </c>
      <c r="X433" s="85" t="s">
        <v>11</v>
      </c>
      <c r="Y433" s="84">
        <v>21.05</v>
      </c>
      <c r="Z433" s="84" t="s">
        <v>11</v>
      </c>
      <c r="AA433" s="84" t="s">
        <v>11</v>
      </c>
      <c r="AB433" s="84"/>
      <c r="AC433" s="84">
        <v>27.28</v>
      </c>
      <c r="AD433" s="84"/>
      <c r="AE433" s="46">
        <f>IF(Z433="-",+AC433/Y433-1,AC433/D433-1)</f>
        <v>0.29596199524940614</v>
      </c>
      <c r="AF433" s="86" t="s">
        <v>11</v>
      </c>
      <c r="AG433" s="89" t="e">
        <f ca="1">IF(Z433="-",+AF433/D433-1,AF433/AC433-1)</f>
        <v>#VALUE!</v>
      </c>
      <c r="AH433" s="86">
        <v>17.940000000000001</v>
      </c>
      <c r="AI433" s="89">
        <f>IF(Z433="-",AH433/Y433-1,+AH433/D433-1)</f>
        <v>-0.14774346793349169</v>
      </c>
      <c r="AJ433" s="49" t="str">
        <f t="shared" si="178"/>
        <v>-</v>
      </c>
      <c r="AK433" s="46" t="str">
        <f t="shared" si="179"/>
        <v>-</v>
      </c>
      <c r="AL433" s="83"/>
      <c r="AM433" s="49" t="str">
        <f t="shared" si="180"/>
        <v>-</v>
      </c>
      <c r="AN433" s="148">
        <f t="shared" ca="1" si="181"/>
        <v>0.56009501187648469</v>
      </c>
      <c r="AU433" s="148"/>
    </row>
    <row r="434" spans="1:47" ht="16" customHeight="1" x14ac:dyDescent="0.2">
      <c r="A434" s="83" t="e" vm="396">
        <v>#VALUE!</v>
      </c>
      <c r="B434" s="83" t="str" cm="1">
        <f t="array" aca="1" ref="B434" ca="1">_FV(A434,"Ticker symbol",TRUE)</f>
        <v>CYBR</v>
      </c>
      <c r="C434" s="236" cm="1">
        <f t="array" aca="1" ref="C434" ca="1">_FV(A434,"Change (%)",TRUE)</f>
        <v>0</v>
      </c>
      <c r="D434" s="83" cm="1">
        <f t="array" aca="1" ref="D434" ca="1">_FV(A434,"Price")</f>
        <v>408.85</v>
      </c>
      <c r="E434" s="46"/>
      <c r="F434" s="46"/>
      <c r="G434" s="46"/>
      <c r="H434" s="46"/>
      <c r="I434" s="84">
        <v>410.57</v>
      </c>
      <c r="J434" s="83" cm="1">
        <f t="array" aca="1" ref="J434" ca="1">_FV(A434,"High")</f>
        <v>413.73</v>
      </c>
      <c r="K434" s="83" cm="1">
        <f t="array" aca="1" ref="K434" ca="1">_FV(A434,"Low")</f>
        <v>405.96</v>
      </c>
      <c r="L434" s="75" cm="1">
        <f t="array" aca="1" ref="L434" ca="1">_FV(A434,"52 week high",TRUE)</f>
        <v>526.19000000000005</v>
      </c>
      <c r="M434" s="75">
        <f t="shared" ca="1" si="182"/>
        <v>473.57100000000008</v>
      </c>
      <c r="N434" s="75">
        <f t="shared" ca="1" si="183"/>
        <v>499.88050000000004</v>
      </c>
      <c r="O434" s="75" cm="1">
        <f t="array" aca="1" ref="O434" ca="1">_FV(A434,"52 week low",TRUE)</f>
        <v>288.63</v>
      </c>
      <c r="Q434" s="220">
        <f t="shared" ca="1" si="184"/>
        <v>0</v>
      </c>
      <c r="R434" s="220">
        <f t="shared" ca="1" si="185"/>
        <v>0</v>
      </c>
      <c r="S434" s="83" t="s">
        <v>75</v>
      </c>
      <c r="T434" s="112" t="s">
        <v>78</v>
      </c>
      <c r="U434" s="112"/>
      <c r="V434" s="93">
        <v>45660</v>
      </c>
      <c r="W434" s="94" t="s">
        <v>11</v>
      </c>
      <c r="X434" s="85" t="s">
        <v>11</v>
      </c>
      <c r="Y434" s="84">
        <v>336.51</v>
      </c>
      <c r="Z434" s="84" t="s">
        <v>11</v>
      </c>
      <c r="AA434" s="84" t="s">
        <v>11</v>
      </c>
      <c r="AB434" s="84"/>
      <c r="AC434" s="84">
        <v>410.57</v>
      </c>
      <c r="AD434" s="84"/>
      <c r="AE434" s="46">
        <f>IF(Z434="-",+AC434/Y434-1,AC434/D434-1)</f>
        <v>0.22008261270095986</v>
      </c>
      <c r="AF434" s="86" t="s">
        <v>11</v>
      </c>
      <c r="AG434" s="89" t="e">
        <f ca="1">IF(Z434="-",+AF434/D434-1,AF434/AC434-1)</f>
        <v>#VALUE!</v>
      </c>
      <c r="AH434" s="86" t="s">
        <v>11</v>
      </c>
      <c r="AI434" s="89" t="e">
        <f>IF(Z434="-",AH434/Y434-1,+AH434/D434-1)</f>
        <v>#VALUE!</v>
      </c>
      <c r="AJ434" s="49" t="str">
        <f t="shared" si="178"/>
        <v>-</v>
      </c>
      <c r="AK434" s="46" t="str">
        <f t="shared" si="179"/>
        <v>-</v>
      </c>
      <c r="AL434" s="83"/>
      <c r="AM434" s="49" t="str">
        <f t="shared" si="180"/>
        <v>-</v>
      </c>
      <c r="AN434" s="148">
        <f t="shared" ca="1" si="181"/>
        <v>0.21497132328905533</v>
      </c>
    </row>
    <row r="435" spans="1:47" ht="16" customHeight="1" x14ac:dyDescent="0.2">
      <c r="A435" s="83" t="e" vm="397">
        <v>#VALUE!</v>
      </c>
      <c r="B435" s="83" t="str" cm="1">
        <f t="array" aca="1" ref="B435" ca="1">_FV(A435,"Ticker symbol",TRUE)</f>
        <v>OR</v>
      </c>
      <c r="C435" s="236" cm="1">
        <f t="array" aca="1" ref="C435" ca="1">_FV(A435,"Change (%)",TRUE)</f>
        <v>-9.6699999999999998E-3</v>
      </c>
      <c r="D435" s="83" cm="1">
        <f t="array" aca="1" ref="D435" ca="1">_FV(A435,"Price")</f>
        <v>373.8</v>
      </c>
      <c r="E435" s="46"/>
      <c r="F435" s="46"/>
      <c r="G435" s="46"/>
      <c r="H435" s="46"/>
      <c r="I435" s="84">
        <v>413.2</v>
      </c>
      <c r="J435" s="83" cm="1">
        <f t="array" aca="1" ref="J435" ca="1">_FV(A435,"High")</f>
        <v>379.9</v>
      </c>
      <c r="K435" s="83" cm="1">
        <f t="array" aca="1" ref="K435" ca="1">_FV(A435,"Low")</f>
        <v>373.2</v>
      </c>
      <c r="L435" s="75" cm="1">
        <f t="array" aca="1" ref="L435" ca="1">_FV(A435,"52 week high",TRUE)</f>
        <v>408.35</v>
      </c>
      <c r="M435" s="75">
        <f t="shared" ca="1" si="182"/>
        <v>367.51500000000004</v>
      </c>
      <c r="N435" s="75">
        <f t="shared" ca="1" si="183"/>
        <v>387.9325</v>
      </c>
      <c r="O435" s="75" cm="1">
        <f t="array" aca="1" ref="O435" ca="1">_FV(A435,"52 week low",TRUE)</f>
        <v>338.85</v>
      </c>
      <c r="Q435" s="220">
        <f t="shared" ca="1" si="184"/>
        <v>1</v>
      </c>
      <c r="R435" s="220">
        <f t="shared" ca="1" si="185"/>
        <v>0</v>
      </c>
      <c r="S435" s="83" t="s">
        <v>75</v>
      </c>
      <c r="T435" s="112" t="s">
        <v>78</v>
      </c>
      <c r="U435" s="112" t="s">
        <v>26</v>
      </c>
      <c r="V435" s="93">
        <v>45681</v>
      </c>
      <c r="W435" s="94" t="s">
        <v>11</v>
      </c>
      <c r="X435" s="85" t="s">
        <v>11</v>
      </c>
      <c r="Y435" s="84">
        <v>353.05</v>
      </c>
      <c r="Z435" s="84" t="s">
        <v>11</v>
      </c>
      <c r="AA435" s="84" t="s">
        <v>11</v>
      </c>
      <c r="AB435" s="84"/>
      <c r="AC435" s="84">
        <v>413.2</v>
      </c>
      <c r="AD435" s="84"/>
      <c r="AE435" s="46">
        <f t="shared" ref="AE435:AE461" si="186">IF(Z435="-",+AC435/Y435-1,AC435/D435-1)</f>
        <v>0.17037246848888254</v>
      </c>
      <c r="AF435" s="86" t="s">
        <v>11</v>
      </c>
      <c r="AG435" s="89" t="e">
        <f t="shared" ref="AG435:AG454" ca="1" si="187">IF(Z435="-",+AF435/D435-1,AF435/AC435-1)</f>
        <v>#VALUE!</v>
      </c>
      <c r="AH435" s="86">
        <v>322.75</v>
      </c>
      <c r="AI435" s="89">
        <f t="shared" ref="AI435:AI461" si="188">IF(Z435="-",AH435/Y435-1,+AH435/D435-1)</f>
        <v>-8.5823537742529377E-2</v>
      </c>
      <c r="AJ435" s="49" t="str">
        <f t="shared" si="178"/>
        <v>-</v>
      </c>
      <c r="AK435" s="46" t="str">
        <f t="shared" si="179"/>
        <v>-</v>
      </c>
      <c r="AL435" s="83"/>
      <c r="AM435" s="49" t="str">
        <f t="shared" si="180"/>
        <v>-</v>
      </c>
      <c r="AN435" s="148">
        <f t="shared" ref="AN435:AN461" ca="1" si="189">+D435/Y435-1</f>
        <v>5.8773544823679469E-2</v>
      </c>
    </row>
    <row r="436" spans="1:47" ht="16" customHeight="1" x14ac:dyDescent="0.2">
      <c r="A436" s="83" t="e" vm="398">
        <v>#VALUE!</v>
      </c>
      <c r="B436" s="83" t="str" cm="1">
        <f t="array" aca="1" ref="B436" ca="1">_FV(A436,"Ticker symbol",TRUE)</f>
        <v>HUBS</v>
      </c>
      <c r="C436" s="236" cm="1">
        <f t="array" aca="1" ref="C436" ca="1">_FV(A436,"Change (%)",TRUE)</f>
        <v>7.8359999999999992E-3</v>
      </c>
      <c r="D436" s="83" cm="1">
        <f t="array" aca="1" ref="D436" ca="1">_FV(A436,"Price")</f>
        <v>225.07</v>
      </c>
      <c r="E436" s="46"/>
      <c r="F436" s="46"/>
      <c r="G436" s="46"/>
      <c r="H436" s="46"/>
      <c r="I436" s="84">
        <v>817.14</v>
      </c>
      <c r="J436" s="83" cm="1">
        <f t="array" aca="1" ref="J436" ca="1">_FV(A436,"High")</f>
        <v>232.59</v>
      </c>
      <c r="K436" s="83" cm="1">
        <f t="array" aca="1" ref="K436" ca="1">_FV(A436,"Low")</f>
        <v>221.84</v>
      </c>
      <c r="L436" s="75" cm="1">
        <f t="array" aca="1" ref="L436" ca="1">_FV(A436,"52 week high",TRUE)</f>
        <v>682.56500000000005</v>
      </c>
      <c r="M436" s="75">
        <f t="shared" ca="1" si="182"/>
        <v>614.30850000000009</v>
      </c>
      <c r="N436" s="75">
        <f t="shared" ca="1" si="183"/>
        <v>648.43675000000007</v>
      </c>
      <c r="O436" s="75" cm="1">
        <f t="array" aca="1" ref="O436" ca="1">_FV(A436,"52 week low",TRUE)</f>
        <v>187.45</v>
      </c>
      <c r="Q436" s="220">
        <f t="shared" ca="1" si="184"/>
        <v>0</v>
      </c>
      <c r="R436" s="220">
        <f t="shared" ca="1" si="185"/>
        <v>0</v>
      </c>
      <c r="S436" s="83" t="s">
        <v>166</v>
      </c>
      <c r="T436" s="112" t="s">
        <v>78</v>
      </c>
      <c r="U436" s="112"/>
      <c r="V436" s="93">
        <v>45679</v>
      </c>
      <c r="W436" s="94" t="s">
        <v>11</v>
      </c>
      <c r="X436" s="85" t="s">
        <v>11</v>
      </c>
      <c r="Y436" s="84">
        <v>728.4</v>
      </c>
      <c r="Z436" s="84" t="s">
        <v>11</v>
      </c>
      <c r="AA436" s="84" t="s">
        <v>11</v>
      </c>
      <c r="AB436" s="84"/>
      <c r="AC436" s="84">
        <v>817.14</v>
      </c>
      <c r="AD436" s="84"/>
      <c r="AE436" s="46">
        <f t="shared" si="186"/>
        <v>0.12182866556836913</v>
      </c>
      <c r="AF436" s="86" t="s">
        <v>11</v>
      </c>
      <c r="AG436" s="89" t="e">
        <f t="shared" ca="1" si="187"/>
        <v>#VALUE!</v>
      </c>
      <c r="AH436" s="86">
        <v>683.98</v>
      </c>
      <c r="AI436" s="89">
        <f t="shared" si="188"/>
        <v>-6.0982976386600662E-2</v>
      </c>
      <c r="AJ436" s="49" t="str">
        <f t="shared" si="178"/>
        <v>-</v>
      </c>
      <c r="AK436" s="46" t="str">
        <f t="shared" si="179"/>
        <v>-</v>
      </c>
      <c r="AL436" s="83"/>
      <c r="AM436" s="49" t="str">
        <f t="shared" si="180"/>
        <v>-</v>
      </c>
      <c r="AN436" s="148">
        <f t="shared" ca="1" si="189"/>
        <v>-0.69100768808347057</v>
      </c>
    </row>
    <row r="437" spans="1:47" ht="16" customHeight="1" x14ac:dyDescent="0.2">
      <c r="A437" s="83" t="e" vm="399">
        <v>#VALUE!</v>
      </c>
      <c r="B437" s="83" t="str" cm="1">
        <f t="array" aca="1" ref="B437" ca="1">_FV(A437,"Ticker symbol",TRUE)</f>
        <v>TSCO</v>
      </c>
      <c r="C437" s="236" cm="1">
        <f t="array" aca="1" ref="C437" ca="1">_FV(A437,"Change (%)",TRUE)</f>
        <v>-2.9804000000000001E-2</v>
      </c>
      <c r="D437" s="83" cm="1">
        <f t="array" aca="1" ref="D437" ca="1">_FV(A437,"Price")</f>
        <v>35.645000000000003</v>
      </c>
      <c r="E437" s="46"/>
      <c r="F437" s="46"/>
      <c r="G437" s="46"/>
      <c r="H437" s="46"/>
      <c r="I437" s="84">
        <v>66.22</v>
      </c>
      <c r="J437" s="83" cm="1">
        <f t="array" aca="1" ref="J437" ca="1">_FV(A437,"High")</f>
        <v>36.965000000000003</v>
      </c>
      <c r="K437" s="83" cm="1">
        <f t="array" aca="1" ref="K437" ca="1">_FV(A437,"Low")</f>
        <v>35.51</v>
      </c>
      <c r="L437" s="75" cm="1">
        <f t="array" aca="1" ref="L437" ca="1">_FV(A437,"52 week high",TRUE)</f>
        <v>63.989899999999999</v>
      </c>
      <c r="M437" s="75">
        <f t="shared" ca="1" si="182"/>
        <v>57.590910000000001</v>
      </c>
      <c r="N437" s="75">
        <f t="shared" ca="1" si="183"/>
        <v>60.790404999999993</v>
      </c>
      <c r="O437" s="75" cm="1">
        <f t="array" aca="1" ref="O437" ca="1">_FV(A437,"52 week low",TRUE)</f>
        <v>35.51</v>
      </c>
      <c r="Q437" s="220">
        <f t="shared" ca="1" si="184"/>
        <v>0</v>
      </c>
      <c r="R437" s="220">
        <f t="shared" ca="1" si="185"/>
        <v>0</v>
      </c>
      <c r="S437" s="83" t="s">
        <v>166</v>
      </c>
      <c r="T437" s="112" t="s">
        <v>78</v>
      </c>
      <c r="U437" s="112"/>
      <c r="V437" s="93">
        <v>45679</v>
      </c>
      <c r="W437" s="94" t="s">
        <v>11</v>
      </c>
      <c r="X437" s="85" t="s">
        <v>11</v>
      </c>
      <c r="Y437" s="84">
        <v>57.06</v>
      </c>
      <c r="Z437" s="84" t="s">
        <v>11</v>
      </c>
      <c r="AA437" s="84" t="s">
        <v>11</v>
      </c>
      <c r="AB437" s="84"/>
      <c r="AC437" s="84">
        <v>66.22</v>
      </c>
      <c r="AD437" s="84"/>
      <c r="AE437" s="46">
        <f t="shared" si="186"/>
        <v>0.16053277252015419</v>
      </c>
      <c r="AF437" s="86" t="s">
        <v>11</v>
      </c>
      <c r="AG437" s="89" t="e">
        <f t="shared" ca="1" si="187"/>
        <v>#VALUE!</v>
      </c>
      <c r="AH437" s="86">
        <v>52.48</v>
      </c>
      <c r="AI437" s="89">
        <f t="shared" si="188"/>
        <v>-8.0266386260077205E-2</v>
      </c>
      <c r="AJ437" s="49" t="str">
        <f t="shared" si="178"/>
        <v>-</v>
      </c>
      <c r="AK437" s="46" t="str">
        <f t="shared" si="179"/>
        <v>-</v>
      </c>
      <c r="AL437" s="83"/>
      <c r="AM437" s="49" t="str">
        <f t="shared" si="180"/>
        <v>-</v>
      </c>
      <c r="AN437" s="148">
        <f t="shared" ca="1" si="189"/>
        <v>-0.37530669470732558</v>
      </c>
    </row>
    <row r="438" spans="1:47" ht="16" customHeight="1" x14ac:dyDescent="0.2">
      <c r="A438" s="83" t="e" vm="400">
        <v>#VALUE!</v>
      </c>
      <c r="B438" s="83" t="str" cm="1">
        <f t="array" aca="1" ref="B438" ca="1">_FV(A438,"Ticker symbol",TRUE)</f>
        <v>CWAN</v>
      </c>
      <c r="C438" s="236" cm="1">
        <f t="array" aca="1" ref="C438" ca="1">_FV(A438,"Change (%)",TRUE)</f>
        <v>-6.2109999999999997E-4</v>
      </c>
      <c r="D438" s="83" cm="1">
        <f t="array" aca="1" ref="D438" ca="1">_FV(A438,"Price")</f>
        <v>24.135000000000002</v>
      </c>
      <c r="E438" s="46"/>
      <c r="F438" s="46"/>
      <c r="G438" s="46"/>
      <c r="H438" s="46"/>
      <c r="I438" s="84">
        <v>32.96</v>
      </c>
      <c r="J438" s="83" cm="1">
        <f t="array" aca="1" ref="J438" ca="1">_FV(A438,"High")</f>
        <v>24.1799</v>
      </c>
      <c r="K438" s="83" cm="1">
        <f t="array" aca="1" ref="K438" ca="1">_FV(A438,"Low")</f>
        <v>24.13</v>
      </c>
      <c r="L438" s="75" cm="1">
        <f t="array" aca="1" ref="L438" ca="1">_FV(A438,"52 week high",TRUE)</f>
        <v>25.068999999999999</v>
      </c>
      <c r="M438" s="75">
        <f t="shared" ca="1" si="182"/>
        <v>22.562100000000001</v>
      </c>
      <c r="N438" s="75">
        <f t="shared" ca="1" si="183"/>
        <v>23.815549999999998</v>
      </c>
      <c r="O438" s="75" cm="1">
        <f t="array" aca="1" ref="O438" ca="1">_FV(A438,"52 week low",TRUE)</f>
        <v>15.734999999999999</v>
      </c>
      <c r="Q438" s="220">
        <f t="shared" ca="1" si="184"/>
        <v>1</v>
      </c>
      <c r="R438" s="220">
        <f t="shared" ca="1" si="185"/>
        <v>1</v>
      </c>
      <c r="S438" s="83" t="s">
        <v>166</v>
      </c>
      <c r="T438" s="112" t="s">
        <v>78</v>
      </c>
      <c r="U438" s="112"/>
      <c r="V438" s="93">
        <v>45678</v>
      </c>
      <c r="W438" s="94" t="s">
        <v>11</v>
      </c>
      <c r="X438" s="85" t="s">
        <v>11</v>
      </c>
      <c r="Y438" s="84">
        <v>28.24</v>
      </c>
      <c r="Z438" s="84" t="s">
        <v>11</v>
      </c>
      <c r="AA438" s="84" t="s">
        <v>11</v>
      </c>
      <c r="AB438" s="84"/>
      <c r="AC438" s="84">
        <v>32.96</v>
      </c>
      <c r="AD438" s="84"/>
      <c r="AE438" s="46">
        <f t="shared" si="186"/>
        <v>0.16713881019830046</v>
      </c>
      <c r="AF438" s="86" t="s">
        <v>11</v>
      </c>
      <c r="AG438" s="89" t="e">
        <f t="shared" ca="1" si="187"/>
        <v>#VALUE!</v>
      </c>
      <c r="AH438" s="86">
        <v>25.89</v>
      </c>
      <c r="AI438" s="89">
        <f t="shared" si="188"/>
        <v>-8.3215297450424885E-2</v>
      </c>
      <c r="AJ438" s="49" t="str">
        <f t="shared" si="178"/>
        <v>-</v>
      </c>
      <c r="AK438" s="46" t="str">
        <f t="shared" si="179"/>
        <v>-</v>
      </c>
      <c r="AL438" s="83"/>
      <c r="AM438" s="49" t="str">
        <f t="shared" si="180"/>
        <v>-</v>
      </c>
      <c r="AN438" s="148">
        <f t="shared" ca="1" si="189"/>
        <v>-0.14536118980169965</v>
      </c>
    </row>
    <row r="439" spans="1:47" ht="16" customHeight="1" x14ac:dyDescent="0.2">
      <c r="A439" s="83" t="e" vm="401">
        <v>#VALUE!</v>
      </c>
      <c r="B439" s="83" t="str" cm="1">
        <f t="array" aca="1" ref="B439" ca="1">_FV(A439,"Ticker symbol",TRUE)</f>
        <v>PEGA</v>
      </c>
      <c r="C439" s="236" cm="1">
        <f t="array" aca="1" ref="C439" ca="1">_FV(A439,"Change (%)",TRUE)</f>
        <v>-1.5001E-2</v>
      </c>
      <c r="D439" s="83" cm="1">
        <f t="array" aca="1" ref="D439" ca="1">_FV(A439,"Price")</f>
        <v>36.770000000000003</v>
      </c>
      <c r="E439" s="46"/>
      <c r="F439" s="46"/>
      <c r="G439" s="46"/>
      <c r="H439" s="46"/>
      <c r="I439" s="84">
        <v>121.75</v>
      </c>
      <c r="J439" s="83" cm="1">
        <f t="array" aca="1" ref="J439" ca="1">_FV(A439,"High")</f>
        <v>37.79</v>
      </c>
      <c r="K439" s="83" cm="1">
        <f t="array" aca="1" ref="K439" ca="1">_FV(A439,"Low")</f>
        <v>36.06</v>
      </c>
      <c r="L439" s="75" cm="1">
        <f t="array" aca="1" ref="L439" ca="1">_FV(A439,"52 week high",TRUE)</f>
        <v>68.099999999999994</v>
      </c>
      <c r="M439" s="75">
        <f t="shared" ca="1" si="182"/>
        <v>61.29</v>
      </c>
      <c r="N439" s="75">
        <f t="shared" ca="1" si="183"/>
        <v>64.694999999999993</v>
      </c>
      <c r="O439" s="75" cm="1">
        <f t="array" aca="1" ref="O439" ca="1">_FV(A439,"52 week low",TRUE)</f>
        <v>34.335000000000001</v>
      </c>
      <c r="Q439" s="220">
        <f t="shared" ca="1" si="184"/>
        <v>0</v>
      </c>
      <c r="R439" s="220">
        <f t="shared" ca="1" si="185"/>
        <v>0</v>
      </c>
      <c r="S439" s="83" t="s">
        <v>166</v>
      </c>
      <c r="T439" s="112" t="s">
        <v>78</v>
      </c>
      <c r="U439" s="112"/>
      <c r="V439" s="93">
        <v>45673</v>
      </c>
      <c r="W439" s="94" t="s">
        <v>11</v>
      </c>
      <c r="X439" s="85" t="s">
        <v>11</v>
      </c>
      <c r="Y439" s="84">
        <v>100.51</v>
      </c>
      <c r="Z439" s="84" t="s">
        <v>11</v>
      </c>
      <c r="AA439" s="84" t="s">
        <v>11</v>
      </c>
      <c r="AB439" s="84"/>
      <c r="AC439" s="84">
        <v>121.75</v>
      </c>
      <c r="AD439" s="84"/>
      <c r="AE439" s="46">
        <f t="shared" si="186"/>
        <v>0.21132225649189129</v>
      </c>
      <c r="AF439" s="86" t="s">
        <v>11</v>
      </c>
      <c r="AG439" s="89" t="e">
        <f t="shared" ca="1" si="187"/>
        <v>#VALUE!</v>
      </c>
      <c r="AH439" s="86">
        <v>89.89</v>
      </c>
      <c r="AI439" s="89">
        <f t="shared" si="188"/>
        <v>-0.10566112824594576</v>
      </c>
      <c r="AJ439" s="49" t="str">
        <f t="shared" si="178"/>
        <v>-</v>
      </c>
      <c r="AK439" s="46" t="str">
        <f t="shared" si="179"/>
        <v>-</v>
      </c>
      <c r="AL439" s="83"/>
      <c r="AM439" s="49" t="str">
        <f t="shared" si="180"/>
        <v>-</v>
      </c>
      <c r="AN439" s="148">
        <f t="shared" ca="1" si="189"/>
        <v>-0.63416575465127845</v>
      </c>
    </row>
    <row r="440" spans="1:47" ht="16" customHeight="1" x14ac:dyDescent="0.2">
      <c r="A440" s="83" t="e" vm="402">
        <v>#VALUE!</v>
      </c>
      <c r="B440" s="83" t="str" cm="1">
        <f t="array" aca="1" ref="B440" ca="1">_FV(A440,"Ticker symbol",TRUE)</f>
        <v>AOS</v>
      </c>
      <c r="C440" s="236" cm="1">
        <f t="array" aca="1" ref="C440" ca="1">_FV(A440,"Change (%)",TRUE)</f>
        <v>4.6600000000000001E-3</v>
      </c>
      <c r="D440" s="83" cm="1">
        <f t="array" aca="1" ref="D440" ca="1">_FV(A440,"Price")</f>
        <v>64.680000000000007</v>
      </c>
      <c r="E440" s="46"/>
      <c r="F440" s="46"/>
      <c r="G440" s="46"/>
      <c r="H440" s="46"/>
      <c r="I440" s="84">
        <v>80.569999999999993</v>
      </c>
      <c r="J440" s="83" cm="1">
        <f t="array" aca="1" ref="J440" ca="1">_FV(A440,"High")</f>
        <v>65.262500000000003</v>
      </c>
      <c r="K440" s="83" cm="1">
        <f t="array" aca="1" ref="K440" ca="1">_FV(A440,"Low")</f>
        <v>64.180000000000007</v>
      </c>
      <c r="L440" s="75" cm="1">
        <f t="array" aca="1" ref="L440" ca="1">_FV(A440,"52 week high",TRUE)</f>
        <v>81.864999999999995</v>
      </c>
      <c r="M440" s="75">
        <f t="shared" ca="1" si="182"/>
        <v>73.6785</v>
      </c>
      <c r="N440" s="75">
        <f t="shared" ca="1" si="183"/>
        <v>77.771749999999997</v>
      </c>
      <c r="O440" s="75" cm="1">
        <f t="array" aca="1" ref="O440" ca="1">_FV(A440,"52 week low",TRUE)</f>
        <v>62.14</v>
      </c>
      <c r="Q440" s="220">
        <f t="shared" ca="1" si="184"/>
        <v>0</v>
      </c>
      <c r="R440" s="220">
        <f t="shared" ca="1" si="185"/>
        <v>0</v>
      </c>
      <c r="S440" s="83" t="s">
        <v>75</v>
      </c>
      <c r="T440" s="112" t="s">
        <v>78</v>
      </c>
      <c r="U440" s="112"/>
      <c r="V440" s="93">
        <v>45672</v>
      </c>
      <c r="W440" s="94" t="s">
        <v>11</v>
      </c>
      <c r="X440" s="85" t="s">
        <v>11</v>
      </c>
      <c r="Y440" s="84">
        <v>71.510000000000005</v>
      </c>
      <c r="Z440" s="84" t="s">
        <v>11</v>
      </c>
      <c r="AA440" s="84" t="s">
        <v>11</v>
      </c>
      <c r="AB440" s="84"/>
      <c r="AC440" s="84">
        <v>80.569999999999993</v>
      </c>
      <c r="AD440" s="84"/>
      <c r="AE440" s="46">
        <f t="shared" si="186"/>
        <v>0.12669556705355878</v>
      </c>
      <c r="AF440" s="86" t="s">
        <v>11</v>
      </c>
      <c r="AG440" s="89" t="e">
        <f t="shared" ca="1" si="187"/>
        <v>#VALUE!</v>
      </c>
      <c r="AH440" s="86">
        <v>66.98</v>
      </c>
      <c r="AI440" s="89">
        <f t="shared" si="188"/>
        <v>-6.33477835267795E-2</v>
      </c>
      <c r="AJ440" s="49" t="str">
        <f t="shared" si="178"/>
        <v>-</v>
      </c>
      <c r="AK440" s="46" t="str">
        <f t="shared" si="179"/>
        <v>-</v>
      </c>
      <c r="AL440" s="83"/>
      <c r="AM440" s="49" t="str">
        <f t="shared" si="180"/>
        <v>-</v>
      </c>
      <c r="AN440" s="148">
        <f t="shared" ca="1" si="189"/>
        <v>-9.5511117326248063E-2</v>
      </c>
    </row>
    <row r="441" spans="1:47" ht="16" customHeight="1" x14ac:dyDescent="0.2">
      <c r="A441" s="83" t="e" vm="403">
        <v>#VALUE!</v>
      </c>
      <c r="B441" s="83" t="str" cm="1">
        <f t="array" aca="1" ref="B441" ca="1">_FV(A441,"Ticker symbol",TRUE)</f>
        <v>RPRX</v>
      </c>
      <c r="C441" s="236" cm="1">
        <f t="array" aca="1" ref="C441" ca="1">_FV(A441,"Change (%)",TRUE)</f>
        <v>5.4679999999999998E-3</v>
      </c>
      <c r="D441" s="83" cm="1">
        <f t="array" aca="1" ref="D441" ca="1">_FV(A441,"Price")</f>
        <v>49.65</v>
      </c>
      <c r="E441" s="46"/>
      <c r="F441" s="46"/>
      <c r="G441" s="46"/>
      <c r="H441" s="46"/>
      <c r="I441" s="84">
        <v>36.159999999999997</v>
      </c>
      <c r="J441" s="83" cm="1">
        <f t="array" aca="1" ref="J441" ca="1">_FV(A441,"High")</f>
        <v>50.06</v>
      </c>
      <c r="K441" s="83" cm="1">
        <f t="array" aca="1" ref="K441" ca="1">_FV(A441,"Low")</f>
        <v>49.3</v>
      </c>
      <c r="L441" s="75" cm="1">
        <f t="array" aca="1" ref="L441" ca="1">_FV(A441,"52 week high",TRUE)</f>
        <v>50.075000000000003</v>
      </c>
      <c r="M441" s="75">
        <f t="shared" ca="1" si="182"/>
        <v>45.067500000000003</v>
      </c>
      <c r="N441" s="75">
        <f t="shared" ca="1" si="183"/>
        <v>47.571249999999999</v>
      </c>
      <c r="O441" s="75" cm="1">
        <f t="array" aca="1" ref="O441" ca="1">_FV(A441,"52 week low",TRUE)</f>
        <v>31.97</v>
      </c>
      <c r="Q441" s="220">
        <f t="shared" ca="1" si="184"/>
        <v>1</v>
      </c>
      <c r="R441" s="220">
        <f t="shared" ca="1" si="185"/>
        <v>1</v>
      </c>
      <c r="S441" s="83" t="s">
        <v>75</v>
      </c>
      <c r="T441" s="112" t="s">
        <v>78</v>
      </c>
      <c r="U441" s="112"/>
      <c r="V441" s="93">
        <v>45670</v>
      </c>
      <c r="W441" s="94" t="s">
        <v>11</v>
      </c>
      <c r="X441" s="85" t="s">
        <v>11</v>
      </c>
      <c r="Y441" s="84">
        <v>28.04</v>
      </c>
      <c r="Z441" s="84" t="s">
        <v>11</v>
      </c>
      <c r="AA441" s="84" t="s">
        <v>11</v>
      </c>
      <c r="AB441" s="84"/>
      <c r="AC441" s="84">
        <v>36.159999999999997</v>
      </c>
      <c r="AD441" s="84"/>
      <c r="AE441" s="46">
        <f t="shared" si="186"/>
        <v>0.28958630527817397</v>
      </c>
      <c r="AF441" s="86" t="s">
        <v>11</v>
      </c>
      <c r="AG441" s="89" t="e">
        <f t="shared" ca="1" si="187"/>
        <v>#VALUE!</v>
      </c>
      <c r="AH441" s="86">
        <v>23.98</v>
      </c>
      <c r="AI441" s="89">
        <f t="shared" si="188"/>
        <v>-0.14479315263908699</v>
      </c>
      <c r="AJ441" s="49" t="str">
        <f t="shared" si="178"/>
        <v>-</v>
      </c>
      <c r="AK441" s="46" t="str">
        <f t="shared" si="179"/>
        <v>-</v>
      </c>
      <c r="AL441" s="83"/>
      <c r="AM441" s="49" t="str">
        <f t="shared" si="180"/>
        <v>-</v>
      </c>
      <c r="AN441" s="148">
        <f t="shared" ca="1" si="189"/>
        <v>0.77068473609129806</v>
      </c>
    </row>
    <row r="442" spans="1:47" ht="16" customHeight="1" x14ac:dyDescent="0.2">
      <c r="A442" s="83" t="e" vm="404">
        <v>#VALUE!</v>
      </c>
      <c r="B442" s="83" t="str" cm="1">
        <f t="array" aca="1" ref="B442" ca="1">_FV(A442,"Ticker symbol",TRUE)</f>
        <v>MBG</v>
      </c>
      <c r="C442" s="236" cm="1">
        <f t="array" aca="1" ref="C442" ca="1">_FV(A442,"Change (%)",TRUE)</f>
        <v>-8.8699999999999994E-3</v>
      </c>
      <c r="D442" s="83" cm="1">
        <f t="array" aca="1" ref="D442" ca="1">_FV(A442,"Price")</f>
        <v>49.725000000000001</v>
      </c>
      <c r="E442" s="46"/>
      <c r="F442" s="46"/>
      <c r="G442" s="46"/>
      <c r="H442" s="46"/>
      <c r="I442" s="84">
        <v>60</v>
      </c>
      <c r="J442" s="83" cm="1">
        <f t="array" aca="1" ref="J442" ca="1">_FV(A442,"High")</f>
        <v>50.11</v>
      </c>
      <c r="K442" s="83" cm="1">
        <f t="array" aca="1" ref="K442" ca="1">_FV(A442,"Low")</f>
        <v>49.325000000000003</v>
      </c>
      <c r="L442" s="75" cm="1">
        <f t="array" aca="1" ref="L442" ca="1">_FV(A442,"52 week high",TRUE)</f>
        <v>91.52</v>
      </c>
      <c r="M442" s="75">
        <f t="shared" ca="1" si="182"/>
        <v>82.367999999999995</v>
      </c>
      <c r="N442" s="75">
        <f t="shared" ca="1" si="183"/>
        <v>86.943999999999988</v>
      </c>
      <c r="O442" s="75" cm="1">
        <f t="array" aca="1" ref="O442" ca="1">_FV(A442,"52 week low",TRUE)</f>
        <v>21.055</v>
      </c>
      <c r="Q442" s="220">
        <f t="shared" ca="1" si="184"/>
        <v>0</v>
      </c>
      <c r="R442" s="220">
        <f t="shared" ca="1" si="185"/>
        <v>0</v>
      </c>
      <c r="S442" s="83" t="s">
        <v>75</v>
      </c>
      <c r="T442" s="112" t="s">
        <v>26</v>
      </c>
      <c r="U442" s="112"/>
      <c r="V442" s="93">
        <v>45667</v>
      </c>
      <c r="W442" s="94" t="s">
        <v>11</v>
      </c>
      <c r="X442" s="85" t="s">
        <v>11</v>
      </c>
      <c r="Y442" s="84">
        <v>52.664999999999999</v>
      </c>
      <c r="Z442" s="84" t="s">
        <v>11</v>
      </c>
      <c r="AA442" s="84" t="s">
        <v>11</v>
      </c>
      <c r="AB442" s="84"/>
      <c r="AC442" s="84">
        <v>60</v>
      </c>
      <c r="AD442" s="84"/>
      <c r="AE442" s="46">
        <f t="shared" si="186"/>
        <v>0.13927655938479067</v>
      </c>
      <c r="AF442" s="86">
        <v>72</v>
      </c>
      <c r="AG442" s="89">
        <f t="shared" ca="1" si="187"/>
        <v>0.44796380090497734</v>
      </c>
      <c r="AH442" s="86">
        <v>49.5</v>
      </c>
      <c r="AI442" s="89">
        <f t="shared" si="188"/>
        <v>-6.0096838507547656E-2</v>
      </c>
      <c r="AJ442" s="49" t="str">
        <f t="shared" si="178"/>
        <v>-</v>
      </c>
      <c r="AK442" s="46" t="str">
        <f t="shared" si="179"/>
        <v>-</v>
      </c>
      <c r="AL442" s="83"/>
      <c r="AM442" s="49" t="str">
        <f t="shared" si="180"/>
        <v>-</v>
      </c>
      <c r="AN442" s="148">
        <f t="shared" ca="1" si="189"/>
        <v>-5.582455140985465E-2</v>
      </c>
    </row>
    <row r="443" spans="1:47" ht="16" customHeight="1" x14ac:dyDescent="0.2">
      <c r="A443" s="83" t="e" vm="206">
        <v>#VALUE!</v>
      </c>
      <c r="B443" s="83" t="str" cm="1">
        <f t="array" aca="1" ref="B443" ca="1">_FV(A443,"Ticker symbol",TRUE)</f>
        <v>PHM</v>
      </c>
      <c r="C443" s="236" cm="1">
        <f t="array" aca="1" ref="C443" ca="1">_FV(A443,"Change (%)",TRUE)</f>
        <v>5.6439999999999997E-3</v>
      </c>
      <c r="D443" s="83" cm="1">
        <f t="array" aca="1" ref="D443" ca="1">_FV(A443,"Price")</f>
        <v>128.28</v>
      </c>
      <c r="E443" s="46"/>
      <c r="F443" s="46"/>
      <c r="G443" s="46"/>
      <c r="H443" s="46"/>
      <c r="I443" s="84">
        <v>127.34</v>
      </c>
      <c r="J443" s="83" cm="1">
        <f t="array" aca="1" ref="J443" ca="1">_FV(A443,"High")</f>
        <v>128.83000000000001</v>
      </c>
      <c r="K443" s="83" cm="1">
        <f t="array" aca="1" ref="K443" ca="1">_FV(A443,"Low")</f>
        <v>126.845</v>
      </c>
      <c r="L443" s="75" cm="1">
        <f t="array" aca="1" ref="L443" ca="1">_FV(A443,"52 week high",TRUE)</f>
        <v>144.495</v>
      </c>
      <c r="M443" s="75">
        <f t="shared" ca="1" si="182"/>
        <v>130.0455</v>
      </c>
      <c r="N443" s="75">
        <f t="shared" ca="1" si="183"/>
        <v>137.27025</v>
      </c>
      <c r="O443" s="75" cm="1">
        <f t="array" aca="1" ref="O443" ca="1">_FV(A443,"52 week low",TRUE)</f>
        <v>95.2</v>
      </c>
      <c r="Q443" s="220">
        <f t="shared" ca="1" si="184"/>
        <v>0</v>
      </c>
      <c r="R443" s="220">
        <f t="shared" ca="1" si="185"/>
        <v>0</v>
      </c>
      <c r="S443" s="83" t="s">
        <v>75</v>
      </c>
      <c r="T443" s="112" t="s">
        <v>78</v>
      </c>
      <c r="U443" s="112"/>
      <c r="V443" s="93">
        <v>45723</v>
      </c>
      <c r="W443" s="94" t="s">
        <v>11</v>
      </c>
      <c r="X443" s="85"/>
      <c r="Y443" s="84">
        <v>109.03</v>
      </c>
      <c r="Z443" s="84" t="s">
        <v>11</v>
      </c>
      <c r="AA443" s="84" t="s">
        <v>11</v>
      </c>
      <c r="AB443" s="84"/>
      <c r="AC443" s="84">
        <v>127.34</v>
      </c>
      <c r="AD443" s="84" t="s">
        <v>11</v>
      </c>
      <c r="AE443" s="46">
        <f t="shared" si="186"/>
        <v>0.16793543061542704</v>
      </c>
      <c r="AF443" s="86" t="s">
        <v>11</v>
      </c>
      <c r="AG443" s="89" t="e">
        <f t="shared" ca="1" si="187"/>
        <v>#VALUE!</v>
      </c>
      <c r="AH443" s="86">
        <v>99.88</v>
      </c>
      <c r="AI443" s="89">
        <f t="shared" si="188"/>
        <v>-8.3921856369806536E-2</v>
      </c>
      <c r="AJ443" s="49" t="str">
        <f t="shared" si="178"/>
        <v>-</v>
      </c>
      <c r="AK443" s="46" t="str">
        <f t="shared" si="179"/>
        <v>-</v>
      </c>
      <c r="AL443" s="83"/>
      <c r="AM443" s="49" t="str">
        <f t="shared" si="180"/>
        <v>-</v>
      </c>
      <c r="AN443" s="148">
        <f t="shared" ca="1" si="189"/>
        <v>0.17655691094194248</v>
      </c>
    </row>
    <row r="444" spans="1:47" ht="16" customHeight="1" x14ac:dyDescent="0.2">
      <c r="A444" s="83" t="e" vm="405">
        <v>#VALUE!</v>
      </c>
      <c r="B444" s="83" t="str" cm="1">
        <f t="array" aca="1" ref="B444" ca="1">_FV(A444,"Ticker symbol",TRUE)</f>
        <v>REGN</v>
      </c>
      <c r="C444" s="236" cm="1">
        <f t="array" aca="1" ref="C444" ca="1">_FV(A444,"Change (%)",TRUE)</f>
        <v>-9.4870000000000006E-3</v>
      </c>
      <c r="D444" s="83" cm="1">
        <f t="array" aca="1" ref="D444" ca="1">_FV(A444,"Price")</f>
        <v>744.44</v>
      </c>
      <c r="E444" s="46"/>
      <c r="F444" s="46"/>
      <c r="G444" s="46"/>
      <c r="H444" s="46"/>
      <c r="I444" s="84">
        <v>824.9</v>
      </c>
      <c r="J444" s="83" cm="1">
        <f t="array" aca="1" ref="J444" ca="1">_FV(A444,"High")</f>
        <v>756.4</v>
      </c>
      <c r="K444" s="83" cm="1">
        <f t="array" aca="1" ref="K444" ca="1">_FV(A444,"Low")</f>
        <v>743.61</v>
      </c>
      <c r="L444" s="75" cm="1">
        <f t="array" aca="1" ref="L444" ca="1">_FV(A444,"52 week high",TRUE)</f>
        <v>821.11</v>
      </c>
      <c r="M444" s="75">
        <f t="shared" ca="1" si="182"/>
        <v>738.99900000000002</v>
      </c>
      <c r="N444" s="75">
        <f t="shared" ca="1" si="183"/>
        <v>780.05449999999996</v>
      </c>
      <c r="O444" s="75" cm="1">
        <f t="array" aca="1" ref="O444" ca="1">_FV(A444,"52 week low",TRUE)</f>
        <v>476.48689999999999</v>
      </c>
      <c r="Q444" s="220">
        <f t="shared" ca="1" si="184"/>
        <v>1</v>
      </c>
      <c r="R444" s="220">
        <f t="shared" ca="1" si="185"/>
        <v>0</v>
      </c>
      <c r="S444" s="83" t="s">
        <v>75</v>
      </c>
      <c r="T444" s="112" t="s">
        <v>78</v>
      </c>
      <c r="U444" s="112"/>
      <c r="V444" s="93">
        <v>45723</v>
      </c>
      <c r="W444" s="94" t="s">
        <v>11</v>
      </c>
      <c r="X444" s="85"/>
      <c r="Y444" s="84">
        <v>701.2</v>
      </c>
      <c r="Z444" s="84" t="s">
        <v>11</v>
      </c>
      <c r="AA444" s="84" t="s">
        <v>11</v>
      </c>
      <c r="AB444" s="84"/>
      <c r="AC444" s="84">
        <v>824.9</v>
      </c>
      <c r="AD444" s="84" t="s">
        <v>11</v>
      </c>
      <c r="AE444" s="46">
        <f t="shared" si="186"/>
        <v>0.17641186537364506</v>
      </c>
      <c r="AF444" s="86" t="s">
        <v>11</v>
      </c>
      <c r="AG444" s="89" t="e">
        <f t="shared" ca="1" si="187"/>
        <v>#VALUE!</v>
      </c>
      <c r="AH444" s="86">
        <v>639.79</v>
      </c>
      <c r="AI444" s="89">
        <f t="shared" si="188"/>
        <v>-8.7578436965202622E-2</v>
      </c>
      <c r="AJ444" s="49" t="str">
        <f t="shared" si="178"/>
        <v>-</v>
      </c>
      <c r="AK444" s="46" t="str">
        <f t="shared" si="179"/>
        <v>-</v>
      </c>
      <c r="AL444" s="83"/>
      <c r="AM444" s="49" t="str">
        <f t="shared" si="180"/>
        <v>-</v>
      </c>
      <c r="AN444" s="148">
        <f t="shared" ca="1" si="189"/>
        <v>6.1665715915573349E-2</v>
      </c>
    </row>
    <row r="445" spans="1:47" ht="16" customHeight="1" x14ac:dyDescent="0.2">
      <c r="A445" s="83" t="e" vm="406">
        <v>#VALUE!</v>
      </c>
      <c r="B445" s="83" t="str" cm="1">
        <f t="array" aca="1" ref="B445" ca="1">_FV(A445,"Ticker symbol",TRUE)</f>
        <v>LXS</v>
      </c>
      <c r="C445" s="236" cm="1">
        <f t="array" aca="1" ref="C445" ca="1">_FV(A445,"Change (%)",TRUE)</f>
        <v>1.7165E-2</v>
      </c>
      <c r="D445" s="83" cm="1">
        <f t="array" aca="1" ref="D445" ca="1">_FV(A445,"Price")</f>
        <v>18.37</v>
      </c>
      <c r="E445" s="46"/>
      <c r="F445" s="46"/>
      <c r="G445" s="46"/>
      <c r="H445" s="46"/>
      <c r="I445" s="84">
        <v>229</v>
      </c>
      <c r="J445" s="83" cm="1">
        <f t="array" aca="1" ref="J445" ca="1">_FV(A445,"High")</f>
        <v>18.75</v>
      </c>
      <c r="K445" s="83" cm="1">
        <f t="array" aca="1" ref="K445" ca="1">_FV(A445,"Low")</f>
        <v>17.920000000000002</v>
      </c>
      <c r="L445" s="75" cm="1">
        <f t="array" aca="1" ref="L445" ca="1">_FV(A445,"52 week high",TRUE)</f>
        <v>29.5</v>
      </c>
      <c r="M445" s="75">
        <f t="shared" ca="1" si="182"/>
        <v>26.55</v>
      </c>
      <c r="N445" s="75">
        <f t="shared" ca="1" si="183"/>
        <v>28.024999999999999</v>
      </c>
      <c r="O445" s="75" cm="1">
        <f t="array" aca="1" ref="O445" ca="1">_FV(A445,"52 week low",TRUE)</f>
        <v>11.03</v>
      </c>
      <c r="Q445" s="220">
        <f t="shared" ca="1" si="184"/>
        <v>0</v>
      </c>
      <c r="R445" s="220">
        <f t="shared" ca="1" si="185"/>
        <v>0</v>
      </c>
      <c r="S445" s="83" t="s">
        <v>75</v>
      </c>
      <c r="T445" s="112" t="s">
        <v>78</v>
      </c>
      <c r="U445" s="112"/>
      <c r="V445" s="93">
        <v>45720</v>
      </c>
      <c r="W445" s="94" t="s">
        <v>11</v>
      </c>
      <c r="X445" s="85"/>
      <c r="Y445" s="84">
        <v>193.6</v>
      </c>
      <c r="Z445" s="84" t="s">
        <v>11</v>
      </c>
      <c r="AA445" s="84" t="s">
        <v>11</v>
      </c>
      <c r="AB445" s="84"/>
      <c r="AC445" s="84">
        <v>229</v>
      </c>
      <c r="AD445" s="84" t="s">
        <v>11</v>
      </c>
      <c r="AE445" s="46">
        <f t="shared" si="186"/>
        <v>0.18285123966942152</v>
      </c>
      <c r="AF445" s="86" t="s">
        <v>11</v>
      </c>
      <c r="AG445" s="89" t="e">
        <f t="shared" ca="1" si="187"/>
        <v>#VALUE!</v>
      </c>
      <c r="AH445" s="86">
        <v>175.9</v>
      </c>
      <c r="AI445" s="89">
        <f t="shared" si="188"/>
        <v>-9.1425619834710647E-2</v>
      </c>
      <c r="AJ445" s="49" t="str">
        <f t="shared" si="178"/>
        <v>-</v>
      </c>
      <c r="AK445" s="46" t="str">
        <f t="shared" si="179"/>
        <v>-</v>
      </c>
      <c r="AL445" s="83"/>
      <c r="AM445" s="49" t="str">
        <f t="shared" si="180"/>
        <v>-</v>
      </c>
      <c r="AN445" s="148">
        <f t="shared" ca="1" si="189"/>
        <v>-0.9051136363636364</v>
      </c>
    </row>
    <row r="446" spans="1:47" ht="16" customHeight="1" x14ac:dyDescent="0.2">
      <c r="A446" s="83" t="e" vm="407">
        <v>#VALUE!</v>
      </c>
      <c r="B446" s="83" t="str" cm="1">
        <f t="array" aca="1" ref="B446" ca="1">_FV(A446,"Ticker symbol",TRUE)</f>
        <v>UCB</v>
      </c>
      <c r="C446" s="236" cm="1">
        <f t="array" aca="1" ref="C446" ca="1">_FV(A446,"Change (%)",TRUE)</f>
        <v>-4.6029999999999995E-3</v>
      </c>
      <c r="D446" s="83" cm="1">
        <f t="array" aca="1" ref="D446" ca="1">_FV(A446,"Price")</f>
        <v>237.9</v>
      </c>
      <c r="E446" s="46"/>
      <c r="F446" s="46"/>
      <c r="G446" s="46"/>
      <c r="H446" s="46"/>
      <c r="I446" s="84">
        <v>228</v>
      </c>
      <c r="J446" s="83" cm="1">
        <f t="array" aca="1" ref="J446" ca="1">_FV(A446,"High")</f>
        <v>239.8</v>
      </c>
      <c r="K446" s="83" cm="1">
        <f t="array" aca="1" ref="K446" ca="1">_FV(A446,"Low")</f>
        <v>235.7</v>
      </c>
      <c r="L446" s="75" cm="1">
        <f t="array" aca="1" ref="L446" ca="1">_FV(A446,"52 week high",TRUE)</f>
        <v>289.5</v>
      </c>
      <c r="M446" s="75">
        <f t="shared" ca="1" si="182"/>
        <v>260.55</v>
      </c>
      <c r="N446" s="75">
        <f t="shared" ca="1" si="183"/>
        <v>275.02499999999998</v>
      </c>
      <c r="O446" s="75" cm="1">
        <f t="array" aca="1" ref="O446" ca="1">_FV(A446,"52 week low",TRUE)</f>
        <v>146.05000000000001</v>
      </c>
      <c r="Q446" s="220">
        <f t="shared" ca="1" si="184"/>
        <v>0</v>
      </c>
      <c r="R446" s="220">
        <f t="shared" ca="1" si="185"/>
        <v>0</v>
      </c>
      <c r="S446" s="83" t="s">
        <v>75</v>
      </c>
      <c r="T446" s="112" t="s">
        <v>78</v>
      </c>
      <c r="U446" s="112"/>
      <c r="V446" s="93">
        <v>45719</v>
      </c>
      <c r="W446" s="94" t="s">
        <v>11</v>
      </c>
      <c r="X446" s="85"/>
      <c r="Y446" s="84">
        <v>192.6</v>
      </c>
      <c r="Z446" s="84" t="s">
        <v>11</v>
      </c>
      <c r="AA446" s="84" t="s">
        <v>11</v>
      </c>
      <c r="AB446" s="84"/>
      <c r="AC446" s="84">
        <v>228</v>
      </c>
      <c r="AD446" s="84" t="s">
        <v>11</v>
      </c>
      <c r="AE446" s="46">
        <f t="shared" si="186"/>
        <v>0.18380062305295963</v>
      </c>
      <c r="AF446" s="86" t="s">
        <v>11</v>
      </c>
      <c r="AG446" s="89" t="e">
        <f t="shared" ca="1" si="187"/>
        <v>#VALUE!</v>
      </c>
      <c r="AH446" s="86">
        <v>174.9</v>
      </c>
      <c r="AI446" s="89">
        <f t="shared" si="188"/>
        <v>-9.1900311526479705E-2</v>
      </c>
      <c r="AJ446" s="49" t="str">
        <f t="shared" si="178"/>
        <v>-</v>
      </c>
      <c r="AK446" s="46" t="str">
        <f t="shared" si="179"/>
        <v>-</v>
      </c>
      <c r="AL446" s="83"/>
      <c r="AM446" s="49" t="str">
        <f t="shared" si="180"/>
        <v>-</v>
      </c>
      <c r="AN446" s="148">
        <f t="shared" ca="1" si="189"/>
        <v>0.23520249221183809</v>
      </c>
    </row>
    <row r="447" spans="1:47" ht="16" customHeight="1" x14ac:dyDescent="0.2">
      <c r="A447" s="83" t="e" vm="408">
        <v>#VALUE!</v>
      </c>
      <c r="B447" s="83" t="str" cm="1">
        <f t="array" aca="1" ref="B447" ca="1">_FV(A447,"Ticker symbol",TRUE)</f>
        <v>GNRC</v>
      </c>
      <c r="C447" s="236" cm="1">
        <f t="array" aca="1" ref="C447" ca="1">_FV(A447,"Change (%)",TRUE)</f>
        <v>-2.3540000000000002E-3</v>
      </c>
      <c r="D447" s="83" cm="1">
        <f t="array" aca="1" ref="D447" ca="1">_FV(A447,"Price")</f>
        <v>220.41</v>
      </c>
      <c r="E447" s="46"/>
      <c r="F447" s="46"/>
      <c r="G447" s="46"/>
      <c r="H447" s="46"/>
      <c r="I447" s="84">
        <v>185.48</v>
      </c>
      <c r="J447" s="83" cm="1">
        <f t="array" aca="1" ref="J447" ca="1">_FV(A447,"High")</f>
        <v>227.5</v>
      </c>
      <c r="K447" s="83" cm="1">
        <f t="array" aca="1" ref="K447" ca="1">_FV(A447,"Low")</f>
        <v>214.21</v>
      </c>
      <c r="L447" s="75" cm="1">
        <f t="array" aca="1" ref="L447" ca="1">_FV(A447,"52 week high",TRUE)</f>
        <v>241.09100000000001</v>
      </c>
      <c r="M447" s="75">
        <f t="shared" ca="1" si="182"/>
        <v>216.98190000000002</v>
      </c>
      <c r="N447" s="75">
        <f t="shared" ca="1" si="183"/>
        <v>229.03645</v>
      </c>
      <c r="O447" s="75" cm="1">
        <f t="array" aca="1" ref="O447" ca="1">_FV(A447,"52 week low",TRUE)</f>
        <v>109.20010000000001</v>
      </c>
      <c r="Q447" s="220">
        <f t="shared" ca="1" si="184"/>
        <v>1</v>
      </c>
      <c r="R447" s="220">
        <f t="shared" ca="1" si="185"/>
        <v>0</v>
      </c>
      <c r="S447" s="83" t="s">
        <v>182</v>
      </c>
      <c r="T447" s="112" t="s">
        <v>78</v>
      </c>
      <c r="U447" s="112"/>
      <c r="V447" s="93">
        <v>45700</v>
      </c>
      <c r="W447" s="94" t="s">
        <v>11</v>
      </c>
      <c r="X447" s="85" t="s">
        <v>11</v>
      </c>
      <c r="Y447" s="84">
        <v>154.03</v>
      </c>
      <c r="Z447" s="84" t="s">
        <v>11</v>
      </c>
      <c r="AA447" s="84" t="s">
        <v>11</v>
      </c>
      <c r="AB447" s="84"/>
      <c r="AC447" s="84">
        <v>185.48</v>
      </c>
      <c r="AD447" s="84" t="s">
        <v>11</v>
      </c>
      <c r="AE447" s="46">
        <f t="shared" si="186"/>
        <v>0.20418100370057779</v>
      </c>
      <c r="AF447" s="86" t="s">
        <v>11</v>
      </c>
      <c r="AG447" s="89" t="e">
        <f t="shared" ca="1" si="187"/>
        <v>#VALUE!</v>
      </c>
      <c r="AH447" s="86">
        <v>138.88</v>
      </c>
      <c r="AI447" s="89">
        <f t="shared" si="188"/>
        <v>-9.8357462831915932E-2</v>
      </c>
      <c r="AJ447" s="49" t="str">
        <f t="shared" si="178"/>
        <v>-</v>
      </c>
      <c r="AK447" s="46" t="str">
        <f t="shared" si="179"/>
        <v>-</v>
      </c>
      <c r="AL447" s="83"/>
      <c r="AM447" s="49" t="str">
        <f t="shared" si="180"/>
        <v>-</v>
      </c>
      <c r="AN447" s="148">
        <f t="shared" ca="1" si="189"/>
        <v>0.43095500876452641</v>
      </c>
    </row>
    <row r="448" spans="1:47" ht="16" customHeight="1" x14ac:dyDescent="0.2">
      <c r="A448" s="83" t="e" vm="409">
        <v>#VALUE!</v>
      </c>
      <c r="B448" s="83" t="str" cm="1">
        <f t="array" aca="1" ref="B448" ca="1">_FV(A448,"Ticker symbol",TRUE)</f>
        <v>DHER</v>
      </c>
      <c r="C448" s="236" cm="1">
        <f t="array" aca="1" ref="C448" ca="1">_FV(A448,"Change (%)",TRUE)</f>
        <v>1.1795E-2</v>
      </c>
      <c r="D448" s="83" cm="1">
        <f t="array" aca="1" ref="D448" ca="1">_FV(A448,"Price")</f>
        <v>19.73</v>
      </c>
      <c r="E448" s="46"/>
      <c r="F448" s="46"/>
      <c r="G448" s="46"/>
      <c r="H448" s="46"/>
      <c r="I448" s="84">
        <v>32.4</v>
      </c>
      <c r="J448" s="83" cm="1">
        <f t="array" aca="1" ref="J448" ca="1">_FV(A448,"High")</f>
        <v>19.920000000000002</v>
      </c>
      <c r="K448" s="83" cm="1">
        <f t="array" aca="1" ref="K448" ca="1">_FV(A448,"Low")</f>
        <v>19.07</v>
      </c>
      <c r="L448" s="75" cm="1">
        <f t="array" aca="1" ref="L448" ca="1">_FV(A448,"52 week high",TRUE)</f>
        <v>29.89</v>
      </c>
      <c r="M448" s="75">
        <f t="shared" ca="1" si="182"/>
        <v>26.901</v>
      </c>
      <c r="N448" s="75">
        <f t="shared" ca="1" si="183"/>
        <v>28.395499999999998</v>
      </c>
      <c r="O448" s="75" cm="1">
        <f t="array" aca="1" ref="O448" ca="1">_FV(A448,"52 week low",TRUE)</f>
        <v>14.8</v>
      </c>
      <c r="Q448" s="220">
        <f t="shared" ca="1" si="184"/>
        <v>0</v>
      </c>
      <c r="R448" s="220">
        <f t="shared" ca="1" si="185"/>
        <v>0</v>
      </c>
      <c r="S448" s="83" t="s">
        <v>75</v>
      </c>
      <c r="T448" s="112" t="s">
        <v>78</v>
      </c>
      <c r="U448" s="112"/>
      <c r="V448" s="93">
        <v>45699</v>
      </c>
      <c r="W448" s="94" t="s">
        <v>11</v>
      </c>
      <c r="X448" s="85"/>
      <c r="Y448" s="84">
        <v>26.72</v>
      </c>
      <c r="Z448" s="84" t="s">
        <v>11</v>
      </c>
      <c r="AA448" s="84" t="s">
        <v>11</v>
      </c>
      <c r="AB448" s="84"/>
      <c r="AC448" s="84">
        <v>32.4</v>
      </c>
      <c r="AD448" s="84" t="s">
        <v>11</v>
      </c>
      <c r="AE448" s="46">
        <f t="shared" si="186"/>
        <v>0.21257485029940115</v>
      </c>
      <c r="AF448" s="86" t="s">
        <v>11</v>
      </c>
      <c r="AG448" s="89" t="e">
        <f t="shared" ca="1" si="187"/>
        <v>#VALUE!</v>
      </c>
      <c r="AH448" s="86">
        <v>23.88</v>
      </c>
      <c r="AI448" s="89">
        <f t="shared" si="188"/>
        <v>-0.10628742514970058</v>
      </c>
      <c r="AJ448" s="49" t="str">
        <f t="shared" si="178"/>
        <v>-</v>
      </c>
      <c r="AK448" s="46" t="str">
        <f t="shared" si="179"/>
        <v>-</v>
      </c>
      <c r="AL448" s="83"/>
      <c r="AM448" s="49" t="str">
        <f t="shared" si="180"/>
        <v>-</v>
      </c>
      <c r="AN448" s="148">
        <f t="shared" ca="1" si="189"/>
        <v>-0.26160179640718562</v>
      </c>
    </row>
    <row r="449" spans="1:40" ht="16" customHeight="1" x14ac:dyDescent="0.2">
      <c r="A449" s="83" t="e" vm="410">
        <v>#VALUE!</v>
      </c>
      <c r="B449" s="83" t="str" cm="1">
        <f t="array" aca="1" ref="B449" ca="1">_FV(A449,"Ticker symbol",TRUE)</f>
        <v>OSK</v>
      </c>
      <c r="C449" s="236" cm="1">
        <f t="array" aca="1" ref="C449" ca="1">_FV(A449,"Change (%)",TRUE)</f>
        <v>2.5280000000000003E-3</v>
      </c>
      <c r="D449" s="83" cm="1">
        <f t="array" aca="1" ref="D449" ca="1">_FV(A449,"Price")</f>
        <v>150.71</v>
      </c>
      <c r="E449" s="46"/>
      <c r="F449" s="46"/>
      <c r="G449" s="46"/>
      <c r="H449" s="46"/>
      <c r="I449" s="84">
        <v>139.44</v>
      </c>
      <c r="J449" s="83" cm="1">
        <f t="array" aca="1" ref="J449" ca="1">_FV(A449,"High")</f>
        <v>153.83000000000001</v>
      </c>
      <c r="K449" s="83" cm="1">
        <f t="array" aca="1" ref="K449" ca="1">_FV(A449,"Low")</f>
        <v>149.35</v>
      </c>
      <c r="L449" s="75" cm="1">
        <f t="array" aca="1" ref="L449" ca="1">_FV(A449,"52 week high",TRUE)</f>
        <v>180.49</v>
      </c>
      <c r="M449" s="75">
        <f t="shared" ca="1" si="182"/>
        <v>162.441</v>
      </c>
      <c r="N449" s="75">
        <f t="shared" ca="1" si="183"/>
        <v>171.46549999999999</v>
      </c>
      <c r="O449" s="75" cm="1">
        <f t="array" aca="1" ref="O449" ca="1">_FV(A449,"52 week low",TRUE)</f>
        <v>82.14</v>
      </c>
      <c r="Q449" s="220">
        <f t="shared" ca="1" si="184"/>
        <v>0</v>
      </c>
      <c r="R449" s="220">
        <f t="shared" ca="1" si="185"/>
        <v>0</v>
      </c>
      <c r="S449" s="83" t="s">
        <v>75</v>
      </c>
      <c r="T449" s="112" t="s">
        <v>78</v>
      </c>
      <c r="U449" s="112"/>
      <c r="V449" s="93">
        <v>45691</v>
      </c>
      <c r="W449" s="94" t="s">
        <v>11</v>
      </c>
      <c r="X449" s="85" t="s">
        <v>11</v>
      </c>
      <c r="Y449" s="84">
        <v>108.32</v>
      </c>
      <c r="Z449" s="84" t="s">
        <v>11</v>
      </c>
      <c r="AA449" s="84" t="s">
        <v>11</v>
      </c>
      <c r="AB449" s="84"/>
      <c r="AC449" s="84">
        <v>139.44</v>
      </c>
      <c r="AD449" s="84"/>
      <c r="AE449" s="46">
        <f t="shared" si="186"/>
        <v>0.28729689807976366</v>
      </c>
      <c r="AF449" s="86" t="s">
        <v>11</v>
      </c>
      <c r="AG449" s="89" t="e">
        <f t="shared" ca="1" si="187"/>
        <v>#VALUE!</v>
      </c>
      <c r="AH449" s="86">
        <v>92.94</v>
      </c>
      <c r="AI449" s="89">
        <f t="shared" si="188"/>
        <v>-0.14198670605612995</v>
      </c>
      <c r="AJ449" s="49" t="str">
        <f t="shared" si="178"/>
        <v>-</v>
      </c>
      <c r="AK449" s="46" t="str">
        <f t="shared" si="179"/>
        <v>-</v>
      </c>
      <c r="AL449" s="83"/>
      <c r="AM449" s="49" t="str">
        <f t="shared" si="180"/>
        <v>-</v>
      </c>
      <c r="AN449" s="148">
        <f t="shared" ca="1" si="189"/>
        <v>0.39134047267356009</v>
      </c>
    </row>
    <row r="450" spans="1:40" ht="16" customHeight="1" x14ac:dyDescent="0.2">
      <c r="A450" s="83" t="e" vm="411">
        <v>#VALUE!</v>
      </c>
      <c r="B450" s="83" t="str" cm="1">
        <f t="array" aca="1" ref="B450" ca="1">_FV(A450,"Ticker symbol",TRUE)</f>
        <v>EVER</v>
      </c>
      <c r="C450" s="236" cm="1">
        <f t="array" aca="1" ref="C450" ca="1">_FV(A450,"Change (%)",TRUE)</f>
        <v>-3.7780000000000001E-3</v>
      </c>
      <c r="D450" s="83" cm="1">
        <f t="array" aca="1" ref="D450" ca="1">_FV(A450,"Price")</f>
        <v>15.82</v>
      </c>
      <c r="E450" s="46"/>
      <c r="F450" s="46"/>
      <c r="G450" s="46"/>
      <c r="H450" s="46"/>
      <c r="I450" s="84">
        <v>24.69</v>
      </c>
      <c r="J450" s="83" cm="1">
        <f t="array" aca="1" ref="J450" ca="1">_FV(A450,"High")</f>
        <v>16.09</v>
      </c>
      <c r="K450" s="83" cm="1">
        <f t="array" aca="1" ref="K450" ca="1">_FV(A450,"Low")</f>
        <v>15.59</v>
      </c>
      <c r="L450" s="75" cm="1">
        <f t="array" aca="1" ref="L450" ca="1">_FV(A450,"52 week high",TRUE)</f>
        <v>28.729900000000001</v>
      </c>
      <c r="M450" s="75">
        <f t="shared" ca="1" si="182"/>
        <v>25.856910000000003</v>
      </c>
      <c r="N450" s="75">
        <f t="shared" ca="1" si="183"/>
        <v>27.293405</v>
      </c>
      <c r="O450" s="75" cm="1">
        <f t="array" aca="1" ref="O450" ca="1">_FV(A450,"52 week low",TRUE)</f>
        <v>13.93</v>
      </c>
      <c r="Q450" s="220">
        <f t="shared" ca="1" si="184"/>
        <v>0</v>
      </c>
      <c r="R450" s="220">
        <f t="shared" ca="1" si="185"/>
        <v>0</v>
      </c>
      <c r="S450" s="83" t="s">
        <v>75</v>
      </c>
      <c r="T450" s="112" t="s">
        <v>78</v>
      </c>
      <c r="U450" s="112"/>
      <c r="V450" s="93">
        <v>45691</v>
      </c>
      <c r="W450" s="94" t="s">
        <v>11</v>
      </c>
      <c r="X450" s="85" t="s">
        <v>11</v>
      </c>
      <c r="Y450" s="84">
        <v>19.22</v>
      </c>
      <c r="Z450" s="84" t="s">
        <v>11</v>
      </c>
      <c r="AA450" s="84" t="s">
        <v>11</v>
      </c>
      <c r="AB450" s="84"/>
      <c r="AC450" s="84">
        <v>24.69</v>
      </c>
      <c r="AD450" s="84"/>
      <c r="AE450" s="46">
        <f t="shared" si="186"/>
        <v>0.28459937565036442</v>
      </c>
      <c r="AF450" s="86" t="s">
        <v>11</v>
      </c>
      <c r="AG450" s="89" t="e">
        <f t="shared" ca="1" si="187"/>
        <v>#VALUE!</v>
      </c>
      <c r="AH450" s="86">
        <v>16.489999999999998</v>
      </c>
      <c r="AI450" s="89">
        <f t="shared" si="188"/>
        <v>-0.14203954214360048</v>
      </c>
      <c r="AJ450" s="49" t="str">
        <f t="shared" si="178"/>
        <v>-</v>
      </c>
      <c r="AK450" s="46" t="str">
        <f t="shared" si="179"/>
        <v>-</v>
      </c>
      <c r="AL450" s="83"/>
      <c r="AM450" s="49" t="str">
        <f t="shared" si="180"/>
        <v>-</v>
      </c>
      <c r="AN450" s="148">
        <f t="shared" ca="1" si="189"/>
        <v>-0.17689906347554629</v>
      </c>
    </row>
    <row r="451" spans="1:40" ht="16" customHeight="1" x14ac:dyDescent="0.2">
      <c r="A451" s="83" t="e" vm="412">
        <v>#VALUE!</v>
      </c>
      <c r="B451" s="83" t="str" cm="1">
        <f t="array" aca="1" ref="B451" ca="1">_FV(A451,"Ticker symbol",TRUE)</f>
        <v>ALFEN</v>
      </c>
      <c r="C451" s="236" cm="1">
        <f t="array" aca="1" ref="C451" ca="1">_FV(A451,"Change (%)",TRUE)</f>
        <v>-5.0330000000000007E-2</v>
      </c>
      <c r="D451" s="83" cm="1">
        <f t="array" aca="1" ref="D451" ca="1">_FV(A451,"Price")</f>
        <v>11.51</v>
      </c>
      <c r="E451" s="46"/>
      <c r="F451" s="46"/>
      <c r="G451" s="46"/>
      <c r="H451" s="46"/>
      <c r="I451" s="84">
        <v>17.39</v>
      </c>
      <c r="J451" s="83" cm="1">
        <f t="array" aca="1" ref="J451" ca="1">_FV(A451,"High")</f>
        <v>12.24</v>
      </c>
      <c r="K451" s="83" cm="1">
        <f t="array" aca="1" ref="K451" ca="1">_FV(A451,"Low")</f>
        <v>11.51</v>
      </c>
      <c r="L451" s="75" cm="1">
        <f t="array" aca="1" ref="L451" ca="1">_FV(A451,"52 week high",TRUE)</f>
        <v>17.84</v>
      </c>
      <c r="M451" s="75">
        <f t="shared" ca="1" si="182"/>
        <v>16.056000000000001</v>
      </c>
      <c r="N451" s="75">
        <f t="shared" ca="1" si="183"/>
        <v>16.948</v>
      </c>
      <c r="O451" s="75" cm="1">
        <f t="array" aca="1" ref="O451" ca="1">_FV(A451,"52 week low",TRUE)</f>
        <v>8.0500000000000007</v>
      </c>
      <c r="Q451" s="220">
        <f t="shared" ca="1" si="184"/>
        <v>0</v>
      </c>
      <c r="R451" s="220">
        <f t="shared" ca="1" si="185"/>
        <v>0</v>
      </c>
      <c r="S451" s="83" t="s">
        <v>166</v>
      </c>
      <c r="T451" s="112" t="s">
        <v>78</v>
      </c>
      <c r="U451" s="112"/>
      <c r="V451" s="93">
        <v>45687</v>
      </c>
      <c r="W451" s="94" t="s">
        <v>11</v>
      </c>
      <c r="X451" s="85" t="s">
        <v>11</v>
      </c>
      <c r="Y451" s="84">
        <v>14.12</v>
      </c>
      <c r="Z451" s="84" t="s">
        <v>11</v>
      </c>
      <c r="AA451" s="84" t="s">
        <v>11</v>
      </c>
      <c r="AB451" s="84"/>
      <c r="AC451" s="84">
        <v>17.39</v>
      </c>
      <c r="AD451" s="84"/>
      <c r="AE451" s="46">
        <f t="shared" si="186"/>
        <v>0.23158640226628902</v>
      </c>
      <c r="AF451" s="86" t="s">
        <v>11</v>
      </c>
      <c r="AG451" s="89" t="e">
        <f t="shared" ca="1" si="187"/>
        <v>#VALUE!</v>
      </c>
      <c r="AH451" s="86">
        <v>12.486000000000001</v>
      </c>
      <c r="AI451" s="89">
        <f t="shared" si="188"/>
        <v>-0.11572237960339937</v>
      </c>
      <c r="AJ451" s="49" t="str">
        <f t="shared" si="178"/>
        <v>-</v>
      </c>
      <c r="AK451" s="46" t="str">
        <f t="shared" si="179"/>
        <v>-</v>
      </c>
      <c r="AL451" s="83"/>
      <c r="AM451" s="49" t="str">
        <f t="shared" si="180"/>
        <v>-</v>
      </c>
      <c r="AN451" s="148">
        <f t="shared" ca="1" si="189"/>
        <v>-0.18484419263456087</v>
      </c>
    </row>
    <row r="452" spans="1:40" ht="16" customHeight="1" x14ac:dyDescent="0.2">
      <c r="A452" s="83" t="e" vm="109">
        <v>#VALUE!</v>
      </c>
      <c r="B452" s="83" t="str" cm="1">
        <f t="array" aca="1" ref="B452" ca="1">_FV(A452,"Ticker symbol",TRUE)</f>
        <v>LDA</v>
      </c>
      <c r="C452" s="236" cm="1">
        <f t="array" aca="1" ref="C452" ca="1">_FV(A452,"Change (%)",TRUE)</f>
        <v>-6.6559999999999996E-3</v>
      </c>
      <c r="D452" s="83" cm="1">
        <f t="array" aca="1" ref="D452" ca="1">_FV(A452,"Price")</f>
        <v>1.194</v>
      </c>
      <c r="E452" s="46"/>
      <c r="F452" s="46"/>
      <c r="G452" s="46"/>
      <c r="H452" s="46"/>
      <c r="I452" s="84">
        <v>1.4</v>
      </c>
      <c r="J452" s="83" cm="1">
        <f t="array" aca="1" ref="J452" ca="1">_FV(A452,"High")</f>
        <v>1.304</v>
      </c>
      <c r="K452" s="83" cm="1">
        <f t="array" aca="1" ref="K452" ca="1">_FV(A452,"Low")</f>
        <v>1.194</v>
      </c>
      <c r="L452" s="75" cm="1">
        <f t="array" aca="1" ref="L452" ca="1">_FV(A452,"52 week high",TRUE)</f>
        <v>1.44</v>
      </c>
      <c r="M452" s="75">
        <f t="shared" ca="1" si="182"/>
        <v>1.296</v>
      </c>
      <c r="N452" s="75">
        <f t="shared" ca="1" si="183"/>
        <v>1.3679999999999999</v>
      </c>
      <c r="O452" s="75" cm="1">
        <f t="array" aca="1" ref="O452" ca="1">_FV(A452,"52 week low",TRUE)</f>
        <v>1.0660000000000001</v>
      </c>
      <c r="Q452" s="220">
        <f t="shared" ca="1" si="184"/>
        <v>0</v>
      </c>
      <c r="R452" s="220">
        <f t="shared" ca="1" si="185"/>
        <v>0</v>
      </c>
      <c r="S452" s="83" t="s">
        <v>166</v>
      </c>
      <c r="T452" s="112" t="s">
        <v>78</v>
      </c>
      <c r="U452" s="112"/>
      <c r="V452" s="93">
        <v>45687</v>
      </c>
      <c r="W452" s="94" t="s">
        <v>11</v>
      </c>
      <c r="X452" s="85" t="s">
        <v>11</v>
      </c>
      <c r="Y452" s="84">
        <v>1.196</v>
      </c>
      <c r="Z452" s="84" t="s">
        <v>11</v>
      </c>
      <c r="AA452" s="84" t="s">
        <v>11</v>
      </c>
      <c r="AB452" s="84"/>
      <c r="AC452" s="84">
        <v>1.4</v>
      </c>
      <c r="AD452" s="84"/>
      <c r="AE452" s="46">
        <f t="shared" si="186"/>
        <v>0.17056856187290959</v>
      </c>
      <c r="AF452" s="86" t="s">
        <v>11</v>
      </c>
      <c r="AG452" s="89" t="e">
        <f t="shared" ca="1" si="187"/>
        <v>#VALUE!</v>
      </c>
      <c r="AH452" s="86">
        <v>1.0940000000000001</v>
      </c>
      <c r="AI452" s="89">
        <f t="shared" si="188"/>
        <v>-8.5284280936454793E-2</v>
      </c>
      <c r="AJ452" s="49" t="str">
        <f t="shared" si="178"/>
        <v>-</v>
      </c>
      <c r="AK452" s="46" t="str">
        <f t="shared" si="179"/>
        <v>-</v>
      </c>
      <c r="AL452" s="83"/>
      <c r="AM452" s="49" t="str">
        <f t="shared" si="180"/>
        <v>-</v>
      </c>
      <c r="AN452" s="148">
        <f t="shared" ca="1" si="189"/>
        <v>-1.6722408026755842E-3</v>
      </c>
    </row>
    <row r="453" spans="1:40" ht="16" customHeight="1" x14ac:dyDescent="0.2">
      <c r="A453" s="83" t="e" vm="413">
        <v>#VALUE!</v>
      </c>
      <c r="B453" s="83" t="str" cm="1">
        <f t="array" aca="1" ref="B453" ca="1">_FV(A453,"Ticker symbol",TRUE)</f>
        <v>AFX</v>
      </c>
      <c r="C453" s="236" cm="1">
        <f t="array" aca="1" ref="C453" ca="1">_FV(A453,"Change (%)",TRUE)</f>
        <v>5.3229999999999996E-3</v>
      </c>
      <c r="D453" s="83" cm="1">
        <f t="array" aca="1" ref="D453" ca="1">_FV(A453,"Price")</f>
        <v>26.44</v>
      </c>
      <c r="E453" s="46"/>
      <c r="F453" s="46"/>
      <c r="G453" s="46"/>
      <c r="H453" s="46"/>
      <c r="I453" s="84">
        <v>69.2</v>
      </c>
      <c r="J453" s="83" cm="1">
        <f t="array" aca="1" ref="J453" ca="1">_FV(A453,"High")</f>
        <v>26.78</v>
      </c>
      <c r="K453" s="83" cm="1">
        <f t="array" aca="1" ref="K453" ca="1">_FV(A453,"Low")</f>
        <v>26.28</v>
      </c>
      <c r="L453" s="75" cm="1">
        <f t="array" aca="1" ref="L453" ca="1">_FV(A453,"52 week high",TRUE)</f>
        <v>66.599999999999994</v>
      </c>
      <c r="M453" s="75">
        <f t="shared" ca="1" si="182"/>
        <v>59.94</v>
      </c>
      <c r="N453" s="75">
        <f t="shared" ca="1" si="183"/>
        <v>63.269999999999989</v>
      </c>
      <c r="O453" s="75" cm="1">
        <f t="array" aca="1" ref="O453" ca="1">_FV(A453,"52 week low",TRUE)</f>
        <v>22.62</v>
      </c>
      <c r="Q453" s="220">
        <f t="shared" ca="1" si="184"/>
        <v>0</v>
      </c>
      <c r="R453" s="220">
        <f t="shared" ca="1" si="185"/>
        <v>0</v>
      </c>
      <c r="S453" s="83" t="s">
        <v>75</v>
      </c>
      <c r="T453" s="112" t="s">
        <v>78</v>
      </c>
      <c r="U453" s="112"/>
      <c r="V453" s="93">
        <v>45716</v>
      </c>
      <c r="W453" s="94" t="s">
        <v>11</v>
      </c>
      <c r="X453" s="85"/>
      <c r="Y453" s="84">
        <v>58.5</v>
      </c>
      <c r="Z453" s="84" t="s">
        <v>11</v>
      </c>
      <c r="AA453" s="84" t="s">
        <v>11</v>
      </c>
      <c r="AB453" s="84"/>
      <c r="AC453" s="84">
        <v>69.2</v>
      </c>
      <c r="AD453" s="84" t="s">
        <v>11</v>
      </c>
      <c r="AE453" s="46">
        <f t="shared" si="186"/>
        <v>0.18290598290598292</v>
      </c>
      <c r="AF453" s="86" t="s">
        <v>11</v>
      </c>
      <c r="AG453" s="89" t="e">
        <f t="shared" ca="1" si="187"/>
        <v>#VALUE!</v>
      </c>
      <c r="AH453" s="86">
        <v>53.2</v>
      </c>
      <c r="AI453" s="89">
        <f t="shared" si="188"/>
        <v>-9.0598290598290498E-2</v>
      </c>
      <c r="AJ453" s="49" t="str">
        <f t="shared" si="178"/>
        <v>-</v>
      </c>
      <c r="AK453" s="46" t="str">
        <f t="shared" si="179"/>
        <v>-</v>
      </c>
      <c r="AL453" s="83"/>
      <c r="AM453" s="49" t="str">
        <f t="shared" si="180"/>
        <v>-</v>
      </c>
      <c r="AN453" s="148">
        <f t="shared" ca="1" si="189"/>
        <v>-0.54803418803418802</v>
      </c>
    </row>
    <row r="454" spans="1:40" ht="16" customHeight="1" x14ac:dyDescent="0.2">
      <c r="A454" s="83" t="e" vm="414">
        <v>#VALUE!</v>
      </c>
      <c r="B454" s="83" t="str" cm="1">
        <f t="array" aca="1" ref="B454" ca="1">_FV(A454,"Ticker symbol",TRUE)</f>
        <v>NKE</v>
      </c>
      <c r="C454" s="236" cm="1">
        <f t="array" aca="1" ref="C454" ca="1">_FV(A454,"Change (%)",TRUE)</f>
        <v>1.0853E-2</v>
      </c>
      <c r="D454" s="83" cm="1">
        <f t="array" aca="1" ref="D454" ca="1">_FV(A454,"Price")</f>
        <v>45.174999999999997</v>
      </c>
      <c r="E454" s="46"/>
      <c r="F454" s="46"/>
      <c r="G454" s="46"/>
      <c r="H454" s="46"/>
      <c r="I454" s="84">
        <v>95.89</v>
      </c>
      <c r="J454" s="83" cm="1">
        <f t="array" aca="1" ref="J454" ca="1">_FV(A454,"High")</f>
        <v>45.41</v>
      </c>
      <c r="K454" s="83" cm="1">
        <f t="array" aca="1" ref="K454" ca="1">_FV(A454,"Low")</f>
        <v>44.49</v>
      </c>
      <c r="L454" s="75" cm="1">
        <f t="array" aca="1" ref="L454" ca="1">_FV(A454,"52 week high",TRUE)</f>
        <v>80.165000000000006</v>
      </c>
      <c r="M454" s="75">
        <f t="shared" ca="1" si="182"/>
        <v>72.148500000000013</v>
      </c>
      <c r="N454" s="75">
        <f t="shared" ca="1" si="183"/>
        <v>76.156750000000002</v>
      </c>
      <c r="O454" s="75" cm="1">
        <f t="array" aca="1" ref="O454" ca="1">_FV(A454,"52 week low",TRUE)</f>
        <v>42.09</v>
      </c>
      <c r="Q454" s="220">
        <f t="shared" ca="1" si="184"/>
        <v>0</v>
      </c>
      <c r="R454" s="220">
        <f t="shared" ca="1" si="185"/>
        <v>0</v>
      </c>
      <c r="S454" s="83" t="s">
        <v>75</v>
      </c>
      <c r="T454" s="112" t="s">
        <v>78</v>
      </c>
      <c r="U454" s="112"/>
      <c r="V454" s="93">
        <v>45708</v>
      </c>
      <c r="W454" s="94" t="s">
        <v>11</v>
      </c>
      <c r="X454" s="85" t="s">
        <v>11</v>
      </c>
      <c r="Y454" s="84">
        <v>77.69</v>
      </c>
      <c r="Z454" s="84" t="s">
        <v>11</v>
      </c>
      <c r="AA454" s="84" t="s">
        <v>11</v>
      </c>
      <c r="AB454" s="84"/>
      <c r="AC454" s="84">
        <v>95.89</v>
      </c>
      <c r="AD454" s="84" t="s">
        <v>11</v>
      </c>
      <c r="AE454" s="46">
        <f t="shared" si="186"/>
        <v>0.23426438409061667</v>
      </c>
      <c r="AF454" s="86" t="s">
        <v>11</v>
      </c>
      <c r="AG454" s="89" t="e">
        <f t="shared" ca="1" si="187"/>
        <v>#VALUE!</v>
      </c>
      <c r="AH454" s="86">
        <v>68.59</v>
      </c>
      <c r="AI454" s="89">
        <f t="shared" si="188"/>
        <v>-0.11713219204530823</v>
      </c>
      <c r="AJ454" s="49" t="str">
        <f t="shared" si="178"/>
        <v>-</v>
      </c>
      <c r="AK454" s="46" t="str">
        <f t="shared" si="179"/>
        <v>-</v>
      </c>
      <c r="AL454" s="83"/>
      <c r="AM454" s="49" t="str">
        <f t="shared" si="180"/>
        <v>-</v>
      </c>
      <c r="AN454" s="148">
        <f t="shared" ca="1" si="189"/>
        <v>-0.41852233234650538</v>
      </c>
    </row>
    <row r="455" spans="1:40" ht="16" customHeight="1" x14ac:dyDescent="0.2">
      <c r="A455" s="83" t="e" vm="415">
        <v>#VALUE!</v>
      </c>
      <c r="B455" s="83" t="str" cm="1">
        <f t="array" aca="1" ref="B455" ca="1">_FV(A455,"Ticker symbol",TRUE)</f>
        <v>SON</v>
      </c>
      <c r="C455" s="236" cm="1">
        <f t="array" aca="1" ref="C455" ca="1">_FV(A455,"Change (%)",TRUE)</f>
        <v>-2.075E-3</v>
      </c>
      <c r="D455" s="83" cm="1">
        <f t="array" aca="1" ref="D455" ca="1">_FV(A455,"Price")</f>
        <v>1.9239999999999999</v>
      </c>
      <c r="E455" s="46"/>
      <c r="F455" s="46"/>
      <c r="G455" s="46"/>
      <c r="H455" s="46"/>
      <c r="I455" s="84">
        <v>1.36</v>
      </c>
      <c r="J455" s="83" cm="1">
        <f t="array" aca="1" ref="J455" ca="1">_FV(A455,"High")</f>
        <v>1.9359999999999999</v>
      </c>
      <c r="K455" s="83" cm="1">
        <f t="array" aca="1" ref="K455" ca="1">_FV(A455,"Low")</f>
        <v>1.9119999999999999</v>
      </c>
      <c r="L455" s="75" cm="1">
        <f t="array" aca="1" ref="L455" ca="1">_FV(A455,"52 week high",TRUE)</f>
        <v>2.08</v>
      </c>
      <c r="M455" s="75">
        <f t="shared" ca="1" si="182"/>
        <v>1.8720000000000001</v>
      </c>
      <c r="N455" s="75">
        <f t="shared" ca="1" si="183"/>
        <v>1.976</v>
      </c>
      <c r="O455" s="75" cm="1">
        <f t="array" aca="1" ref="O455" ca="1">_FV(A455,"52 week low",TRUE)</f>
        <v>1.08</v>
      </c>
      <c r="Q455" s="220">
        <f t="shared" ca="1" si="184"/>
        <v>1</v>
      </c>
      <c r="R455" s="220">
        <f t="shared" ca="1" si="185"/>
        <v>0</v>
      </c>
      <c r="S455" s="83" t="s">
        <v>75</v>
      </c>
      <c r="T455" s="112" t="s">
        <v>26</v>
      </c>
      <c r="U455" s="112"/>
      <c r="V455" s="93">
        <v>45772</v>
      </c>
      <c r="W455" s="94" t="s">
        <v>11</v>
      </c>
      <c r="X455" s="85"/>
      <c r="Y455" s="84">
        <v>1.0900000000000001</v>
      </c>
      <c r="Z455" s="84" t="s">
        <v>11</v>
      </c>
      <c r="AA455" s="84" t="s">
        <v>11</v>
      </c>
      <c r="AB455" s="84"/>
      <c r="AC455" s="84">
        <v>1.36</v>
      </c>
      <c r="AD455" s="84" t="s">
        <v>11</v>
      </c>
      <c r="AE455" s="46">
        <f t="shared" si="186"/>
        <v>0.24770642201834869</v>
      </c>
      <c r="AF455" s="86">
        <v>1.32</v>
      </c>
      <c r="AG455" s="89">
        <f t="shared" ref="AG455:AG461" ca="1" si="190">IF(Z455="-",+AF455/D455-1,AF455/D455-1)</f>
        <v>-0.31392931392931389</v>
      </c>
      <c r="AH455" s="86">
        <v>0.79</v>
      </c>
      <c r="AI455" s="89">
        <f t="shared" si="188"/>
        <v>-0.27522935779816515</v>
      </c>
      <c r="AJ455" s="49" t="str">
        <f t="shared" si="178"/>
        <v>-</v>
      </c>
      <c r="AK455" s="46" t="str">
        <f t="shared" si="179"/>
        <v>-</v>
      </c>
      <c r="AL455" s="83"/>
      <c r="AM455" s="49" t="str">
        <f t="shared" si="180"/>
        <v>-</v>
      </c>
      <c r="AN455" s="148">
        <f t="shared" ca="1" si="189"/>
        <v>0.76513761467889885</v>
      </c>
    </row>
    <row r="456" spans="1:40" ht="16" customHeight="1" x14ac:dyDescent="0.2">
      <c r="A456" s="83" t="e" vm="416">
        <v>#VALUE!</v>
      </c>
      <c r="B456" s="83" t="str" cm="1">
        <f t="array" aca="1" ref="B456" ca="1">_FV(A456,"Ticker symbol",TRUE)</f>
        <v>KER</v>
      </c>
      <c r="C456" s="236" cm="1">
        <f t="array" aca="1" ref="C456" ca="1">_FV(A456,"Change (%)",TRUE)</f>
        <v>1.5413E-2</v>
      </c>
      <c r="D456" s="83" cm="1">
        <f t="array" aca="1" ref="D456" ca="1">_FV(A456,"Price")</f>
        <v>243.75</v>
      </c>
      <c r="E456" s="46"/>
      <c r="F456" s="46"/>
      <c r="G456" s="46"/>
      <c r="H456" s="46"/>
      <c r="I456" s="84">
        <v>213.7</v>
      </c>
      <c r="J456" s="83" cm="1">
        <f t="array" aca="1" ref="J456" ca="1">_FV(A456,"High")</f>
        <v>245.15</v>
      </c>
      <c r="K456" s="83" cm="1">
        <f t="array" aca="1" ref="K456" ca="1">_FV(A456,"Low")</f>
        <v>238.2</v>
      </c>
      <c r="L456" s="75" cm="1">
        <f t="array" aca="1" ref="L456" ca="1">_FV(A456,"52 week high",TRUE)</f>
        <v>354.2</v>
      </c>
      <c r="M456" s="75">
        <f t="shared" ca="1" si="182"/>
        <v>318.77999999999997</v>
      </c>
      <c r="N456" s="75">
        <f t="shared" ca="1" si="183"/>
        <v>336.48999999999995</v>
      </c>
      <c r="O456" s="75" cm="1">
        <f t="array" aca="1" ref="O456" ca="1">_FV(A456,"52 week low",TRUE)</f>
        <v>166.96</v>
      </c>
      <c r="Q456" s="220">
        <f t="shared" ca="1" si="184"/>
        <v>0</v>
      </c>
      <c r="R456" s="220">
        <f t="shared" ca="1" si="185"/>
        <v>0</v>
      </c>
      <c r="S456" s="83" t="s">
        <v>75</v>
      </c>
      <c r="T456" s="112" t="s">
        <v>78</v>
      </c>
      <c r="U456" s="112"/>
      <c r="V456" s="93">
        <v>45761</v>
      </c>
      <c r="W456" s="94" t="s">
        <v>11</v>
      </c>
      <c r="X456" s="85"/>
      <c r="Y456" s="84">
        <v>171.02</v>
      </c>
      <c r="Z456" s="84" t="s">
        <v>11</v>
      </c>
      <c r="AA456" s="84" t="s">
        <v>11</v>
      </c>
      <c r="AB456" s="84"/>
      <c r="AC456" s="84">
        <v>213.7</v>
      </c>
      <c r="AD456" s="84" t="s">
        <v>11</v>
      </c>
      <c r="AE456" s="46">
        <f t="shared" si="186"/>
        <v>0.24956145480060798</v>
      </c>
      <c r="AF456" s="86" t="s">
        <v>11</v>
      </c>
      <c r="AG456" s="89" t="e">
        <f t="shared" ca="1" si="190"/>
        <v>#VALUE!</v>
      </c>
      <c r="AH456" s="86">
        <v>149.68</v>
      </c>
      <c r="AI456" s="89">
        <f t="shared" si="188"/>
        <v>-0.1247807274003041</v>
      </c>
      <c r="AJ456" s="49" t="str">
        <f t="shared" si="178"/>
        <v>-</v>
      </c>
      <c r="AK456" s="46" t="str">
        <f t="shared" si="179"/>
        <v>-</v>
      </c>
      <c r="AL456" s="83"/>
      <c r="AM456" s="49" t="str">
        <f t="shared" si="180"/>
        <v>-</v>
      </c>
      <c r="AN456" s="148">
        <f t="shared" ca="1" si="189"/>
        <v>0.42527189802362297</v>
      </c>
    </row>
    <row r="457" spans="1:40" ht="16" customHeight="1" x14ac:dyDescent="0.2">
      <c r="A457" s="83" t="e" vm="417">
        <v>#VALUE!</v>
      </c>
      <c r="B457" s="83" t="str" cm="1">
        <f t="array" aca="1" ref="B457" ca="1">_FV(A457,"Ticker symbol",TRUE)</f>
        <v>DBX</v>
      </c>
      <c r="C457" s="236" cm="1">
        <f t="array" aca="1" ref="C457" ca="1">_FV(A457,"Change (%)",TRUE)</f>
        <v>-4.5799999999999999E-3</v>
      </c>
      <c r="D457" s="83" cm="1">
        <f t="array" aca="1" ref="D457" ca="1">_FV(A457,"Price")</f>
        <v>23.91</v>
      </c>
      <c r="E457" s="46"/>
      <c r="F457" s="46"/>
      <c r="G457" s="46"/>
      <c r="H457" s="46"/>
      <c r="I457" s="84">
        <v>34.19</v>
      </c>
      <c r="J457" s="83" cm="1">
        <f t="array" aca="1" ref="J457" ca="1">_FV(A457,"High")</f>
        <v>24.414999999999999</v>
      </c>
      <c r="K457" s="83" cm="1">
        <f t="array" aca="1" ref="K457" ca="1">_FV(A457,"Low")</f>
        <v>23.73</v>
      </c>
      <c r="L457" s="75" cm="1">
        <f t="array" aca="1" ref="L457" ca="1">_FV(A457,"52 week high",TRUE)</f>
        <v>32.4</v>
      </c>
      <c r="M457" s="75">
        <f t="shared" ca="1" si="182"/>
        <v>29.16</v>
      </c>
      <c r="N457" s="75">
        <f t="shared" ca="1" si="183"/>
        <v>30.779999999999998</v>
      </c>
      <c r="O457" s="75" cm="1">
        <f t="array" aca="1" ref="O457" ca="1">_FV(A457,"52 week low",TRUE)</f>
        <v>21.695</v>
      </c>
      <c r="Q457" s="220">
        <f t="shared" ca="1" si="184"/>
        <v>0</v>
      </c>
      <c r="R457" s="220">
        <f t="shared" ca="1" si="185"/>
        <v>0</v>
      </c>
      <c r="S457" s="83" t="s">
        <v>75</v>
      </c>
      <c r="T457" s="112" t="s">
        <v>78</v>
      </c>
      <c r="U457" s="112"/>
      <c r="V457" s="93">
        <v>45757</v>
      </c>
      <c r="W457" s="94" t="s">
        <v>11</v>
      </c>
      <c r="X457" s="85"/>
      <c r="Y457" s="84">
        <v>27.51</v>
      </c>
      <c r="Z457" s="84" t="s">
        <v>11</v>
      </c>
      <c r="AA457" s="84" t="s">
        <v>11</v>
      </c>
      <c r="AB457" s="84"/>
      <c r="AC457" s="84">
        <v>34.19</v>
      </c>
      <c r="AD457" s="84" t="s">
        <v>11</v>
      </c>
      <c r="AE457" s="46">
        <f t="shared" si="186"/>
        <v>0.24282079243911281</v>
      </c>
      <c r="AF457" s="86" t="s">
        <v>11</v>
      </c>
      <c r="AG457" s="89" t="e">
        <f t="shared" ca="1" si="190"/>
        <v>#VALUE!</v>
      </c>
      <c r="AH457" s="86">
        <v>24.14</v>
      </c>
      <c r="AI457" s="89">
        <f t="shared" si="188"/>
        <v>-0.12250090876045072</v>
      </c>
      <c r="AJ457" s="49" t="str">
        <f t="shared" si="178"/>
        <v>-</v>
      </c>
      <c r="AK457" s="46" t="str">
        <f t="shared" si="179"/>
        <v>-</v>
      </c>
      <c r="AL457" s="83"/>
      <c r="AM457" s="49" t="str">
        <f t="shared" si="180"/>
        <v>-</v>
      </c>
      <c r="AN457" s="148">
        <f t="shared" ca="1" si="189"/>
        <v>-0.13086150490730653</v>
      </c>
    </row>
    <row r="458" spans="1:40" ht="16" customHeight="1" x14ac:dyDescent="0.2">
      <c r="A458" s="83" t="e" vm="418">
        <v>#VALUE!</v>
      </c>
      <c r="B458" s="83" t="str" cm="1">
        <f t="array" aca="1" ref="B458" ca="1">_FV(A458,"Ticker symbol",TRUE)</f>
        <v>TWLO</v>
      </c>
      <c r="C458" s="236" cm="1">
        <f t="array" aca="1" ref="C458" ca="1">_FV(A458,"Change (%)",TRUE)</f>
        <v>-8.3459999999999993E-3</v>
      </c>
      <c r="D458" s="83" cm="1">
        <f t="array" aca="1" ref="D458" ca="1">_FV(A458,"Price")</f>
        <v>142.59</v>
      </c>
      <c r="E458" s="46">
        <f>AE458</f>
        <v>0.17098796814099293</v>
      </c>
      <c r="F458" s="46"/>
      <c r="G458" s="46"/>
      <c r="H458" s="46"/>
      <c r="I458" s="84">
        <v>138.19999999999999</v>
      </c>
      <c r="J458" s="83" cm="1">
        <f t="array" aca="1" ref="J458" ca="1">_FV(A458,"High")</f>
        <v>144.57</v>
      </c>
      <c r="K458" s="83" cm="1">
        <f t="array" aca="1" ref="K458" ca="1">_FV(A458,"Low")</f>
        <v>140.88999999999999</v>
      </c>
      <c r="L458" s="75" cm="1">
        <f t="array" aca="1" ref="L458" ca="1">_FV(A458,"52 week high",TRUE)</f>
        <v>154.63999999999999</v>
      </c>
      <c r="M458" s="75">
        <f t="shared" ca="1" si="182"/>
        <v>139.17599999999999</v>
      </c>
      <c r="N458" s="75">
        <f t="shared" ca="1" si="183"/>
        <v>146.90799999999999</v>
      </c>
      <c r="O458" s="75" cm="1">
        <f t="array" aca="1" ref="O458" ca="1">_FV(A458,"52 week low",TRUE)</f>
        <v>91.84</v>
      </c>
      <c r="Q458" s="220">
        <f t="shared" ca="1" si="184"/>
        <v>1</v>
      </c>
      <c r="R458" s="220">
        <f t="shared" ca="1" si="185"/>
        <v>0</v>
      </c>
      <c r="S458" s="83" t="s">
        <v>75</v>
      </c>
      <c r="T458" s="112" t="s">
        <v>78</v>
      </c>
      <c r="U458" s="112"/>
      <c r="V458" s="93">
        <v>45806</v>
      </c>
      <c r="W458" s="94" t="s">
        <v>11</v>
      </c>
      <c r="X458" s="85"/>
      <c r="Y458" s="84">
        <v>118.02</v>
      </c>
      <c r="Z458" s="84" t="s">
        <v>11</v>
      </c>
      <c r="AA458" s="84" t="s">
        <v>11</v>
      </c>
      <c r="AB458" s="84"/>
      <c r="AC458" s="84">
        <v>138.19999999999999</v>
      </c>
      <c r="AD458" s="84"/>
      <c r="AE458" s="46">
        <f t="shared" si="186"/>
        <v>0.17098796814099293</v>
      </c>
      <c r="AF458" s="86">
        <v>128.93</v>
      </c>
      <c r="AG458" s="89">
        <f t="shared" ca="1" si="190"/>
        <v>-9.5799144400028013E-2</v>
      </c>
      <c r="AH458" s="86">
        <v>107.94</v>
      </c>
      <c r="AI458" s="89">
        <f t="shared" si="188"/>
        <v>-8.5409252669039093E-2</v>
      </c>
      <c r="AJ458" s="49" t="str">
        <f t="shared" si="178"/>
        <v>-</v>
      </c>
      <c r="AK458" s="46" t="str">
        <f t="shared" si="179"/>
        <v>-</v>
      </c>
      <c r="AL458" s="83"/>
      <c r="AM458" s="49" t="str">
        <f t="shared" si="180"/>
        <v>-</v>
      </c>
      <c r="AN458" s="148">
        <f t="shared" ca="1" si="189"/>
        <v>0.20818505338078297</v>
      </c>
    </row>
    <row r="459" spans="1:40" ht="16" customHeight="1" x14ac:dyDescent="0.2">
      <c r="A459" s="83" t="e" vm="361">
        <v>#VALUE!</v>
      </c>
      <c r="B459" s="83" t="str" cm="1">
        <f t="array" aca="1" ref="B459" ca="1">_FV(A459,"Ticker symbol",TRUE)</f>
        <v>BWXT</v>
      </c>
      <c r="C459" s="236" cm="1">
        <f t="array" aca="1" ref="C459" ca="1">_FV(A459,"Change (%)",TRUE)</f>
        <v>-5.0639999999999999E-3</v>
      </c>
      <c r="D459" s="83" cm="1">
        <f t="array" aca="1" ref="D459" ca="1">_FV(A459,"Price")</f>
        <v>222.02</v>
      </c>
      <c r="E459" s="46">
        <f>AE459</f>
        <v>0.22545947319386817</v>
      </c>
      <c r="F459" s="46"/>
      <c r="G459" s="46"/>
      <c r="H459" s="46"/>
      <c r="I459" s="84">
        <v>144.69</v>
      </c>
      <c r="J459" s="83" cm="1">
        <f t="array" aca="1" ref="J459" ca="1">_FV(A459,"High")</f>
        <v>224</v>
      </c>
      <c r="K459" s="83" cm="1">
        <f t="array" aca="1" ref="K459" ca="1">_FV(A459,"Low")</f>
        <v>217.01599999999999</v>
      </c>
      <c r="L459" s="75" cm="1">
        <f t="array" aca="1" ref="L459" ca="1">_FV(A459,"52 week high",TRUE)</f>
        <v>241.82</v>
      </c>
      <c r="M459" s="75">
        <f t="shared" ca="1" si="182"/>
        <v>217.63800000000001</v>
      </c>
      <c r="N459" s="75">
        <f t="shared" ca="1" si="183"/>
        <v>229.72899999999998</v>
      </c>
      <c r="O459" s="75" cm="1">
        <f t="array" aca="1" ref="O459" ca="1">_FV(A459,"52 week low",TRUE)</f>
        <v>102.42</v>
      </c>
      <c r="Q459" s="220">
        <f t="shared" ca="1" si="184"/>
        <v>1</v>
      </c>
      <c r="R459" s="220">
        <f t="shared" ca="1" si="185"/>
        <v>0</v>
      </c>
      <c r="S459" s="83" t="s">
        <v>75</v>
      </c>
      <c r="T459" s="112" t="s">
        <v>78</v>
      </c>
      <c r="U459" s="112"/>
      <c r="V459" s="93">
        <v>45804</v>
      </c>
      <c r="W459" s="94" t="s">
        <v>11</v>
      </c>
      <c r="X459" s="85"/>
      <c r="Y459" s="84">
        <v>118.07</v>
      </c>
      <c r="Z459" s="84" t="s">
        <v>11</v>
      </c>
      <c r="AA459" s="84" t="s">
        <v>11</v>
      </c>
      <c r="AB459" s="84"/>
      <c r="AC459" s="84">
        <v>144.69</v>
      </c>
      <c r="AD459" s="84"/>
      <c r="AE459" s="46">
        <f t="shared" si="186"/>
        <v>0.22545947319386817</v>
      </c>
      <c r="AF459" s="86">
        <v>134.72999999999999</v>
      </c>
      <c r="AG459" s="89">
        <f t="shared" ca="1" si="190"/>
        <v>-0.39316277812809663</v>
      </c>
      <c r="AH459" s="86">
        <v>104.78</v>
      </c>
      <c r="AI459" s="89">
        <f t="shared" si="188"/>
        <v>-0.11256034555771999</v>
      </c>
      <c r="AJ459" s="49" t="str">
        <f t="shared" si="178"/>
        <v>-</v>
      </c>
      <c r="AK459" s="46" t="str">
        <f t="shared" si="179"/>
        <v>-</v>
      </c>
      <c r="AL459" s="83"/>
      <c r="AM459" s="49" t="str">
        <f t="shared" si="180"/>
        <v>-</v>
      </c>
      <c r="AN459" s="148">
        <f t="shared" ca="1" si="189"/>
        <v>0.88040992631489812</v>
      </c>
    </row>
    <row r="460" spans="1:40" ht="16" customHeight="1" x14ac:dyDescent="0.2">
      <c r="A460" s="83" t="e" vm="419">
        <v>#VALUE!</v>
      </c>
      <c r="B460" s="83" t="str" cm="1">
        <f t="array" aca="1" ref="B460" ca="1">_FV(A460,"Ticker symbol",TRUE)</f>
        <v>SOUN</v>
      </c>
      <c r="C460" s="236" cm="1">
        <f t="array" aca="1" ref="C460" ca="1">_FV(A460,"Change (%)",TRUE)</f>
        <v>-3.663E-3</v>
      </c>
      <c r="D460" s="83" cm="1">
        <f t="array" aca="1" ref="D460" ca="1">_FV(A460,"Price")</f>
        <v>8.16</v>
      </c>
      <c r="E460" s="46">
        <f>AE460</f>
        <v>0.23920265780730898</v>
      </c>
      <c r="F460" s="46"/>
      <c r="G460" s="46"/>
      <c r="H460" s="46"/>
      <c r="I460" s="84">
        <v>11.19</v>
      </c>
      <c r="J460" s="83" cm="1">
        <f t="array" aca="1" ref="J460" ca="1">_FV(A460,"High")</f>
        <v>8.19</v>
      </c>
      <c r="K460" s="83" cm="1">
        <f t="array" aca="1" ref="K460" ca="1">_FV(A460,"Low")</f>
        <v>7.9401000000000002</v>
      </c>
      <c r="L460" s="75" cm="1">
        <f t="array" aca="1" ref="L460" ca="1">_FV(A460,"52 week high",TRUE)</f>
        <v>22.17</v>
      </c>
      <c r="M460" s="75">
        <f t="shared" ca="1" si="182"/>
        <v>19.953000000000003</v>
      </c>
      <c r="N460" s="75">
        <f t="shared" ca="1" si="183"/>
        <v>21.061500000000002</v>
      </c>
      <c r="O460" s="75" cm="1">
        <f t="array" aca="1" ref="O460" ca="1">_FV(A460,"52 week low",TRUE)</f>
        <v>5.83</v>
      </c>
      <c r="Q460" s="220">
        <f t="shared" ca="1" si="184"/>
        <v>0</v>
      </c>
      <c r="R460" s="220">
        <f t="shared" ca="1" si="185"/>
        <v>0</v>
      </c>
      <c r="S460" s="83" t="s">
        <v>75</v>
      </c>
      <c r="T460" s="112" t="s">
        <v>78</v>
      </c>
      <c r="U460" s="112"/>
      <c r="V460" s="93">
        <v>45799</v>
      </c>
      <c r="W460" s="94" t="s">
        <v>11</v>
      </c>
      <c r="X460" s="85"/>
      <c r="Y460" s="84">
        <v>9.0299999999999994</v>
      </c>
      <c r="Z460" s="84" t="s">
        <v>11</v>
      </c>
      <c r="AA460" s="84" t="s">
        <v>11</v>
      </c>
      <c r="AB460" s="84"/>
      <c r="AC460" s="84">
        <v>11.19</v>
      </c>
      <c r="AD460" s="84"/>
      <c r="AE460" s="46">
        <f t="shared" si="186"/>
        <v>0.23920265780730898</v>
      </c>
      <c r="AF460" s="86">
        <v>11.78</v>
      </c>
      <c r="AG460" s="89">
        <f t="shared" ca="1" si="190"/>
        <v>0.44362745098039214</v>
      </c>
      <c r="AH460" s="86">
        <v>7.98</v>
      </c>
      <c r="AI460" s="89">
        <f t="shared" si="188"/>
        <v>-0.11627906976744173</v>
      </c>
      <c r="AJ460" s="49" t="str">
        <f t="shared" si="178"/>
        <v>-</v>
      </c>
      <c r="AK460" s="46" t="str">
        <f t="shared" si="179"/>
        <v>-</v>
      </c>
      <c r="AL460" s="83"/>
      <c r="AM460" s="49" t="str">
        <f t="shared" si="180"/>
        <v>-</v>
      </c>
      <c r="AN460" s="148">
        <f t="shared" ca="1" si="189"/>
        <v>-9.6345514950166078E-2</v>
      </c>
    </row>
    <row r="461" spans="1:40" ht="16" customHeight="1" x14ac:dyDescent="0.2">
      <c r="A461" s="83" t="e" vm="420">
        <v>#VALUE!</v>
      </c>
      <c r="B461" s="83" t="str" cm="1">
        <f t="array" aca="1" ref="B461" ca="1">_FV(A461,"Ticker symbol",TRUE)</f>
        <v>ERG</v>
      </c>
      <c r="C461" s="236" cm="1">
        <f t="array" aca="1" ref="C461" ca="1">_FV(A461,"Change (%)",TRUE)</f>
        <v>-1.4172000000000001E-2</v>
      </c>
      <c r="D461" s="83" cm="1">
        <f t="array" aca="1" ref="D461" ca="1">_FV(A461,"Price")</f>
        <v>22.26</v>
      </c>
      <c r="E461" s="46">
        <f>AE461</f>
        <v>0.16779279279279269</v>
      </c>
      <c r="F461" s="46"/>
      <c r="G461" s="46"/>
      <c r="H461" s="46"/>
      <c r="I461" s="84">
        <v>20.74</v>
      </c>
      <c r="J461" s="83" cm="1">
        <f t="array" aca="1" ref="J461" ca="1">_FV(A461,"High")</f>
        <v>22.98</v>
      </c>
      <c r="K461" s="83" cm="1">
        <f t="array" aca="1" ref="K461" ca="1">_FV(A461,"Low")</f>
        <v>22.02</v>
      </c>
      <c r="L461" s="75" cm="1">
        <f t="array" aca="1" ref="L461" ca="1">_FV(A461,"52 week high",TRUE)</f>
        <v>26.18</v>
      </c>
      <c r="M461" s="75">
        <f t="shared" ca="1" si="182"/>
        <v>23.562000000000001</v>
      </c>
      <c r="N461" s="75">
        <f t="shared" ca="1" si="183"/>
        <v>24.870999999999999</v>
      </c>
      <c r="O461" s="75" cm="1">
        <f t="array" aca="1" ref="O461" ca="1">_FV(A461,"52 week low",TRUE)</f>
        <v>16.72</v>
      </c>
      <c r="Q461" s="220">
        <f t="shared" ca="1" si="184"/>
        <v>0</v>
      </c>
      <c r="R461" s="220">
        <f t="shared" ca="1" si="185"/>
        <v>0</v>
      </c>
      <c r="S461" s="83" t="s">
        <v>166</v>
      </c>
      <c r="T461" s="112" t="s">
        <v>78</v>
      </c>
      <c r="U461" s="112"/>
      <c r="V461" s="93">
        <v>45798</v>
      </c>
      <c r="W461" s="94" t="s">
        <v>11</v>
      </c>
      <c r="X461" s="85"/>
      <c r="Y461" s="84">
        <v>17.760000000000002</v>
      </c>
      <c r="Z461" s="84" t="s">
        <v>11</v>
      </c>
      <c r="AA461" s="84" t="s">
        <v>11</v>
      </c>
      <c r="AB461" s="84"/>
      <c r="AC461" s="84">
        <v>20.74</v>
      </c>
      <c r="AD461" s="84"/>
      <c r="AE461" s="46">
        <f t="shared" si="186"/>
        <v>0.16779279279279269</v>
      </c>
      <c r="AF461" s="86">
        <v>20.7</v>
      </c>
      <c r="AG461" s="89">
        <f t="shared" ca="1" si="190"/>
        <v>-7.0080862533692834E-2</v>
      </c>
      <c r="AH461" s="86">
        <v>16.28</v>
      </c>
      <c r="AI461" s="89">
        <f t="shared" si="188"/>
        <v>-8.333333333333337E-2</v>
      </c>
      <c r="AJ461" s="49" t="str">
        <f t="shared" si="178"/>
        <v>-</v>
      </c>
      <c r="AK461" s="46" t="str">
        <f t="shared" si="179"/>
        <v>-</v>
      </c>
      <c r="AL461" s="83"/>
      <c r="AM461" s="49" t="str">
        <f t="shared" si="180"/>
        <v>-</v>
      </c>
      <c r="AN461" s="148">
        <f t="shared" ca="1" si="189"/>
        <v>0.25337837837837829</v>
      </c>
    </row>
    <row r="462" spans="1:40" ht="16" customHeight="1" x14ac:dyDescent="0.2">
      <c r="A462" s="83" t="e" vm="421">
        <v>#VALUE!</v>
      </c>
      <c r="B462" s="83" t="str" cm="1">
        <f t="array" aca="1" ref="B462" ca="1">_FV(A462,"Ticker symbol",TRUE)</f>
        <v>VRSK</v>
      </c>
      <c r="C462" s="236" cm="1">
        <f t="array" aca="1" ref="C462" ca="1">_FV(A462,"Change (%)",TRUE)</f>
        <v>-1.5146999999999999E-2</v>
      </c>
      <c r="D462" s="83" cm="1">
        <f t="array" aca="1" ref="D462" ca="1">_FV(A462,"Price")</f>
        <v>174.9</v>
      </c>
      <c r="E462" s="46">
        <f t="shared" ref="E462:E469" si="191">AE462</f>
        <v>0.25156445556946183</v>
      </c>
      <c r="F462" s="46"/>
      <c r="G462" s="46"/>
      <c r="H462" s="46"/>
      <c r="I462" s="84">
        <v>400</v>
      </c>
      <c r="J462" s="83" cm="1">
        <f t="array" aca="1" ref="J462" ca="1">_FV(A462,"High")</f>
        <v>180.22</v>
      </c>
      <c r="K462" s="83" cm="1">
        <f t="array" aca="1" ref="K462" ca="1">_FV(A462,"Low")</f>
        <v>174.43</v>
      </c>
      <c r="L462" s="75" cm="1">
        <f t="array" aca="1" ref="L462" ca="1">_FV(A462,"52 week high",TRUE)</f>
        <v>322.92</v>
      </c>
      <c r="M462" s="75">
        <f t="shared" ref="M462:M469" ca="1" si="192">+L462*0.9</f>
        <v>290.62800000000004</v>
      </c>
      <c r="N462" s="75">
        <f t="shared" ref="N462:N469" ca="1" si="193">+L462*0.95</f>
        <v>306.774</v>
      </c>
      <c r="O462" s="75" cm="1">
        <f t="array" aca="1" ref="O462" ca="1">_FV(A462,"52 week low",TRUE)</f>
        <v>161.69999999999999</v>
      </c>
      <c r="Q462" s="220">
        <f t="shared" ref="Q462:Q469" ca="1" si="194">GESTEP(D462,M462)</f>
        <v>0</v>
      </c>
      <c r="R462" s="220">
        <f t="shared" ref="R462:R469" ca="1" si="195">GESTEP(D462,N462)</f>
        <v>0</v>
      </c>
      <c r="S462" s="83" t="s">
        <v>75</v>
      </c>
      <c r="T462" s="112" t="s">
        <v>77</v>
      </c>
      <c r="U462" s="112"/>
      <c r="V462" s="93">
        <v>45814</v>
      </c>
      <c r="W462" s="94" t="s">
        <v>11</v>
      </c>
      <c r="X462" s="85"/>
      <c r="Y462" s="84">
        <v>319.60000000000002</v>
      </c>
      <c r="Z462" s="84" t="s">
        <v>11</v>
      </c>
      <c r="AA462" s="84" t="s">
        <v>11</v>
      </c>
      <c r="AB462" s="84"/>
      <c r="AC462" s="84">
        <v>400</v>
      </c>
      <c r="AD462" s="84"/>
      <c r="AE462" s="46">
        <f t="shared" ref="AE462:AE469" si="196">IF(Z462="-",+AC462/Y462-1,AC462/D462-1)</f>
        <v>0.25156445556946183</v>
      </c>
      <c r="AF462" s="86">
        <v>306.32</v>
      </c>
      <c r="AG462" s="89">
        <f t="shared" ref="AG462:AG469" ca="1" si="197">IF(Z462="-",+AF462/D462-1,AF462/D462-1)</f>
        <v>0.75140080045740421</v>
      </c>
      <c r="AH462" s="86">
        <v>111.89</v>
      </c>
      <c r="AI462" s="89">
        <f t="shared" ref="AI462:AI469" si="198">IF(Z462="-",AH462/Y462-1,+AH462/D462-1)</f>
        <v>-0.6499061326658323</v>
      </c>
      <c r="AJ462" s="49" t="str">
        <f t="shared" ref="AJ462:AJ469" si="199">IF(Z462="-","-",+(D462/Z462)-1)</f>
        <v>-</v>
      </c>
      <c r="AK462" s="46" t="str">
        <f t="shared" ref="AK462:AK469" si="200">IF(AA462="-","-",+(D462/AA462)-1)</f>
        <v>-</v>
      </c>
      <c r="AL462" s="83"/>
      <c r="AM462" s="49" t="str">
        <f t="shared" ref="AM462:AM469" si="201">IF(AL462=0,"-",+AL462/Z462-1)</f>
        <v>-</v>
      </c>
      <c r="AN462" s="148">
        <f t="shared" ref="AN462:AN469" ca="1" si="202">+D462/Y462-1</f>
        <v>-0.45275344180225285</v>
      </c>
    </row>
    <row r="463" spans="1:40" ht="16" customHeight="1" x14ac:dyDescent="0.2">
      <c r="A463" s="83" t="e" vm="422">
        <v>#VALUE!</v>
      </c>
      <c r="B463" s="83" t="str" cm="1">
        <f t="array" aca="1" ref="B463" ca="1">_FV(A463,"Ticker symbol",TRUE)</f>
        <v>OUST</v>
      </c>
      <c r="C463" s="236" cm="1">
        <f t="array" aca="1" ref="C463" ca="1">_FV(A463,"Change (%)",TRUE)</f>
        <v>-4.6066999999999997E-2</v>
      </c>
      <c r="D463" s="83" cm="1">
        <f t="array" aca="1" ref="D463" ca="1">_FV(A463,"Price")</f>
        <v>26.92</v>
      </c>
      <c r="E463" s="46">
        <f t="shared" si="191"/>
        <v>0.2935323383084576</v>
      </c>
      <c r="F463" s="46"/>
      <c r="G463" s="46"/>
      <c r="H463" s="46"/>
      <c r="I463" s="84">
        <v>15.6</v>
      </c>
      <c r="J463" s="83" cm="1">
        <f t="array" aca="1" ref="J463" ca="1">_FV(A463,"High")</f>
        <v>29</v>
      </c>
      <c r="K463" s="83" cm="1">
        <f t="array" aca="1" ref="K463" ca="1">_FV(A463,"Low")</f>
        <v>26.66</v>
      </c>
      <c r="L463" s="75" cm="1">
        <f t="array" aca="1" ref="L463" ca="1">_FV(A463,"52 week high",TRUE)</f>
        <v>41.65</v>
      </c>
      <c r="M463" s="75">
        <f t="shared" ca="1" si="192"/>
        <v>37.484999999999999</v>
      </c>
      <c r="N463" s="75">
        <f t="shared" ca="1" si="193"/>
        <v>39.567499999999995</v>
      </c>
      <c r="O463" s="75" cm="1">
        <f t="array" aca="1" ref="O463" ca="1">_FV(A463,"52 week low",TRUE)</f>
        <v>7.05</v>
      </c>
      <c r="Q463" s="220">
        <f t="shared" ca="1" si="194"/>
        <v>0</v>
      </c>
      <c r="R463" s="220">
        <f t="shared" ca="1" si="195"/>
        <v>0</v>
      </c>
      <c r="S463" s="83" t="s">
        <v>75</v>
      </c>
      <c r="T463" s="112" t="s">
        <v>78</v>
      </c>
      <c r="U463" s="112"/>
      <c r="V463" s="93">
        <v>45806</v>
      </c>
      <c r="W463" s="94" t="s">
        <v>11</v>
      </c>
      <c r="X463" s="85"/>
      <c r="Y463" s="84">
        <v>12.06</v>
      </c>
      <c r="Z463" s="84" t="s">
        <v>11</v>
      </c>
      <c r="AA463" s="84" t="s">
        <v>11</v>
      </c>
      <c r="AB463" s="84"/>
      <c r="AC463" s="84">
        <v>15.6</v>
      </c>
      <c r="AD463" s="84"/>
      <c r="AE463" s="46">
        <f t="shared" si="196"/>
        <v>0.2935323383084576</v>
      </c>
      <c r="AF463" s="86">
        <v>14.28</v>
      </c>
      <c r="AG463" s="89">
        <f t="shared" ca="1" si="197"/>
        <v>-0.46953937592867767</v>
      </c>
      <c r="AH463" s="86">
        <v>10.29</v>
      </c>
      <c r="AI463" s="89">
        <f t="shared" si="198"/>
        <v>-0.14676616915422891</v>
      </c>
      <c r="AJ463" s="49" t="str">
        <f t="shared" si="199"/>
        <v>-</v>
      </c>
      <c r="AK463" s="46" t="str">
        <f t="shared" si="200"/>
        <v>-</v>
      </c>
      <c r="AL463" s="83"/>
      <c r="AM463" s="49" t="str">
        <f t="shared" si="201"/>
        <v>-</v>
      </c>
      <c r="AN463" s="148">
        <f t="shared" ca="1" si="202"/>
        <v>1.232172470978441</v>
      </c>
    </row>
    <row r="464" spans="1:40" ht="16" customHeight="1" x14ac:dyDescent="0.2">
      <c r="A464" s="135" t="e" vm="423">
        <v>#VALUE!</v>
      </c>
      <c r="B464" s="135" t="str" cm="1">
        <f t="array" aca="1" ref="B464" ca="1">_FV(A464,"Ticker symbol",TRUE)</f>
        <v>ABT</v>
      </c>
      <c r="C464" s="218" cm="1">
        <f t="array" aca="1" ref="C464" ca="1">_FV(A464,"Change (%)",TRUE)</f>
        <v>1.8873999999999998E-2</v>
      </c>
      <c r="D464" s="135" cm="1">
        <f t="array" aca="1" ref="D464" ca="1">_FV(A464,"Price")</f>
        <v>92.85</v>
      </c>
      <c r="E464" s="139">
        <f t="shared" si="191"/>
        <v>0.33315793430053375</v>
      </c>
      <c r="F464" s="139"/>
      <c r="G464" s="139"/>
      <c r="H464" s="139"/>
      <c r="I464" s="200">
        <v>177.35</v>
      </c>
      <c r="J464" s="135" cm="1">
        <f t="array" aca="1" ref="J464" ca="1">_FV(A464,"High")</f>
        <v>93.26</v>
      </c>
      <c r="K464" s="135" cm="1">
        <f t="array" aca="1" ref="K464" ca="1">_FV(A464,"Low")</f>
        <v>90.88</v>
      </c>
      <c r="L464" s="152" cm="1">
        <f t="array" aca="1" ref="L464" ca="1">_FV(A464,"52 week high",TRUE)</f>
        <v>139.06</v>
      </c>
      <c r="M464" s="225">
        <f t="shared" ca="1" si="192"/>
        <v>125.15400000000001</v>
      </c>
      <c r="N464" s="226">
        <f t="shared" ca="1" si="193"/>
        <v>132.107</v>
      </c>
      <c r="O464" s="222" cm="1">
        <f t="array" aca="1" ref="O464" ca="1">_FV(A464,"52 week low",TRUE)</f>
        <v>90.72</v>
      </c>
      <c r="P464" s="222"/>
      <c r="Q464" s="228">
        <f t="shared" ca="1" si="194"/>
        <v>0</v>
      </c>
      <c r="R464" s="228">
        <f t="shared" ca="1" si="195"/>
        <v>0</v>
      </c>
      <c r="S464" s="135" t="s">
        <v>75</v>
      </c>
      <c r="T464" s="136" t="s">
        <v>78</v>
      </c>
      <c r="U464" s="215"/>
      <c r="V464" s="137">
        <v>45748</v>
      </c>
      <c r="W464" s="137" t="s">
        <v>11</v>
      </c>
      <c r="X464" s="138"/>
      <c r="Y464" s="200">
        <v>133.03</v>
      </c>
      <c r="Z464" s="135" t="s">
        <v>11</v>
      </c>
      <c r="AA464" s="135" t="s">
        <v>11</v>
      </c>
      <c r="AB464" s="135"/>
      <c r="AC464" s="200">
        <v>177.35</v>
      </c>
      <c r="AD464" s="135"/>
      <c r="AE464" s="139">
        <f t="shared" si="196"/>
        <v>0.33315793430053375</v>
      </c>
      <c r="AF464" s="138">
        <v>19.7</v>
      </c>
      <c r="AG464" s="257">
        <f t="shared" ca="1" si="197"/>
        <v>-0.78782983306408183</v>
      </c>
      <c r="AH464" s="201">
        <v>110.89</v>
      </c>
      <c r="AI464" s="143">
        <f t="shared" si="198"/>
        <v>-0.16642862512215295</v>
      </c>
      <c r="AJ464" s="141" t="str">
        <f t="shared" si="199"/>
        <v>-</v>
      </c>
      <c r="AK464" s="140" t="str">
        <f t="shared" si="200"/>
        <v>-</v>
      </c>
      <c r="AL464" s="135"/>
      <c r="AM464" s="140" t="str">
        <f t="shared" si="201"/>
        <v>-</v>
      </c>
      <c r="AN464" s="28">
        <f t="shared" ca="1" si="202"/>
        <v>-0.30203713448094416</v>
      </c>
    </row>
    <row r="465" spans="1:40" ht="16" customHeight="1" x14ac:dyDescent="0.2">
      <c r="A465" s="135" t="e" vm="424">
        <v>#VALUE!</v>
      </c>
      <c r="B465" s="135" t="str" cm="1">
        <f t="array" aca="1" ref="B465" ca="1">_FV(A465,"Ticker symbol",TRUE)</f>
        <v>MAU</v>
      </c>
      <c r="C465" s="218" cm="1">
        <f t="array" aca="1" ref="C465" ca="1">_FV(A465,"Change (%)",TRUE)</f>
        <v>6.3690000000000005E-3</v>
      </c>
      <c r="D465" s="135" cm="1">
        <f t="array" aca="1" ref="D465" ca="1">_FV(A465,"Price")</f>
        <v>9.48</v>
      </c>
      <c r="E465" s="139">
        <f t="shared" si="191"/>
        <v>0.2530345471521942</v>
      </c>
      <c r="F465" s="139"/>
      <c r="G465" s="139"/>
      <c r="H465" s="139"/>
      <c r="I465" s="200">
        <v>6.71</v>
      </c>
      <c r="J465" s="135" cm="1">
        <f t="array" aca="1" ref="J465" ca="1">_FV(A465,"High")</f>
        <v>9.5950000000000006</v>
      </c>
      <c r="K465" s="135" cm="1">
        <f t="array" aca="1" ref="K465" ca="1">_FV(A465,"Low")</f>
        <v>9.4049999999999994</v>
      </c>
      <c r="L465" s="149" cm="1">
        <f t="array" aca="1" ref="L465" ca="1">_FV(A465,"52 week high",TRUE)</f>
        <v>11.44</v>
      </c>
      <c r="M465" s="225">
        <f t="shared" ca="1" si="192"/>
        <v>10.295999999999999</v>
      </c>
      <c r="N465" s="226">
        <f t="shared" ca="1" si="193"/>
        <v>10.867999999999999</v>
      </c>
      <c r="O465" s="222" cm="1">
        <f t="array" aca="1" ref="O465" ca="1">_FV(A465,"52 week low",TRUE)</f>
        <v>4.32</v>
      </c>
      <c r="P465" s="222"/>
      <c r="Q465" s="228">
        <f t="shared" ca="1" si="194"/>
        <v>0</v>
      </c>
      <c r="R465" s="228">
        <f t="shared" ca="1" si="195"/>
        <v>0</v>
      </c>
      <c r="S465" s="135" t="s">
        <v>75</v>
      </c>
      <c r="T465" s="136" t="s">
        <v>78</v>
      </c>
      <c r="U465" s="215"/>
      <c r="V465" s="137">
        <v>45831</v>
      </c>
      <c r="W465" s="137" t="s">
        <v>11</v>
      </c>
      <c r="X465" s="138"/>
      <c r="Y465" s="200">
        <v>5.3550000000000004</v>
      </c>
      <c r="Z465" s="135" t="s">
        <v>11</v>
      </c>
      <c r="AA465" s="135" t="s">
        <v>11</v>
      </c>
      <c r="AB465" s="135"/>
      <c r="AC465" s="200">
        <v>6.71</v>
      </c>
      <c r="AD465" s="135"/>
      <c r="AE465" s="139">
        <f t="shared" si="196"/>
        <v>0.2530345471521942</v>
      </c>
      <c r="AF465" s="138">
        <v>6.26</v>
      </c>
      <c r="AG465" s="257">
        <f t="shared" ca="1" si="197"/>
        <v>-0.33966244725738404</v>
      </c>
      <c r="AH465" s="201">
        <v>4.6760000000000002</v>
      </c>
      <c r="AI465" s="143">
        <f t="shared" si="198"/>
        <v>-0.12679738562091503</v>
      </c>
      <c r="AJ465" s="141" t="str">
        <f t="shared" si="199"/>
        <v>-</v>
      </c>
      <c r="AK465" s="140" t="str">
        <f t="shared" si="200"/>
        <v>-</v>
      </c>
      <c r="AL465" s="135"/>
      <c r="AM465" s="140" t="str">
        <f t="shared" si="201"/>
        <v>-</v>
      </c>
      <c r="AN465" s="28">
        <f t="shared" ca="1" si="202"/>
        <v>0.77030812324929965</v>
      </c>
    </row>
    <row r="466" spans="1:40" ht="16" customHeight="1" x14ac:dyDescent="0.2">
      <c r="A466" s="135" t="e" vm="425">
        <v>#VALUE!</v>
      </c>
      <c r="B466" s="135" t="str" cm="1">
        <f t="array" aca="1" ref="B466" ca="1">_FV(A466,"Ticker symbol",TRUE)</f>
        <v>MXL</v>
      </c>
      <c r="C466" s="218" cm="1">
        <f t="array" aca="1" ref="C466" ca="1">_FV(A466,"Change (%)",TRUE)</f>
        <v>-0.143733</v>
      </c>
      <c r="D466" s="135" cm="1">
        <f t="array" aca="1" ref="D466" ca="1">_FV(A466,"Price")</f>
        <v>51.65</v>
      </c>
      <c r="E466" s="139">
        <f t="shared" si="191"/>
        <v>0.26606198034769468</v>
      </c>
      <c r="F466" s="139"/>
      <c r="G466" s="139"/>
      <c r="H466" s="139"/>
      <c r="I466" s="200">
        <v>16.75</v>
      </c>
      <c r="J466" s="135" cm="1">
        <f t="array" aca="1" ref="J466" ca="1">_FV(A466,"High")</f>
        <v>61.89</v>
      </c>
      <c r="K466" s="135" cm="1">
        <f t="array" aca="1" ref="K466" ca="1">_FV(A466,"Low")</f>
        <v>50.4</v>
      </c>
      <c r="L466" s="152" cm="1">
        <f t="array" aca="1" ref="L466" ca="1">_FV(A466,"52 week high",TRUE)</f>
        <v>63.52</v>
      </c>
      <c r="M466" s="225">
        <f t="shared" ca="1" si="192"/>
        <v>57.168000000000006</v>
      </c>
      <c r="N466" s="226">
        <f t="shared" ca="1" si="193"/>
        <v>60.344000000000001</v>
      </c>
      <c r="O466" s="222" cm="1">
        <f t="array" aca="1" ref="O466" ca="1">_FV(A466,"52 week low",TRUE)</f>
        <v>9.5250000000000004</v>
      </c>
      <c r="P466" s="222"/>
      <c r="Q466" s="228">
        <f t="shared" ca="1" si="194"/>
        <v>0</v>
      </c>
      <c r="R466" s="228">
        <f t="shared" ca="1" si="195"/>
        <v>0</v>
      </c>
      <c r="S466" s="135" t="s">
        <v>75</v>
      </c>
      <c r="T466" s="136" t="s">
        <v>78</v>
      </c>
      <c r="U466" s="215"/>
      <c r="V466" s="137">
        <v>45831</v>
      </c>
      <c r="W466" s="137" t="s">
        <v>11</v>
      </c>
      <c r="X466" s="138"/>
      <c r="Y466" s="200">
        <v>13.23</v>
      </c>
      <c r="Z466" s="135" t="s">
        <v>11</v>
      </c>
      <c r="AA466" s="135" t="s">
        <v>11</v>
      </c>
      <c r="AB466" s="135"/>
      <c r="AC466" s="200">
        <v>16.75</v>
      </c>
      <c r="AD466" s="135"/>
      <c r="AE466" s="139">
        <f t="shared" si="196"/>
        <v>0.26606198034769468</v>
      </c>
      <c r="AF466" s="138">
        <v>16.18</v>
      </c>
      <c r="AG466" s="257">
        <f t="shared" ca="1" si="197"/>
        <v>-0.68673765730880931</v>
      </c>
      <c r="AH466" s="201">
        <v>11.47</v>
      </c>
      <c r="AI466" s="143">
        <f t="shared" si="198"/>
        <v>-0.13303099017384734</v>
      </c>
      <c r="AJ466" s="141" t="str">
        <f t="shared" si="199"/>
        <v>-</v>
      </c>
      <c r="AK466" s="140" t="str">
        <f t="shared" si="200"/>
        <v>-</v>
      </c>
      <c r="AL466" s="135"/>
      <c r="AM466" s="140" t="str">
        <f t="shared" si="201"/>
        <v>-</v>
      </c>
      <c r="AN466" s="28">
        <f t="shared" ca="1" si="202"/>
        <v>2.9040060468631896</v>
      </c>
    </row>
    <row r="467" spans="1:40" ht="16" customHeight="1" x14ac:dyDescent="0.2">
      <c r="A467" s="135" t="e" vm="426">
        <v>#VALUE!</v>
      </c>
      <c r="B467" s="135" t="str" cm="1">
        <f t="array" aca="1" ref="B467" ca="1">_FV(A467,"Ticker symbol",TRUE)</f>
        <v>DKNG</v>
      </c>
      <c r="C467" s="218" cm="1">
        <f t="array" aca="1" ref="C467" ca="1">_FV(A467,"Change (%)",TRUE)</f>
        <v>1.5099E-2</v>
      </c>
      <c r="D467" s="135" cm="1">
        <f t="array" aca="1" ref="D467" ca="1">_FV(A467,"Price")</f>
        <v>23.53</v>
      </c>
      <c r="E467" s="139">
        <f t="shared" si="191"/>
        <v>0.28268899285890181</v>
      </c>
      <c r="F467" s="139"/>
      <c r="G467" s="139"/>
      <c r="H467" s="139"/>
      <c r="I467" s="200">
        <v>52.09</v>
      </c>
      <c r="J467" s="135" cm="1">
        <f t="array" aca="1" ref="J467" ca="1">_FV(A467,"High")</f>
        <v>23.97</v>
      </c>
      <c r="K467" s="135" cm="1">
        <f t="array" aca="1" ref="K467" ca="1">_FV(A467,"Low")</f>
        <v>22.95</v>
      </c>
      <c r="L467" s="152" cm="1">
        <f t="array" aca="1" ref="L467" ca="1">_FV(A467,"52 week high",TRUE)</f>
        <v>48.78</v>
      </c>
      <c r="M467" s="225">
        <f t="shared" ca="1" si="192"/>
        <v>43.902000000000001</v>
      </c>
      <c r="N467" s="226">
        <f t="shared" ca="1" si="193"/>
        <v>46.341000000000001</v>
      </c>
      <c r="O467" s="222" cm="1">
        <f t="array" aca="1" ref="O467" ca="1">_FV(A467,"52 week low",TRUE)</f>
        <v>20.46</v>
      </c>
      <c r="P467" s="222"/>
      <c r="Q467" s="228">
        <f t="shared" ca="1" si="194"/>
        <v>0</v>
      </c>
      <c r="R467" s="228">
        <f t="shared" ca="1" si="195"/>
        <v>0</v>
      </c>
      <c r="S467" s="135" t="s">
        <v>75</v>
      </c>
      <c r="T467" s="136" t="s">
        <v>78</v>
      </c>
      <c r="U467" s="215"/>
      <c r="V467" s="137">
        <v>45831</v>
      </c>
      <c r="W467" s="137" t="s">
        <v>11</v>
      </c>
      <c r="X467" s="138"/>
      <c r="Y467" s="200">
        <v>40.61</v>
      </c>
      <c r="Z467" s="135" t="s">
        <v>11</v>
      </c>
      <c r="AA467" s="135" t="s">
        <v>11</v>
      </c>
      <c r="AB467" s="135"/>
      <c r="AC467" s="200">
        <v>52.09</v>
      </c>
      <c r="AD467" s="135"/>
      <c r="AE467" s="139">
        <f t="shared" si="196"/>
        <v>0.28268899285890181</v>
      </c>
      <c r="AF467" s="138">
        <v>52.99</v>
      </c>
      <c r="AG467" s="257">
        <f t="shared" ca="1" si="197"/>
        <v>1.2520186995325115</v>
      </c>
      <c r="AH467" s="201">
        <v>34.869999999999997</v>
      </c>
      <c r="AI467" s="143">
        <f t="shared" si="198"/>
        <v>-0.14134449642945091</v>
      </c>
      <c r="AJ467" s="141" t="str">
        <f t="shared" si="199"/>
        <v>-</v>
      </c>
      <c r="AK467" s="140" t="str">
        <f t="shared" si="200"/>
        <v>-</v>
      </c>
      <c r="AL467" s="135"/>
      <c r="AM467" s="140" t="str">
        <f t="shared" si="201"/>
        <v>-</v>
      </c>
      <c r="AN467" s="28">
        <f t="shared" ca="1" si="202"/>
        <v>-0.42058606254617081</v>
      </c>
    </row>
    <row r="468" spans="1:40" ht="16" customHeight="1" x14ac:dyDescent="0.2">
      <c r="A468" s="135" t="e" vm="427">
        <v>#VALUE!</v>
      </c>
      <c r="B468" s="135" t="str" cm="1">
        <f t="array" aca="1" ref="B468" ca="1">_FV(A468,"Ticker symbol",TRUE)</f>
        <v>TKA</v>
      </c>
      <c r="C468" s="218" cm="1">
        <f t="array" aca="1" ref="C468" ca="1">_FV(A468,"Change (%)",TRUE)</f>
        <v>2.2623999999999998E-2</v>
      </c>
      <c r="D468" s="135" cm="1">
        <f t="array" aca="1" ref="D468" ca="1">_FV(A468,"Price")</f>
        <v>9.0399999999999991</v>
      </c>
      <c r="E468" s="139">
        <f t="shared" si="191"/>
        <v>0.19771428571428573</v>
      </c>
      <c r="F468" s="139"/>
      <c r="G468" s="139"/>
      <c r="H468" s="139"/>
      <c r="I468" s="200">
        <v>10.48</v>
      </c>
      <c r="J468" s="135" cm="1">
        <f t="array" aca="1" ref="J468" ca="1">_FV(A468,"High")</f>
        <v>9.0399999999999991</v>
      </c>
      <c r="K468" s="135" cm="1">
        <f t="array" aca="1" ref="K468" ca="1">_FV(A468,"Low")</f>
        <v>8.7520000000000007</v>
      </c>
      <c r="L468" s="149" cm="1">
        <f t="array" aca="1" ref="L468" ca="1">_FV(A468,"52 week high",TRUE)</f>
        <v>26.33</v>
      </c>
      <c r="M468" s="225">
        <f t="shared" ca="1" si="192"/>
        <v>23.696999999999999</v>
      </c>
      <c r="N468" s="226">
        <f t="shared" ca="1" si="193"/>
        <v>25.013499999999997</v>
      </c>
      <c r="O468" s="222" cm="1">
        <f t="array" aca="1" ref="O468" ca="1">_FV(A468,"52 week low",TRUE)</f>
        <v>2.7650000000000001</v>
      </c>
      <c r="P468" s="222"/>
      <c r="Q468" s="228">
        <f t="shared" ca="1" si="194"/>
        <v>0</v>
      </c>
      <c r="R468" s="228">
        <f t="shared" ca="1" si="195"/>
        <v>0</v>
      </c>
      <c r="S468" s="135" t="s">
        <v>75</v>
      </c>
      <c r="T468" s="136" t="s">
        <v>78</v>
      </c>
      <c r="U468" s="215"/>
      <c r="V468" s="137">
        <v>45825</v>
      </c>
      <c r="W468" s="137"/>
      <c r="X468" s="138"/>
      <c r="Y468" s="200">
        <v>8.75</v>
      </c>
      <c r="Z468" s="135" t="s">
        <v>11</v>
      </c>
      <c r="AA468" s="135"/>
      <c r="AB468" s="135"/>
      <c r="AC468" s="200">
        <v>10.48</v>
      </c>
      <c r="AD468" s="135"/>
      <c r="AE468" s="139">
        <f t="shared" si="196"/>
        <v>0.19771428571428573</v>
      </c>
      <c r="AF468" s="138">
        <v>8.76</v>
      </c>
      <c r="AG468" s="257">
        <f t="shared" ca="1" si="197"/>
        <v>-3.0973451327433565E-2</v>
      </c>
      <c r="AH468" s="201">
        <v>7.89</v>
      </c>
      <c r="AI468" s="143">
        <f t="shared" si="198"/>
        <v>-9.828571428571431E-2</v>
      </c>
      <c r="AJ468" s="141" t="str">
        <f t="shared" si="199"/>
        <v>-</v>
      </c>
      <c r="AK468" s="140" t="e">
        <f t="shared" ca="1" si="200"/>
        <v>#DIV/0!</v>
      </c>
      <c r="AL468" s="135"/>
      <c r="AM468" s="140" t="str">
        <f t="shared" si="201"/>
        <v>-</v>
      </c>
      <c r="AN468" s="28">
        <f t="shared" ca="1" si="202"/>
        <v>3.3142857142857141E-2</v>
      </c>
    </row>
    <row r="469" spans="1:40" ht="17" customHeight="1" x14ac:dyDescent="0.2">
      <c r="A469" s="135" t="e" vm="428">
        <v>#VALUE!</v>
      </c>
      <c r="B469" s="135" t="str" cm="1">
        <f t="array" aca="1" ref="B469" ca="1">_FV(A469,"Ticker symbol",TRUE)</f>
        <v>ADM</v>
      </c>
      <c r="C469" s="218" cm="1">
        <f t="array" aca="1" ref="C469" ca="1">_FV(A469,"Change (%)",TRUE)</f>
        <v>1.8922000000000001E-2</v>
      </c>
      <c r="D469" s="135" cm="1">
        <f t="array" aca="1" ref="D469" ca="1">_FV(A469,"Price")</f>
        <v>70.540000000000006</v>
      </c>
      <c r="E469" s="139">
        <f t="shared" si="191"/>
        <v>0.25156445556946183</v>
      </c>
      <c r="F469" s="139"/>
      <c r="G469" s="139"/>
      <c r="H469" s="139"/>
      <c r="I469" s="200">
        <v>400</v>
      </c>
      <c r="J469" s="135" cm="1">
        <f t="array" aca="1" ref="J469" ca="1">_FV(A469,"High")</f>
        <v>70.739999999999995</v>
      </c>
      <c r="K469" s="135" cm="1">
        <f t="array" aca="1" ref="K469" ca="1">_FV(A469,"Low")</f>
        <v>69.260099999999994</v>
      </c>
      <c r="L469" s="152" cm="1">
        <f t="array" aca="1" ref="L469" ca="1">_FV(A469,"52 week high",TRUE)</f>
        <v>74.19</v>
      </c>
      <c r="M469" s="225">
        <f t="shared" ca="1" si="192"/>
        <v>66.771000000000001</v>
      </c>
      <c r="N469" s="226">
        <f t="shared" ca="1" si="193"/>
        <v>70.480499999999992</v>
      </c>
      <c r="O469" s="222" cm="1">
        <f t="array" aca="1" ref="O469" ca="1">_FV(A469,"52 week low",TRUE)</f>
        <v>46.81</v>
      </c>
      <c r="P469" s="222"/>
      <c r="Q469" s="228">
        <f t="shared" ca="1" si="194"/>
        <v>1</v>
      </c>
      <c r="R469" s="228">
        <f t="shared" ca="1" si="195"/>
        <v>1</v>
      </c>
      <c r="S469" s="135" t="s">
        <v>166</v>
      </c>
      <c r="T469" s="136" t="s">
        <v>78</v>
      </c>
      <c r="U469" s="215"/>
      <c r="V469" s="137">
        <v>45824</v>
      </c>
      <c r="W469" s="137" t="s">
        <v>11</v>
      </c>
      <c r="X469" s="138"/>
      <c r="Y469" s="200">
        <v>319.60000000000002</v>
      </c>
      <c r="Z469" s="135" t="s">
        <v>11</v>
      </c>
      <c r="AA469" s="135" t="s">
        <v>11</v>
      </c>
      <c r="AB469" s="135"/>
      <c r="AC469" s="200">
        <v>400</v>
      </c>
      <c r="AD469" s="135"/>
      <c r="AE469" s="139">
        <f t="shared" si="196"/>
        <v>0.25156445556946183</v>
      </c>
      <c r="AF469" s="138">
        <v>306.32</v>
      </c>
      <c r="AG469" s="257">
        <f t="shared" ca="1" si="197"/>
        <v>3.3425007088176919</v>
      </c>
      <c r="AH469" s="201">
        <v>111.89</v>
      </c>
      <c r="AI469" s="143">
        <f t="shared" si="198"/>
        <v>-0.6499061326658323</v>
      </c>
      <c r="AJ469" s="141" t="str">
        <f t="shared" si="199"/>
        <v>-</v>
      </c>
      <c r="AK469" s="140" t="str">
        <f t="shared" si="200"/>
        <v>-</v>
      </c>
      <c r="AL469" s="135"/>
      <c r="AM469" s="140" t="str">
        <f t="shared" si="201"/>
        <v>-</v>
      </c>
      <c r="AN469" s="28">
        <f t="shared" ca="1" si="202"/>
        <v>-0.77928660826032536</v>
      </c>
    </row>
    <row r="470" spans="1:40" ht="16" customHeight="1" x14ac:dyDescent="0.2">
      <c r="A470" s="135" t="e" vm="429">
        <v>#VALUE!</v>
      </c>
      <c r="B470" s="135" t="str" cm="1">
        <f t="array" aca="1" ref="B470" ca="1">_FV(A470,"Ticker symbol",TRUE)</f>
        <v>DECK</v>
      </c>
      <c r="C470" s="218" cm="1">
        <f t="array" aca="1" ref="C470" ca="1">_FV(A470,"Change (%)",TRUE)</f>
        <v>-1.6216999999999999E-2</v>
      </c>
      <c r="D470" s="135" cm="1">
        <f t="array" aca="1" ref="D470" ca="1">_FV(A470,"Price")</f>
        <v>106.77</v>
      </c>
      <c r="E470" s="139">
        <f t="shared" ref="E470:E488" ca="1" si="203">AE470</f>
        <v>-0.36545846211482624</v>
      </c>
      <c r="F470" s="139"/>
      <c r="G470" s="139"/>
      <c r="H470" s="139"/>
      <c r="I470" s="200">
        <v>67.75</v>
      </c>
      <c r="J470" s="135" cm="1">
        <f t="array" aca="1" ref="J470" ca="1">_FV(A470,"High")</f>
        <v>109.15</v>
      </c>
      <c r="K470" s="135" cm="1">
        <f t="array" aca="1" ref="K470" ca="1">_FV(A470,"Low")</f>
        <v>106.56</v>
      </c>
      <c r="L470" s="152" cm="1">
        <f t="array" aca="1" ref="L470" ca="1">_FV(A470,"52 week high",TRUE)</f>
        <v>133.43</v>
      </c>
      <c r="M470" s="225">
        <f t="shared" ref="M470:M488" ca="1" si="204">+L470*0.9</f>
        <v>120.087</v>
      </c>
      <c r="N470" s="226">
        <f t="shared" ref="N470:N488" ca="1" si="205">+L470*0.95</f>
        <v>126.7585</v>
      </c>
      <c r="O470" s="222" cm="1">
        <f t="array" aca="1" ref="O470" ca="1">_FV(A470,"52 week low",TRUE)</f>
        <v>78.91</v>
      </c>
      <c r="P470" s="222"/>
      <c r="Q470" s="228">
        <f t="shared" ref="Q470:Q488" ca="1" si="206">GESTEP(D470,M470)</f>
        <v>0</v>
      </c>
      <c r="R470" s="228">
        <f t="shared" ref="R470:R488" ca="1" si="207">GESTEP(D470,N470)</f>
        <v>0</v>
      </c>
      <c r="S470" s="135" t="s">
        <v>166</v>
      </c>
      <c r="T470" s="136" t="s">
        <v>78</v>
      </c>
      <c r="U470" s="215"/>
      <c r="V470" s="137">
        <v>45865</v>
      </c>
      <c r="W470" s="137"/>
      <c r="X470" s="138"/>
      <c r="Y470" s="200">
        <v>52.15</v>
      </c>
      <c r="Z470" s="135"/>
      <c r="AA470" s="135"/>
      <c r="AB470" s="135"/>
      <c r="AC470" s="200">
        <v>67.75</v>
      </c>
      <c r="AD470" s="135"/>
      <c r="AE470" s="139">
        <f t="shared" ref="AE470:AE486" ca="1" si="208">IF(Z470="-",+AC470/Y470-1,AC470/D470-1)</f>
        <v>-0.36545846211482624</v>
      </c>
      <c r="AF470" s="138">
        <v>15.43</v>
      </c>
      <c r="AG470" s="257">
        <f t="shared" ref="AG470:AG488" ca="1" si="209">IF(Z470="-",+AF470/D470-1,AF470/D470-1)</f>
        <v>-0.85548375011707412</v>
      </c>
      <c r="AH470" s="201">
        <v>45.36</v>
      </c>
      <c r="AI470" s="143">
        <f t="shared" ref="AI470:AI488" ca="1" si="210">IF(Z470="-",AH470/Y470-1,+AH470/D470-1)</f>
        <v>-0.57516156223658332</v>
      </c>
      <c r="AJ470" s="141" t="e">
        <f t="shared" ref="AJ470:AJ488" ca="1" si="211">IF(Z470="-","-",+(D470/Z470)-1)</f>
        <v>#DIV/0!</v>
      </c>
      <c r="AK470" s="140" t="e">
        <f t="shared" ref="AK470:AK488" ca="1" si="212">IF(AA470="-","-",+(D470/AA470)-1)</f>
        <v>#DIV/0!</v>
      </c>
      <c r="AL470" s="135"/>
      <c r="AM470" s="140" t="str">
        <f t="shared" ref="AM470:AM488" si="213">IF(AL470=0,"-",+AL470/Z470-1)</f>
        <v>-</v>
      </c>
      <c r="AN470" s="28">
        <f t="shared" ref="AN470:AN488" ca="1" si="214">+D470/Y470-1</f>
        <v>1.0473633748801534</v>
      </c>
    </row>
    <row r="471" spans="1:40" ht="16" customHeight="1" x14ac:dyDescent="0.2">
      <c r="A471" s="135" t="e" vm="430">
        <v>#VALUE!</v>
      </c>
      <c r="B471" s="135" t="str" cm="1">
        <f t="array" aca="1" ref="B471" ca="1">_FV(A471,"Ticker symbol",TRUE)</f>
        <v>RXRX</v>
      </c>
      <c r="C471" s="218" cm="1">
        <f t="array" aca="1" ref="C471" ca="1">_FV(A471,"Change (%)",TRUE)</f>
        <v>-8.5470000000000008E-3</v>
      </c>
      <c r="D471" s="135" cm="1">
        <f t="array" aca="1" ref="D471" ca="1">_FV(A471,"Price")</f>
        <v>3.48</v>
      </c>
      <c r="E471" s="139">
        <f t="shared" ca="1" si="203"/>
        <v>18.4683908045977</v>
      </c>
      <c r="F471" s="139"/>
      <c r="G471" s="139"/>
      <c r="H471" s="139"/>
      <c r="I471" s="200">
        <v>67.75</v>
      </c>
      <c r="J471" s="135" cm="1">
        <f t="array" aca="1" ref="J471" ca="1">_FV(A471,"High")</f>
        <v>3.59</v>
      </c>
      <c r="K471" s="135" cm="1">
        <f t="array" aca="1" ref="K471" ca="1">_FV(A471,"Low")</f>
        <v>3.44</v>
      </c>
      <c r="L471" s="152" cm="1">
        <f t="array" aca="1" ref="L471" ca="1">_FV(A471,"52 week high",TRUE)</f>
        <v>7.18</v>
      </c>
      <c r="M471" s="225">
        <f t="shared" ca="1" si="204"/>
        <v>6.4619999999999997</v>
      </c>
      <c r="N471" s="226">
        <f t="shared" ca="1" si="205"/>
        <v>6.8209999999999997</v>
      </c>
      <c r="O471" s="222" cm="1">
        <f t="array" aca="1" ref="O471" ca="1">_FV(A471,"52 week low",TRUE)</f>
        <v>2.8</v>
      </c>
      <c r="P471" s="222"/>
      <c r="Q471" s="228">
        <f t="shared" ca="1" si="206"/>
        <v>0</v>
      </c>
      <c r="R471" s="228">
        <f t="shared" ca="1" si="207"/>
        <v>0</v>
      </c>
      <c r="S471" s="135" t="s">
        <v>166</v>
      </c>
      <c r="T471" s="136" t="s">
        <v>78</v>
      </c>
      <c r="U471" s="215"/>
      <c r="V471" s="137">
        <v>45865</v>
      </c>
      <c r="W471" s="137"/>
      <c r="X471" s="138"/>
      <c r="Y471" s="200">
        <v>52.15</v>
      </c>
      <c r="Z471" s="135"/>
      <c r="AA471" s="135"/>
      <c r="AB471" s="135"/>
      <c r="AC471" s="200">
        <v>67.75</v>
      </c>
      <c r="AD471" s="135"/>
      <c r="AE471" s="139">
        <f t="shared" ca="1" si="208"/>
        <v>18.4683908045977</v>
      </c>
      <c r="AF471" s="138">
        <v>16.43</v>
      </c>
      <c r="AG471" s="257">
        <f t="shared" ca="1" si="209"/>
        <v>3.7212643678160919</v>
      </c>
      <c r="AH471" s="201">
        <v>46.36</v>
      </c>
      <c r="AI471" s="143">
        <f t="shared" ca="1" si="210"/>
        <v>12.321839080459769</v>
      </c>
      <c r="AJ471" s="141" t="e">
        <f t="shared" ca="1" si="211"/>
        <v>#DIV/0!</v>
      </c>
      <c r="AK471" s="140" t="e">
        <f t="shared" ca="1" si="212"/>
        <v>#DIV/0!</v>
      </c>
      <c r="AL471" s="135"/>
      <c r="AM471" s="140" t="str">
        <f t="shared" si="213"/>
        <v>-</v>
      </c>
      <c r="AN471" s="28">
        <f t="shared" ca="1" si="214"/>
        <v>-0.93326941514860984</v>
      </c>
    </row>
    <row r="472" spans="1:40" ht="16" customHeight="1" x14ac:dyDescent="0.2">
      <c r="A472" s="135" t="e" vm="431">
        <v>#VALUE!</v>
      </c>
      <c r="B472" s="135" t="str" cm="1">
        <f t="array" aca="1" ref="B472" ca="1">_FV(A472,"Ticker symbol",TRUE)</f>
        <v>SNA</v>
      </c>
      <c r="C472" s="218" cm="1">
        <f t="array" aca="1" ref="C472" ca="1">_FV(A472,"Change (%)",TRUE)</f>
        <v>1.5987999999999999E-2</v>
      </c>
      <c r="D472" s="135" cm="1">
        <f t="array" aca="1" ref="D472" ca="1">_FV(A472,"Price")</f>
        <v>384.47</v>
      </c>
      <c r="E472" s="139">
        <f t="shared" ca="1" si="203"/>
        <v>6.975836866335472E-2</v>
      </c>
      <c r="F472" s="139"/>
      <c r="G472" s="139"/>
      <c r="H472" s="139"/>
      <c r="I472" s="200">
        <v>411.29</v>
      </c>
      <c r="J472" s="135" cm="1">
        <f t="array" aca="1" ref="J472" ca="1">_FV(A472,"High")</f>
        <v>387.03</v>
      </c>
      <c r="K472" s="135" cm="1">
        <f t="array" aca="1" ref="K472" ca="1">_FV(A472,"Low")</f>
        <v>375.18</v>
      </c>
      <c r="L472" s="152" cm="1">
        <f t="array" aca="1" ref="L472" ca="1">_FV(A472,"52 week high",TRUE)</f>
        <v>400.88</v>
      </c>
      <c r="M472" s="225">
        <f t="shared" ca="1" si="204"/>
        <v>360.79200000000003</v>
      </c>
      <c r="N472" s="226">
        <f t="shared" ca="1" si="205"/>
        <v>380.83599999999996</v>
      </c>
      <c r="O472" s="222" cm="1">
        <f t="array" aca="1" ref="O472" ca="1">_FV(A472,"52 week low",TRUE)</f>
        <v>301.76</v>
      </c>
      <c r="P472" s="222"/>
      <c r="Q472" s="228">
        <f t="shared" ca="1" si="206"/>
        <v>1</v>
      </c>
      <c r="R472" s="228">
        <f t="shared" ca="1" si="207"/>
        <v>1</v>
      </c>
      <c r="S472" s="135" t="s">
        <v>75</v>
      </c>
      <c r="T472" s="136" t="s">
        <v>78</v>
      </c>
      <c r="U472" s="215"/>
      <c r="V472" s="137">
        <v>45859</v>
      </c>
      <c r="W472" s="137"/>
      <c r="X472" s="138"/>
      <c r="Y472" s="200">
        <v>337.01</v>
      </c>
      <c r="Z472" s="135"/>
      <c r="AA472" s="135"/>
      <c r="AB472" s="135"/>
      <c r="AC472" s="200">
        <v>411.29</v>
      </c>
      <c r="AD472" s="135"/>
      <c r="AE472" s="139">
        <f t="shared" ca="1" si="208"/>
        <v>6.975836866335472E-2</v>
      </c>
      <c r="AF472" s="138">
        <v>327.17</v>
      </c>
      <c r="AG472" s="257">
        <f t="shared" ca="1" si="209"/>
        <v>-0.14903633573490782</v>
      </c>
      <c r="AH472" s="201">
        <v>299.88</v>
      </c>
      <c r="AI472" s="143">
        <f t="shared" ca="1" si="210"/>
        <v>-0.22001716648893288</v>
      </c>
      <c r="AJ472" s="141" t="e">
        <f t="shared" ca="1" si="211"/>
        <v>#DIV/0!</v>
      </c>
      <c r="AK472" s="140" t="e">
        <f t="shared" ca="1" si="212"/>
        <v>#DIV/0!</v>
      </c>
      <c r="AL472" s="135"/>
      <c r="AM472" s="140" t="str">
        <f t="shared" si="213"/>
        <v>-</v>
      </c>
      <c r="AN472" s="28">
        <f t="shared" ca="1" si="214"/>
        <v>0.1408266817008399</v>
      </c>
    </row>
    <row r="473" spans="1:40" ht="16" customHeight="1" x14ac:dyDescent="0.2">
      <c r="A473" s="135" t="e" vm="432">
        <v>#VALUE!</v>
      </c>
      <c r="B473" s="135" t="str" cm="1">
        <f t="array" aca="1" ref="B473" ca="1">_FV(A473,"Ticker symbol",TRUE)</f>
        <v>PEP</v>
      </c>
      <c r="C473" s="218" cm="1">
        <f t="array" aca="1" ref="C473" ca="1">_FV(A473,"Change (%)",TRUE)</f>
        <v>-8.6210000000000002E-3</v>
      </c>
      <c r="D473" s="135" cm="1">
        <f t="array" aca="1" ref="D473" ca="1">_FV(A473,"Price")</f>
        <v>154.1</v>
      </c>
      <c r="E473" s="139">
        <f t="shared" ca="1" si="203"/>
        <v>0.10830629461388708</v>
      </c>
      <c r="F473" s="139"/>
      <c r="G473" s="139"/>
      <c r="H473" s="139"/>
      <c r="I473" s="200">
        <v>170.79</v>
      </c>
      <c r="J473" s="135" cm="1">
        <f t="array" aca="1" ref="J473" ca="1">_FV(A473,"High")</f>
        <v>156.65</v>
      </c>
      <c r="K473" s="135" cm="1">
        <f t="array" aca="1" ref="K473" ca="1">_FV(A473,"Low")</f>
        <v>154</v>
      </c>
      <c r="L473" s="152" cm="1">
        <f t="array" aca="1" ref="L473" ca="1">_FV(A473,"52 week high",TRUE)</f>
        <v>171.48</v>
      </c>
      <c r="M473" s="225">
        <f t="shared" ca="1" si="204"/>
        <v>154.33199999999999</v>
      </c>
      <c r="N473" s="226">
        <f t="shared" ca="1" si="205"/>
        <v>162.90599999999998</v>
      </c>
      <c r="O473" s="222" cm="1">
        <f t="array" aca="1" ref="O473" ca="1">_FV(A473,"52 week low",TRUE)</f>
        <v>127.6</v>
      </c>
      <c r="P473" s="222"/>
      <c r="Q473" s="228">
        <f t="shared" ca="1" si="206"/>
        <v>0</v>
      </c>
      <c r="R473" s="228">
        <f t="shared" ca="1" si="207"/>
        <v>0</v>
      </c>
      <c r="S473" s="135" t="s">
        <v>75</v>
      </c>
      <c r="T473" s="136" t="s">
        <v>78</v>
      </c>
      <c r="U473" s="215"/>
      <c r="V473" s="137">
        <v>45859</v>
      </c>
      <c r="W473" s="137"/>
      <c r="X473" s="138"/>
      <c r="Y473" s="200">
        <v>143.51</v>
      </c>
      <c r="Z473" s="135"/>
      <c r="AA473" s="135"/>
      <c r="AB473" s="135"/>
      <c r="AC473" s="200">
        <v>170.79</v>
      </c>
      <c r="AD473" s="135"/>
      <c r="AE473" s="139">
        <f t="shared" ca="1" si="208"/>
        <v>0.10830629461388708</v>
      </c>
      <c r="AF473" s="138">
        <v>153.97</v>
      </c>
      <c r="AG473" s="257">
        <f t="shared" ca="1" si="209"/>
        <v>-8.4360804672289902E-4</v>
      </c>
      <c r="AH473" s="201">
        <v>129.88</v>
      </c>
      <c r="AI473" s="143">
        <f t="shared" ca="1" si="210"/>
        <v>-0.15717066839714466</v>
      </c>
      <c r="AJ473" s="141" t="e">
        <f t="shared" ca="1" si="211"/>
        <v>#DIV/0!</v>
      </c>
      <c r="AK473" s="140" t="e">
        <f t="shared" ca="1" si="212"/>
        <v>#DIV/0!</v>
      </c>
      <c r="AL473" s="135"/>
      <c r="AM473" s="140" t="str">
        <f t="shared" si="213"/>
        <v>-</v>
      </c>
      <c r="AN473" s="28">
        <f t="shared" ca="1" si="214"/>
        <v>7.3792767054560615E-2</v>
      </c>
    </row>
    <row r="474" spans="1:40" ht="16" customHeight="1" x14ac:dyDescent="0.2">
      <c r="A474" s="135" t="e" vm="14">
        <v>#VALUE!</v>
      </c>
      <c r="B474" s="135" t="str" cm="1">
        <f t="array" aca="1" ref="B474" ca="1">_FV(A474,"Ticker symbol",TRUE)</f>
        <v>ALO</v>
      </c>
      <c r="C474" s="218" cm="1">
        <f t="array" aca="1" ref="C474" ca="1">_FV(A474,"Change (%)",TRUE)</f>
        <v>-1.2107000000000001E-2</v>
      </c>
      <c r="D474" s="135" cm="1">
        <f t="array" aca="1" ref="D474" ca="1">_FV(A474,"Price")</f>
        <v>16.32</v>
      </c>
      <c r="E474" s="139">
        <f t="shared" ca="1" si="203"/>
        <v>0.50980392156862742</v>
      </c>
      <c r="F474" s="139"/>
      <c r="G474" s="139"/>
      <c r="H474" s="139"/>
      <c r="I474" s="200">
        <v>24.64</v>
      </c>
      <c r="J474" s="135" cm="1">
        <f t="array" aca="1" ref="J474" ca="1">_FV(A474,"High")</f>
        <v>16.93</v>
      </c>
      <c r="K474" s="135" cm="1">
        <f t="array" aca="1" ref="K474" ca="1">_FV(A474,"Low")</f>
        <v>16.22</v>
      </c>
      <c r="L474" s="149" cm="1">
        <f t="array" aca="1" ref="L474" ca="1">_FV(A474,"52 week high",TRUE)</f>
        <v>30.23</v>
      </c>
      <c r="M474" s="225">
        <f t="shared" ca="1" si="204"/>
        <v>27.207000000000001</v>
      </c>
      <c r="N474" s="226">
        <f t="shared" ca="1" si="205"/>
        <v>28.718499999999999</v>
      </c>
      <c r="O474" s="222" cm="1">
        <f t="array" aca="1" ref="O474" ca="1">_FV(A474,"52 week low",TRUE)</f>
        <v>14.72</v>
      </c>
      <c r="P474" s="222"/>
      <c r="Q474" s="228">
        <f t="shared" ca="1" si="206"/>
        <v>0</v>
      </c>
      <c r="R474" s="228">
        <f t="shared" ca="1" si="207"/>
        <v>0</v>
      </c>
      <c r="S474" s="135" t="s">
        <v>166</v>
      </c>
      <c r="T474" s="136" t="s">
        <v>78</v>
      </c>
      <c r="U474" s="215"/>
      <c r="V474" s="137">
        <v>45859</v>
      </c>
      <c r="W474" s="137"/>
      <c r="X474" s="138"/>
      <c r="Y474" s="200">
        <v>20.84</v>
      </c>
      <c r="Z474" s="135"/>
      <c r="AA474" s="135"/>
      <c r="AB474" s="135"/>
      <c r="AC474" s="200">
        <v>24.64</v>
      </c>
      <c r="AD474" s="135"/>
      <c r="AE474" s="139">
        <f t="shared" ca="1" si="208"/>
        <v>0.50980392156862742</v>
      </c>
      <c r="AF474" s="138">
        <v>27.94</v>
      </c>
      <c r="AG474" s="257">
        <f t="shared" ca="1" si="209"/>
        <v>0.71200980392156876</v>
      </c>
      <c r="AH474" s="201">
        <v>18.940000000000001</v>
      </c>
      <c r="AI474" s="143">
        <f t="shared" ca="1" si="210"/>
        <v>0.16053921568627461</v>
      </c>
      <c r="AJ474" s="141" t="e">
        <f t="shared" ca="1" si="211"/>
        <v>#DIV/0!</v>
      </c>
      <c r="AK474" s="140" t="e">
        <f t="shared" ca="1" si="212"/>
        <v>#DIV/0!</v>
      </c>
      <c r="AL474" s="135"/>
      <c r="AM474" s="140" t="str">
        <f t="shared" si="213"/>
        <v>-</v>
      </c>
      <c r="AN474" s="28">
        <f t="shared" ca="1" si="214"/>
        <v>-0.21689059500959695</v>
      </c>
    </row>
    <row r="475" spans="1:40" ht="16" customHeight="1" x14ac:dyDescent="0.2">
      <c r="A475" s="135" t="e" vm="350">
        <v>#VALUE!</v>
      </c>
      <c r="B475" s="135" t="str" cm="1">
        <f t="array" aca="1" ref="B475" ca="1">_FV(A475,"Ticker symbol",TRUE)</f>
        <v>RACE</v>
      </c>
      <c r="C475" s="218" cm="1">
        <f t="array" aca="1" ref="C475" ca="1">_FV(A475,"Change (%)",TRUE)</f>
        <v>-1.1516999999999999E-2</v>
      </c>
      <c r="D475" s="135" cm="1">
        <f t="array" aca="1" ref="D475" ca="1">_FV(A475,"Price")</f>
        <v>296.10000000000002</v>
      </c>
      <c r="E475" s="139">
        <f t="shared" ca="1" si="203"/>
        <v>0.62749071259709543</v>
      </c>
      <c r="F475" s="139"/>
      <c r="G475" s="139"/>
      <c r="H475" s="139"/>
      <c r="I475" s="200">
        <v>481.9</v>
      </c>
      <c r="J475" s="135" cm="1">
        <f t="array" aca="1" ref="J475" ca="1">_FV(A475,"High")</f>
        <v>300.05</v>
      </c>
      <c r="K475" s="135" cm="1">
        <f t="array" aca="1" ref="K475" ca="1">_FV(A475,"Low")</f>
        <v>296.10000000000002</v>
      </c>
      <c r="L475" s="149" cm="1">
        <f t="array" aca="1" ref="L475" ca="1">_FV(A475,"52 week high",TRUE)</f>
        <v>449.8</v>
      </c>
      <c r="M475" s="225">
        <f t="shared" ca="1" si="204"/>
        <v>404.82</v>
      </c>
      <c r="N475" s="226">
        <f t="shared" ca="1" si="205"/>
        <v>427.31</v>
      </c>
      <c r="O475" s="222" cm="1">
        <f t="array" aca="1" ref="O475" ca="1">_FV(A475,"52 week low",TRUE)</f>
        <v>269</v>
      </c>
      <c r="P475" s="222"/>
      <c r="Q475" s="228">
        <f t="shared" ca="1" si="206"/>
        <v>0</v>
      </c>
      <c r="R475" s="228">
        <f t="shared" ca="1" si="207"/>
        <v>0</v>
      </c>
      <c r="S475" s="135" t="s">
        <v>166</v>
      </c>
      <c r="T475" s="136" t="s">
        <v>78</v>
      </c>
      <c r="U475" s="215"/>
      <c r="V475" s="137">
        <v>45855</v>
      </c>
      <c r="W475" s="137"/>
      <c r="X475" s="138"/>
      <c r="Y475" s="200">
        <v>430.5</v>
      </c>
      <c r="Z475" s="135"/>
      <c r="AA475" s="135"/>
      <c r="AB475" s="135"/>
      <c r="AC475" s="200">
        <v>481.9</v>
      </c>
      <c r="AD475" s="135"/>
      <c r="AE475" s="139">
        <f t="shared" ca="1" si="208"/>
        <v>0.62749071259709543</v>
      </c>
      <c r="AF475" s="138">
        <v>15.43</v>
      </c>
      <c r="AG475" s="257">
        <f t="shared" ca="1" si="209"/>
        <v>-0.94788922661263086</v>
      </c>
      <c r="AH475" s="201">
        <v>404.9</v>
      </c>
      <c r="AI475" s="143">
        <f t="shared" ca="1" si="210"/>
        <v>0.36744343127321843</v>
      </c>
      <c r="AJ475" s="141" t="e">
        <f t="shared" ca="1" si="211"/>
        <v>#DIV/0!</v>
      </c>
      <c r="AK475" s="140" t="e">
        <f t="shared" ca="1" si="212"/>
        <v>#DIV/0!</v>
      </c>
      <c r="AL475" s="135"/>
      <c r="AM475" s="140" t="str">
        <f t="shared" si="213"/>
        <v>-</v>
      </c>
      <c r="AN475" s="28">
        <f t="shared" ca="1" si="214"/>
        <v>-0.31219512195121946</v>
      </c>
    </row>
    <row r="476" spans="1:40" ht="16" customHeight="1" x14ac:dyDescent="0.2">
      <c r="A476" s="135" t="e" vm="433">
        <v>#VALUE!</v>
      </c>
      <c r="B476" s="135" t="str" cm="1">
        <f t="array" aca="1" ref="B476" ca="1">_FV(A476,"Ticker symbol",TRUE)</f>
        <v>RCO</v>
      </c>
      <c r="C476" s="218" cm="1">
        <f t="array" aca="1" ref="C476" ca="1">_FV(A476,"Change (%)",TRUE)</f>
        <v>-1.4771000000000001E-2</v>
      </c>
      <c r="D476" s="135" cm="1">
        <f t="array" aca="1" ref="D476" ca="1">_FV(A476,"Price")</f>
        <v>40.020000000000003</v>
      </c>
      <c r="E476" s="139">
        <f t="shared" ca="1" si="203"/>
        <v>0.69290354822588696</v>
      </c>
      <c r="F476" s="139"/>
      <c r="G476" s="139"/>
      <c r="H476" s="139"/>
      <c r="I476" s="200">
        <v>67.75</v>
      </c>
      <c r="J476" s="135" cm="1">
        <f t="array" aca="1" ref="J476" ca="1">_FV(A476,"High")</f>
        <v>40.799999999999997</v>
      </c>
      <c r="K476" s="135" cm="1">
        <f t="array" aca="1" ref="K476" ca="1">_FV(A476,"Low")</f>
        <v>39.659999999999997</v>
      </c>
      <c r="L476" s="149" cm="1">
        <f t="array" aca="1" ref="L476" ca="1">_FV(A476,"52 week high",TRUE)</f>
        <v>62.35</v>
      </c>
      <c r="M476" s="225">
        <f t="shared" ca="1" si="204"/>
        <v>56.115000000000002</v>
      </c>
      <c r="N476" s="226">
        <f t="shared" ca="1" si="205"/>
        <v>59.232500000000002</v>
      </c>
      <c r="O476" s="222" cm="1">
        <f t="array" aca="1" ref="O476" ca="1">_FV(A476,"52 week low",TRUE)</f>
        <v>34.24</v>
      </c>
      <c r="P476" s="222"/>
      <c r="Q476" s="228">
        <f t="shared" ca="1" si="206"/>
        <v>0</v>
      </c>
      <c r="R476" s="228">
        <f t="shared" ca="1" si="207"/>
        <v>0</v>
      </c>
      <c r="S476" s="135" t="s">
        <v>75</v>
      </c>
      <c r="T476" s="136" t="s">
        <v>78</v>
      </c>
      <c r="U476" s="215"/>
      <c r="V476" s="137">
        <v>45851</v>
      </c>
      <c r="W476" s="137"/>
      <c r="X476" s="138"/>
      <c r="Y476" s="200">
        <v>52.15</v>
      </c>
      <c r="Z476" s="135"/>
      <c r="AA476" s="135"/>
      <c r="AB476" s="135"/>
      <c r="AC476" s="200">
        <v>67.75</v>
      </c>
      <c r="AD476" s="135"/>
      <c r="AE476" s="139">
        <f t="shared" ca="1" si="208"/>
        <v>0.69290354822588696</v>
      </c>
      <c r="AF476" s="138">
        <v>14.43</v>
      </c>
      <c r="AG476" s="257">
        <f t="shared" ca="1" si="209"/>
        <v>-0.63943028485757125</v>
      </c>
      <c r="AH476" s="201">
        <v>44.36</v>
      </c>
      <c r="AI476" s="143">
        <f t="shared" ca="1" si="210"/>
        <v>0.10844577711144421</v>
      </c>
      <c r="AJ476" s="141" t="e">
        <f t="shared" ca="1" si="211"/>
        <v>#DIV/0!</v>
      </c>
      <c r="AK476" s="140" t="e">
        <f t="shared" ca="1" si="212"/>
        <v>#DIV/0!</v>
      </c>
      <c r="AL476" s="135"/>
      <c r="AM476" s="140" t="str">
        <f t="shared" si="213"/>
        <v>-</v>
      </c>
      <c r="AN476" s="28">
        <f t="shared" ca="1" si="214"/>
        <v>-0.23259827420901236</v>
      </c>
    </row>
    <row r="477" spans="1:40" ht="16" customHeight="1" x14ac:dyDescent="0.2">
      <c r="A477" s="135" t="e" vm="434">
        <v>#VALUE!</v>
      </c>
      <c r="B477" s="135" t="str" cm="1">
        <f t="array" aca="1" ref="B477" ca="1">_FV(A477,"Ticker symbol",TRUE)</f>
        <v>VUZI</v>
      </c>
      <c r="C477" s="218" cm="1">
        <f t="array" aca="1" ref="C477" ca="1">_FV(A477,"Change (%)",TRUE)</f>
        <v>-5.2632000000000005E-2</v>
      </c>
      <c r="D477" s="135" cm="1">
        <f t="array" aca="1" ref="D477" ca="1">_FV(A477,"Price")</f>
        <v>2.34</v>
      </c>
      <c r="E477" s="139">
        <f t="shared" ca="1" si="203"/>
        <v>0.46581196581196593</v>
      </c>
      <c r="F477" s="139"/>
      <c r="G477" s="139"/>
      <c r="H477" s="139"/>
      <c r="I477" s="200">
        <v>3.43</v>
      </c>
      <c r="J477" s="135" cm="1">
        <f t="array" aca="1" ref="J477" ca="1">_FV(A477,"High")</f>
        <v>2.4500000000000002</v>
      </c>
      <c r="K477" s="135" cm="1">
        <f t="array" aca="1" ref="K477" ca="1">_FV(A477,"Low")</f>
        <v>2.33</v>
      </c>
      <c r="L477" s="152" cm="1">
        <f t="array" aca="1" ref="L477" ca="1">_FV(A477,"52 week high",TRUE)</f>
        <v>4.29</v>
      </c>
      <c r="M477" s="225">
        <f t="shared" ca="1" si="204"/>
        <v>3.8610000000000002</v>
      </c>
      <c r="N477" s="226">
        <f t="shared" ca="1" si="205"/>
        <v>4.0754999999999999</v>
      </c>
      <c r="O477" s="222" cm="1">
        <f t="array" aca="1" ref="O477" ca="1">_FV(A477,"52 week low",TRUE)</f>
        <v>1.71</v>
      </c>
      <c r="P477" s="222"/>
      <c r="Q477" s="228">
        <f t="shared" ca="1" si="206"/>
        <v>0</v>
      </c>
      <c r="R477" s="228">
        <f t="shared" ca="1" si="207"/>
        <v>0</v>
      </c>
      <c r="S477" s="135" t="s">
        <v>182</v>
      </c>
      <c r="T477" s="136" t="s">
        <v>78</v>
      </c>
      <c r="U477" s="215" t="s">
        <v>88</v>
      </c>
      <c r="V477" s="137">
        <v>45922</v>
      </c>
      <c r="W477" s="137"/>
      <c r="X477" s="138"/>
      <c r="Y477" s="200">
        <v>2.6</v>
      </c>
      <c r="Z477" s="135">
        <v>0</v>
      </c>
      <c r="AA477" s="135">
        <v>0</v>
      </c>
      <c r="AB477" s="135"/>
      <c r="AC477" s="200">
        <v>3.43</v>
      </c>
      <c r="AD477" s="135"/>
      <c r="AE477" s="139">
        <f t="shared" ca="1" si="208"/>
        <v>0.46581196581196593</v>
      </c>
      <c r="AF477" s="138">
        <v>3.18</v>
      </c>
      <c r="AG477" s="257">
        <f t="shared" ca="1" si="209"/>
        <v>0.35897435897435903</v>
      </c>
      <c r="AH477" s="201">
        <v>2.11</v>
      </c>
      <c r="AI477" s="143">
        <f t="shared" ca="1" si="210"/>
        <v>-9.8290598290598274E-2</v>
      </c>
      <c r="AJ477" s="141" t="e">
        <f t="shared" ca="1" si="211"/>
        <v>#DIV/0!</v>
      </c>
      <c r="AK477" s="140" t="e">
        <f t="shared" ca="1" si="212"/>
        <v>#DIV/0!</v>
      </c>
      <c r="AL477" s="135"/>
      <c r="AM477" s="140" t="str">
        <f t="shared" si="213"/>
        <v>-</v>
      </c>
      <c r="AN477" s="28">
        <f t="shared" ca="1" si="214"/>
        <v>-0.10000000000000009</v>
      </c>
    </row>
    <row r="478" spans="1:40" ht="16" customHeight="1" x14ac:dyDescent="0.2">
      <c r="A478" s="135" t="e" vm="435">
        <v>#VALUE!</v>
      </c>
      <c r="B478" s="135" t="str" cm="1">
        <f t="array" aca="1" ref="B478" ca="1">_FV(A478,"Ticker symbol",TRUE)</f>
        <v>G</v>
      </c>
      <c r="C478" s="218" cm="1">
        <f t="array" aca="1" ref="C478" ca="1">_FV(A478,"Change (%)",TRUE)</f>
        <v>-1.4277E-2</v>
      </c>
      <c r="D478" s="135" cm="1">
        <f t="array" aca="1" ref="D478" ca="1">_FV(A478,"Price")</f>
        <v>33.83</v>
      </c>
      <c r="E478" s="139">
        <f t="shared" ca="1" si="203"/>
        <v>0.48832397280520268</v>
      </c>
      <c r="F478" s="139"/>
      <c r="G478" s="139"/>
      <c r="H478" s="139"/>
      <c r="I478" s="200">
        <v>50.35</v>
      </c>
      <c r="J478" s="135" cm="1">
        <f t="array" aca="1" ref="J478" ca="1">_FV(A478,"High")</f>
        <v>34.979999999999997</v>
      </c>
      <c r="K478" s="135" cm="1">
        <f t="array" aca="1" ref="K478" ca="1">_FV(A478,"Low")</f>
        <v>33.67</v>
      </c>
      <c r="L478" s="152" cm="1">
        <f t="array" aca="1" ref="L478" ca="1">_FV(A478,"52 week high",TRUE)</f>
        <v>50.41</v>
      </c>
      <c r="M478" s="225">
        <f t="shared" ca="1" si="204"/>
        <v>45.369</v>
      </c>
      <c r="N478" s="226">
        <f t="shared" ca="1" si="205"/>
        <v>47.889499999999991</v>
      </c>
      <c r="O478" s="222" cm="1">
        <f t="array" aca="1" ref="O478" ca="1">_FV(A478,"52 week low",TRUE)</f>
        <v>33.67</v>
      </c>
      <c r="P478" s="222"/>
      <c r="Q478" s="228">
        <f t="shared" ca="1" si="206"/>
        <v>0</v>
      </c>
      <c r="R478" s="228">
        <f t="shared" ca="1" si="207"/>
        <v>0</v>
      </c>
      <c r="S478" s="135" t="s">
        <v>75</v>
      </c>
      <c r="T478" s="136" t="s">
        <v>78</v>
      </c>
      <c r="U478" s="215" t="s">
        <v>88</v>
      </c>
      <c r="V478" s="137">
        <v>45902</v>
      </c>
      <c r="W478" s="137"/>
      <c r="X478" s="138" t="s">
        <v>236</v>
      </c>
      <c r="Y478" s="200">
        <v>45.77</v>
      </c>
      <c r="Z478" s="135"/>
      <c r="AA478" s="135"/>
      <c r="AB478" s="135"/>
      <c r="AC478" s="200">
        <v>50.35</v>
      </c>
      <c r="AD478" s="135"/>
      <c r="AE478" s="139">
        <f t="shared" ca="1" si="208"/>
        <v>0.48832397280520268</v>
      </c>
      <c r="AF478" s="138">
        <v>58.37</v>
      </c>
      <c r="AG478" s="257">
        <f t="shared" ca="1" si="209"/>
        <v>0.72539166420336976</v>
      </c>
      <c r="AH478" s="201">
        <v>38.74</v>
      </c>
      <c r="AI478" s="143">
        <f t="shared" ca="1" si="210"/>
        <v>0.14513745196571093</v>
      </c>
      <c r="AJ478" s="141" t="e">
        <f t="shared" ca="1" si="211"/>
        <v>#DIV/0!</v>
      </c>
      <c r="AK478" s="140" t="e">
        <f t="shared" ca="1" si="212"/>
        <v>#DIV/0!</v>
      </c>
      <c r="AL478" s="135"/>
      <c r="AM478" s="140" t="str">
        <f t="shared" si="213"/>
        <v>-</v>
      </c>
      <c r="AN478" s="28">
        <f t="shared" ca="1" si="214"/>
        <v>-0.26086956521739135</v>
      </c>
    </row>
    <row r="479" spans="1:40" ht="16" customHeight="1" x14ac:dyDescent="0.2">
      <c r="A479" s="135" t="e" vm="394">
        <v>#VALUE!</v>
      </c>
      <c r="B479" s="135" t="str" cm="1">
        <f t="array" aca="1" ref="B479" ca="1">_FV(A479,"Ticker symbol",TRUE)</f>
        <v>ATRC</v>
      </c>
      <c r="C479" s="218" cm="1">
        <f t="array" aca="1" ref="C479" ca="1">_FV(A479,"Change (%)",TRUE)</f>
        <v>-8.1969999999999994E-3</v>
      </c>
      <c r="D479" s="135" cm="1">
        <f t="array" aca="1" ref="D479" ca="1">_FV(A479,"Price")</f>
        <v>29.04</v>
      </c>
      <c r="E479" s="139">
        <f t="shared" ca="1" si="203"/>
        <v>0.44490358126721774</v>
      </c>
      <c r="F479" s="139"/>
      <c r="G479" s="139"/>
      <c r="H479" s="139"/>
      <c r="I479" s="200">
        <v>41.96</v>
      </c>
      <c r="J479" s="135" cm="1">
        <f t="array" aca="1" ref="J479" ca="1">_FV(A479,"High")</f>
        <v>29.765000000000001</v>
      </c>
      <c r="K479" s="135" cm="1">
        <f t="array" aca="1" ref="K479" ca="1">_FV(A479,"Low")</f>
        <v>28.674099999999999</v>
      </c>
      <c r="L479" s="152" cm="1">
        <f t="array" aca="1" ref="L479" ca="1">_FV(A479,"52 week high",TRUE)</f>
        <v>43.18</v>
      </c>
      <c r="M479" s="225">
        <f t="shared" ca="1" si="204"/>
        <v>38.862000000000002</v>
      </c>
      <c r="N479" s="226">
        <f t="shared" ca="1" si="205"/>
        <v>41.021000000000001</v>
      </c>
      <c r="O479" s="222" cm="1">
        <f t="array" aca="1" ref="O479" ca="1">_FV(A479,"52 week low",TRUE)</f>
        <v>27.06</v>
      </c>
      <c r="P479" s="222"/>
      <c r="Q479" s="228">
        <f t="shared" ca="1" si="206"/>
        <v>0</v>
      </c>
      <c r="R479" s="228">
        <f t="shared" ca="1" si="207"/>
        <v>0</v>
      </c>
      <c r="S479" s="135" t="s">
        <v>75</v>
      </c>
      <c r="T479" s="136" t="s">
        <v>78</v>
      </c>
      <c r="U479" s="215"/>
      <c r="V479" s="137">
        <v>45880</v>
      </c>
      <c r="W479" s="137"/>
      <c r="X479" s="138" t="s">
        <v>233</v>
      </c>
      <c r="Y479" s="200">
        <v>38.14</v>
      </c>
      <c r="Z479" s="135"/>
      <c r="AA479" s="135"/>
      <c r="AB479" s="135"/>
      <c r="AC479" s="200">
        <v>41.96</v>
      </c>
      <c r="AD479" s="135"/>
      <c r="AE479" s="139">
        <f t="shared" ca="1" si="208"/>
        <v>0.44490358126721774</v>
      </c>
      <c r="AF479" s="138">
        <v>50</v>
      </c>
      <c r="AG479" s="257">
        <f t="shared" ca="1" si="209"/>
        <v>0.721763085399449</v>
      </c>
      <c r="AH479" s="201">
        <v>31.39</v>
      </c>
      <c r="AI479" s="143">
        <f t="shared" ca="1" si="210"/>
        <v>8.0922865013774103E-2</v>
      </c>
      <c r="AJ479" s="141" t="e">
        <f t="shared" ca="1" si="211"/>
        <v>#DIV/0!</v>
      </c>
      <c r="AK479" s="140" t="e">
        <f t="shared" ca="1" si="212"/>
        <v>#DIV/0!</v>
      </c>
      <c r="AL479" s="135"/>
      <c r="AM479" s="140" t="str">
        <f t="shared" si="213"/>
        <v>-</v>
      </c>
      <c r="AN479" s="28">
        <f t="shared" ca="1" si="214"/>
        <v>-0.23859465128474044</v>
      </c>
    </row>
    <row r="480" spans="1:40" ht="16" customHeight="1" x14ac:dyDescent="0.2">
      <c r="A480" s="135" t="e" vm="436">
        <v>#VALUE!</v>
      </c>
      <c r="B480" s="135" t="str" cm="1">
        <f t="array" aca="1" ref="B480" ca="1">_FV(A480,"Ticker symbol",TRUE)</f>
        <v>VVV</v>
      </c>
      <c r="C480" s="218" cm="1">
        <f t="array" aca="1" ref="C480" ca="1">_FV(A480,"Change (%)",TRUE)</f>
        <v>-7.2219999999999993E-3</v>
      </c>
      <c r="D480" s="135" cm="1">
        <f t="array" aca="1" ref="D480" ca="1">_FV(A480,"Price")</f>
        <v>32.99</v>
      </c>
      <c r="E480" s="139">
        <f t="shared" ca="1" si="203"/>
        <v>0.37738708699605916</v>
      </c>
      <c r="F480" s="139"/>
      <c r="G480" s="139"/>
      <c r="H480" s="139"/>
      <c r="I480" s="200">
        <v>45.44</v>
      </c>
      <c r="J480" s="135" cm="1">
        <f t="array" aca="1" ref="J480" ca="1">_FV(A480,"High")</f>
        <v>33.89</v>
      </c>
      <c r="K480" s="135" cm="1">
        <f t="array" aca="1" ref="K480" ca="1">_FV(A480,"Low")</f>
        <v>32.950000000000003</v>
      </c>
      <c r="L480" s="152" cm="1">
        <f t="array" aca="1" ref="L480" ca="1">_FV(A480,"52 week high",TRUE)</f>
        <v>41.33</v>
      </c>
      <c r="M480" s="225">
        <f t="shared" ca="1" si="204"/>
        <v>37.197000000000003</v>
      </c>
      <c r="N480" s="226">
        <f t="shared" ca="1" si="205"/>
        <v>39.263499999999993</v>
      </c>
      <c r="O480" s="222" cm="1">
        <f t="array" aca="1" ref="O480" ca="1">_FV(A480,"52 week low",TRUE)</f>
        <v>28.5</v>
      </c>
      <c r="P480" s="222"/>
      <c r="Q480" s="228">
        <f t="shared" ca="1" si="206"/>
        <v>0</v>
      </c>
      <c r="R480" s="228">
        <f t="shared" ca="1" si="207"/>
        <v>0</v>
      </c>
      <c r="S480" s="135" t="s">
        <v>75</v>
      </c>
      <c r="T480" s="136" t="s">
        <v>78</v>
      </c>
      <c r="U480" s="215" t="s">
        <v>26</v>
      </c>
      <c r="V480" s="137">
        <v>45876</v>
      </c>
      <c r="W480" s="137"/>
      <c r="X480" s="138"/>
      <c r="Y480" s="200">
        <v>38.06</v>
      </c>
      <c r="Z480" s="135"/>
      <c r="AA480" s="135"/>
      <c r="AB480" s="135"/>
      <c r="AC480" s="200">
        <v>45.44</v>
      </c>
      <c r="AD480" s="135"/>
      <c r="AE480" s="139">
        <f t="shared" ca="1" si="208"/>
        <v>0.37738708699605916</v>
      </c>
      <c r="AF480" s="138">
        <v>42.92</v>
      </c>
      <c r="AG480" s="257">
        <f t="shared" ca="1" si="209"/>
        <v>0.3010003031221582</v>
      </c>
      <c r="AH480" s="201">
        <v>34.380000000000003</v>
      </c>
      <c r="AI480" s="143">
        <f t="shared" ca="1" si="210"/>
        <v>4.2133979993937531E-2</v>
      </c>
      <c r="AJ480" s="141" t="e">
        <f t="shared" ca="1" si="211"/>
        <v>#DIV/0!</v>
      </c>
      <c r="AK480" s="140" t="e">
        <f t="shared" ca="1" si="212"/>
        <v>#DIV/0!</v>
      </c>
      <c r="AL480" s="135"/>
      <c r="AM480" s="140" t="str">
        <f t="shared" si="213"/>
        <v>-</v>
      </c>
      <c r="AN480" s="28">
        <f t="shared" ca="1" si="214"/>
        <v>-0.13321071991592226</v>
      </c>
    </row>
    <row r="481" spans="1:47" ht="16" customHeight="1" x14ac:dyDescent="0.2">
      <c r="A481" s="135" t="e" vm="437">
        <v>#VALUE!</v>
      </c>
      <c r="B481" s="135" t="str" cm="1">
        <f t="array" aca="1" ref="B481" ca="1">_FV(A481,"Ticker symbol",TRUE)</f>
        <v>ETR</v>
      </c>
      <c r="C481" s="218" cm="1">
        <f t="array" aca="1" ref="C481" ca="1">_FV(A481,"Change (%)",TRUE)</f>
        <v>-1.1440000000000001E-3</v>
      </c>
      <c r="D481" s="135" cm="1">
        <f t="array" aca="1" ref="D481" ca="1">_FV(A481,"Price")</f>
        <v>113.51</v>
      </c>
      <c r="E481" s="139">
        <f t="shared" ca="1" si="203"/>
        <v>-1.6121927583472861E-2</v>
      </c>
      <c r="F481" s="139"/>
      <c r="G481" s="139"/>
      <c r="H481" s="139"/>
      <c r="I481" s="200">
        <v>111.68</v>
      </c>
      <c r="J481" s="135" cm="1">
        <f t="array" aca="1" ref="J481" ca="1">_FV(A481,"High")</f>
        <v>114.62</v>
      </c>
      <c r="K481" s="135" cm="1">
        <f t="array" aca="1" ref="K481" ca="1">_FV(A481,"Low")</f>
        <v>113.41</v>
      </c>
      <c r="L481" s="152" cm="1">
        <f t="array" aca="1" ref="L481" ca="1">_FV(A481,"52 week high",TRUE)</f>
        <v>117.80500000000001</v>
      </c>
      <c r="M481" s="225">
        <f t="shared" ca="1" si="204"/>
        <v>106.0245</v>
      </c>
      <c r="N481" s="226">
        <f t="shared" ca="1" si="205"/>
        <v>111.91475</v>
      </c>
      <c r="O481" s="222" cm="1">
        <f t="array" aca="1" ref="O481" ca="1">_FV(A481,"52 week low",TRUE)</f>
        <v>79.400000000000006</v>
      </c>
      <c r="P481" s="222"/>
      <c r="Q481" s="228">
        <f t="shared" ca="1" si="206"/>
        <v>1</v>
      </c>
      <c r="R481" s="228">
        <f t="shared" ca="1" si="207"/>
        <v>1</v>
      </c>
      <c r="S481" s="135" t="s">
        <v>75</v>
      </c>
      <c r="T481" s="136" t="s">
        <v>78</v>
      </c>
      <c r="U481" s="215" t="s">
        <v>26</v>
      </c>
      <c r="V481" s="137">
        <v>45873</v>
      </c>
      <c r="W481" s="137"/>
      <c r="X481" s="138"/>
      <c r="Y481" s="200">
        <v>89.88</v>
      </c>
      <c r="Z481" s="135"/>
      <c r="AA481" s="135"/>
      <c r="AB481" s="135"/>
      <c r="AC481" s="200">
        <v>111.68</v>
      </c>
      <c r="AD481" s="135"/>
      <c r="AE481" s="139">
        <f t="shared" ca="1" si="208"/>
        <v>-1.6121927583472861E-2</v>
      </c>
      <c r="AF481" s="138">
        <v>92.13</v>
      </c>
      <c r="AG481" s="257">
        <f t="shared" ca="1" si="209"/>
        <v>-0.18835344903532736</v>
      </c>
      <c r="AH481" s="201">
        <v>78.98</v>
      </c>
      <c r="AI481" s="143">
        <f t="shared" ca="1" si="210"/>
        <v>-0.30420227292749535</v>
      </c>
      <c r="AJ481" s="141" t="e">
        <f t="shared" ca="1" si="211"/>
        <v>#DIV/0!</v>
      </c>
      <c r="AK481" s="140" t="e">
        <f t="shared" ca="1" si="212"/>
        <v>#DIV/0!</v>
      </c>
      <c r="AL481" s="135"/>
      <c r="AM481" s="140" t="str">
        <f t="shared" si="213"/>
        <v>-</v>
      </c>
      <c r="AN481" s="28">
        <f t="shared" ca="1" si="214"/>
        <v>0.26290609701824663</v>
      </c>
    </row>
    <row r="482" spans="1:47" ht="16" customHeight="1" x14ac:dyDescent="0.2">
      <c r="A482" s="135" t="e" vm="438">
        <v>#VALUE!</v>
      </c>
      <c r="B482" s="135" t="str" cm="1">
        <f t="array" aca="1" ref="B482" ca="1">_FV(A482,"Ticker symbol",TRUE)</f>
        <v>SKY</v>
      </c>
      <c r="C482" s="218" cm="1">
        <f t="array" aca="1" ref="C482" ca="1">_FV(A482,"Change (%)",TRUE)</f>
        <v>-1.3415E-2</v>
      </c>
      <c r="D482" s="135" cm="1">
        <f t="array" aca="1" ref="D482" ca="1">_FV(A482,"Price")</f>
        <v>80.900000000000006</v>
      </c>
      <c r="E482" s="139">
        <f t="shared" ca="1" si="203"/>
        <v>0.22051915945611844</v>
      </c>
      <c r="F482" s="139"/>
      <c r="G482" s="139"/>
      <c r="H482" s="139"/>
      <c r="I482" s="200">
        <v>98.74</v>
      </c>
      <c r="J482" s="135" cm="1">
        <f t="array" aca="1" ref="J482" ca="1">_FV(A482,"High")</f>
        <v>82.95</v>
      </c>
      <c r="K482" s="135" cm="1">
        <f t="array" aca="1" ref="K482" ca="1">_FV(A482,"Low")</f>
        <v>80.84</v>
      </c>
      <c r="L482" s="152" cm="1">
        <f t="array" aca="1" ref="L482" ca="1">_FV(A482,"52 week high",TRUE)</f>
        <v>99.165099999999995</v>
      </c>
      <c r="M482" s="225">
        <f t="shared" ca="1" si="204"/>
        <v>89.248589999999993</v>
      </c>
      <c r="N482" s="226">
        <f t="shared" ca="1" si="205"/>
        <v>94.206844999999987</v>
      </c>
      <c r="O482" s="222" cm="1">
        <f t="array" aca="1" ref="O482" ca="1">_FV(A482,"52 week low",TRUE)</f>
        <v>59.44</v>
      </c>
      <c r="P482" s="222"/>
      <c r="Q482" s="228">
        <f t="shared" ca="1" si="206"/>
        <v>0</v>
      </c>
      <c r="R482" s="228">
        <f t="shared" ca="1" si="207"/>
        <v>0</v>
      </c>
      <c r="S482" s="135" t="s">
        <v>76</v>
      </c>
      <c r="T482" s="136" t="s">
        <v>78</v>
      </c>
      <c r="U482" s="215" t="s">
        <v>88</v>
      </c>
      <c r="V482" s="137">
        <v>579</v>
      </c>
      <c r="W482" s="137"/>
      <c r="X482" s="138"/>
      <c r="Y482" s="200">
        <v>78.89</v>
      </c>
      <c r="Z482" s="135"/>
      <c r="AA482" s="135"/>
      <c r="AB482" s="135"/>
      <c r="AC482" s="200">
        <v>98.74</v>
      </c>
      <c r="AD482" s="135"/>
      <c r="AE482" s="139">
        <f t="shared" ca="1" si="208"/>
        <v>0.22051915945611844</v>
      </c>
      <c r="AF482" s="138">
        <v>82.83</v>
      </c>
      <c r="AG482" s="257">
        <f t="shared" ca="1" si="209"/>
        <v>2.3856613102595681E-2</v>
      </c>
      <c r="AH482" s="201">
        <v>68.98</v>
      </c>
      <c r="AI482" s="143">
        <f t="shared" ca="1" si="210"/>
        <v>-0.14734239802224969</v>
      </c>
      <c r="AJ482" s="141" t="e">
        <f t="shared" ca="1" si="211"/>
        <v>#DIV/0!</v>
      </c>
      <c r="AK482" s="140" t="e">
        <f t="shared" ca="1" si="212"/>
        <v>#DIV/0!</v>
      </c>
      <c r="AL482" s="135"/>
      <c r="AM482" s="140" t="str">
        <f t="shared" si="213"/>
        <v>-</v>
      </c>
      <c r="AN482" s="28">
        <f t="shared" ca="1" si="214"/>
        <v>2.5478514387121454E-2</v>
      </c>
    </row>
    <row r="483" spans="1:47" ht="16" customHeight="1" x14ac:dyDescent="0.2">
      <c r="A483" s="135" t="e" vm="439">
        <v>#VALUE!</v>
      </c>
      <c r="B483" s="135" t="str" cm="1">
        <f t="array" aca="1" ref="B483" ca="1">_FV(A483,"Ticker symbol",TRUE)</f>
        <v>CRWD</v>
      </c>
      <c r="C483" s="218" cm="1">
        <f t="array" aca="1" ref="C483" ca="1">_FV(A483,"Change (%)",TRUE)</f>
        <v>1.4459999999999999E-2</v>
      </c>
      <c r="D483" s="135" cm="1">
        <f t="array" aca="1" ref="D483" ca="1">_FV(A483,"Price")</f>
        <v>454.61</v>
      </c>
      <c r="E483" s="139">
        <f t="shared" ca="1" si="203"/>
        <v>0.31981258661270107</v>
      </c>
      <c r="F483" s="139"/>
      <c r="G483" s="139"/>
      <c r="H483" s="139"/>
      <c r="I483" s="200">
        <v>600</v>
      </c>
      <c r="J483" s="135" cm="1">
        <f t="array" aca="1" ref="J483" ca="1">_FV(A483,"High")</f>
        <v>457.98</v>
      </c>
      <c r="K483" s="135" cm="1">
        <f t="array" aca="1" ref="K483" ca="1">_FV(A483,"Low")</f>
        <v>442.62</v>
      </c>
      <c r="L483" s="152" cm="1">
        <f t="array" aca="1" ref="L483" ca="1">_FV(A483,"52 week high",TRUE)</f>
        <v>566.9</v>
      </c>
      <c r="M483" s="225">
        <f t="shared" ca="1" si="204"/>
        <v>510.21</v>
      </c>
      <c r="N483" s="226">
        <f t="shared" ca="1" si="205"/>
        <v>538.55499999999995</v>
      </c>
      <c r="O483" s="222" cm="1">
        <f t="array" aca="1" ref="O483" ca="1">_FV(A483,"52 week low",TRUE)</f>
        <v>342.72</v>
      </c>
      <c r="P483" s="222"/>
      <c r="Q483" s="228">
        <f t="shared" ca="1" si="206"/>
        <v>0</v>
      </c>
      <c r="R483" s="228">
        <f t="shared" ca="1" si="207"/>
        <v>0</v>
      </c>
      <c r="S483" s="135" t="s">
        <v>166</v>
      </c>
      <c r="T483" s="136" t="s">
        <v>78</v>
      </c>
      <c r="U483" s="215"/>
      <c r="V483" s="137">
        <v>45957</v>
      </c>
      <c r="W483" s="137"/>
      <c r="X483" s="138"/>
      <c r="Y483" s="200">
        <v>527.32000000000005</v>
      </c>
      <c r="Z483" s="135"/>
      <c r="AA483" s="135"/>
      <c r="AB483" s="135"/>
      <c r="AC483" s="200">
        <v>600</v>
      </c>
      <c r="AD483" s="135"/>
      <c r="AE483" s="139">
        <f t="shared" ca="1" si="208"/>
        <v>0.31981258661270107</v>
      </c>
      <c r="AF483" s="138">
        <v>500.36</v>
      </c>
      <c r="AG483" s="257">
        <f t="shared" ca="1" si="209"/>
        <v>0.10063570972921854</v>
      </c>
      <c r="AH483" s="201">
        <v>454</v>
      </c>
      <c r="AI483" s="143">
        <f t="shared" ca="1" si="210"/>
        <v>-1.3418094630562871E-3</v>
      </c>
      <c r="AJ483" s="141" t="e">
        <f t="shared" ca="1" si="211"/>
        <v>#DIV/0!</v>
      </c>
      <c r="AK483" s="140" t="e">
        <f t="shared" ca="1" si="212"/>
        <v>#DIV/0!</v>
      </c>
      <c r="AL483" s="135"/>
      <c r="AM483" s="140" t="str">
        <f t="shared" si="213"/>
        <v>-</v>
      </c>
      <c r="AN483" s="28">
        <f t="shared" ca="1" si="214"/>
        <v>-0.13788591367670489</v>
      </c>
    </row>
    <row r="484" spans="1:47" ht="16" customHeight="1" x14ac:dyDescent="0.2">
      <c r="A484" s="135" t="e" vm="440">
        <v>#VALUE!</v>
      </c>
      <c r="B484" s="135" t="str" cm="1">
        <f t="array" aca="1" ref="B484" ca="1">_FV(A484,"Ticker symbol",TRUE)</f>
        <v>DAKT</v>
      </c>
      <c r="C484" s="218" cm="1">
        <f t="array" aca="1" ref="C484" ca="1">_FV(A484,"Change (%)",TRUE)</f>
        <v>-1.4522E-2</v>
      </c>
      <c r="D484" s="135" cm="1">
        <f t="array" aca="1" ref="D484" ca="1">_FV(A484,"Price")</f>
        <v>19.68</v>
      </c>
      <c r="E484" s="139">
        <f t="shared" ca="1" si="203"/>
        <v>0.21951219512195119</v>
      </c>
      <c r="F484" s="139"/>
      <c r="G484" s="139"/>
      <c r="H484" s="139"/>
      <c r="I484" s="200">
        <v>24</v>
      </c>
      <c r="J484" s="135" cm="1">
        <f t="array" aca="1" ref="J484" ca="1">_FV(A484,"High")</f>
        <v>20.190000000000001</v>
      </c>
      <c r="K484" s="135" cm="1">
        <f t="array" aca="1" ref="K484" ca="1">_FV(A484,"Low")</f>
        <v>19.670000000000002</v>
      </c>
      <c r="L484" s="152" cm="1">
        <f t="array" aca="1" ref="L484" ca="1">_FV(A484,"52 week high",TRUE)</f>
        <v>28.268899999999999</v>
      </c>
      <c r="M484" s="225">
        <f t="shared" ca="1" si="204"/>
        <v>25.44201</v>
      </c>
      <c r="N484" s="226">
        <f t="shared" ca="1" si="205"/>
        <v>26.855454999999996</v>
      </c>
      <c r="O484" s="222" cm="1">
        <f t="array" aca="1" ref="O484" ca="1">_FV(A484,"52 week low",TRUE)</f>
        <v>12.35</v>
      </c>
      <c r="P484" s="222"/>
      <c r="Q484" s="228">
        <f t="shared" ca="1" si="206"/>
        <v>0</v>
      </c>
      <c r="R484" s="228">
        <f t="shared" ca="1" si="207"/>
        <v>0</v>
      </c>
      <c r="S484" s="135" t="s">
        <v>182</v>
      </c>
      <c r="T484" s="136" t="s">
        <v>78</v>
      </c>
      <c r="U484" s="215"/>
      <c r="V484" s="137">
        <v>45957</v>
      </c>
      <c r="W484" s="137"/>
      <c r="X484" s="138"/>
      <c r="Y484" s="200">
        <v>20.420000000000002</v>
      </c>
      <c r="Z484" s="135"/>
      <c r="AA484" s="135"/>
      <c r="AB484" s="135"/>
      <c r="AC484" s="200">
        <v>24</v>
      </c>
      <c r="AD484" s="135"/>
      <c r="AE484" s="139">
        <f t="shared" ca="1" si="208"/>
        <v>0.21951219512195119</v>
      </c>
      <c r="AF484" s="138">
        <v>27.5</v>
      </c>
      <c r="AG484" s="257">
        <f t="shared" ca="1" si="209"/>
        <v>0.39735772357723587</v>
      </c>
      <c r="AH484" s="201">
        <v>19</v>
      </c>
      <c r="AI484" s="143">
        <f t="shared" ca="1" si="210"/>
        <v>-3.4552845528455278E-2</v>
      </c>
      <c r="AJ484" s="141" t="e">
        <f t="shared" ca="1" si="211"/>
        <v>#DIV/0!</v>
      </c>
      <c r="AK484" s="140" t="e">
        <f t="shared" ca="1" si="212"/>
        <v>#DIV/0!</v>
      </c>
      <c r="AL484" s="135"/>
      <c r="AM484" s="140" t="str">
        <f t="shared" si="213"/>
        <v>-</v>
      </c>
      <c r="AN484" s="28">
        <f t="shared" ca="1" si="214"/>
        <v>-3.6238981390793401E-2</v>
      </c>
    </row>
    <row r="485" spans="1:47" ht="16" customHeight="1" x14ac:dyDescent="0.2">
      <c r="A485" s="135" t="e" vm="441">
        <v>#VALUE!</v>
      </c>
      <c r="B485" s="135" t="str" cm="1">
        <f t="array" aca="1" ref="B485" ca="1">_FV(A485,"Ticker symbol",TRUE)</f>
        <v>CFLT</v>
      </c>
      <c r="C485" s="218" cm="1">
        <f t="array" aca="1" ref="C485" ca="1">_FV(A485,"Change (%)",TRUE)</f>
        <v>0</v>
      </c>
      <c r="D485" s="135" cm="1">
        <f t="array" aca="1" ref="D485" ca="1">_FV(A485,"Price")</f>
        <v>30.99</v>
      </c>
      <c r="E485" s="139">
        <f t="shared" ca="1" si="203"/>
        <v>0.32526621490803498</v>
      </c>
      <c r="F485" s="139"/>
      <c r="G485" s="139"/>
      <c r="H485" s="139"/>
      <c r="I485" s="200">
        <v>41.07</v>
      </c>
      <c r="J485" s="135" cm="1">
        <f t="array" aca="1" ref="J485" ca="1">_FV(A485,"High")</f>
        <v>31</v>
      </c>
      <c r="K485" s="135" cm="1">
        <f t="array" aca="1" ref="K485" ca="1">_FV(A485,"Low")</f>
        <v>30.67</v>
      </c>
      <c r="L485" s="152" cm="1">
        <f t="array" aca="1" ref="L485" ca="1">_FV(A485,"52 week high",TRUE)</f>
        <v>31</v>
      </c>
      <c r="M485" s="225">
        <f t="shared" ca="1" si="204"/>
        <v>27.900000000000002</v>
      </c>
      <c r="N485" s="226">
        <f t="shared" ca="1" si="205"/>
        <v>29.45</v>
      </c>
      <c r="O485" s="222" cm="1">
        <f t="array" aca="1" ref="O485" ca="1">_FV(A485,"52 week low",TRUE)</f>
        <v>15.64</v>
      </c>
      <c r="P485" s="222"/>
      <c r="Q485" s="228">
        <f t="shared" ca="1" si="206"/>
        <v>1</v>
      </c>
      <c r="R485" s="228">
        <f t="shared" ca="1" si="207"/>
        <v>1</v>
      </c>
      <c r="S485" s="135" t="s">
        <v>75</v>
      </c>
      <c r="T485" s="136" t="s">
        <v>78</v>
      </c>
      <c r="U485" s="215"/>
      <c r="V485" s="137">
        <v>45943</v>
      </c>
      <c r="W485" s="137"/>
      <c r="X485" s="138" t="s">
        <v>249</v>
      </c>
      <c r="Y485" s="200">
        <v>24.17</v>
      </c>
      <c r="Z485" s="135"/>
      <c r="AA485" s="135"/>
      <c r="AB485" s="135"/>
      <c r="AC485" s="200">
        <v>41.07</v>
      </c>
      <c r="AD485" s="135"/>
      <c r="AE485" s="139">
        <f t="shared" ca="1" si="208"/>
        <v>0.32526621490803498</v>
      </c>
      <c r="AF485" s="138">
        <v>25.07</v>
      </c>
      <c r="AG485" s="257">
        <f t="shared" ca="1" si="209"/>
        <v>-0.19102936431106798</v>
      </c>
      <c r="AH485" s="201">
        <v>19.34</v>
      </c>
      <c r="AI485" s="143">
        <f t="shared" ca="1" si="210"/>
        <v>-0.37592771861890928</v>
      </c>
      <c r="AJ485" s="141" t="e">
        <f t="shared" ca="1" si="211"/>
        <v>#DIV/0!</v>
      </c>
      <c r="AK485" s="140" t="e">
        <f t="shared" ca="1" si="212"/>
        <v>#DIV/0!</v>
      </c>
      <c r="AL485" s="135"/>
      <c r="AM485" s="140" t="str">
        <f t="shared" si="213"/>
        <v>-</v>
      </c>
      <c r="AN485" s="28">
        <f t="shared" ca="1" si="214"/>
        <v>0.28216797683078187</v>
      </c>
    </row>
    <row r="486" spans="1:47" ht="16" customHeight="1" x14ac:dyDescent="0.2">
      <c r="A486" s="135" t="e" vm="442">
        <v>#VALUE!</v>
      </c>
      <c r="B486" s="135" t="str" cm="1">
        <f t="array" aca="1" ref="B486" ca="1">_FV(A486,"Ticker symbol",TRUE)</f>
        <v>BFLY</v>
      </c>
      <c r="C486" s="218" cm="1">
        <f t="array" aca="1" ref="C486" ca="1">_FV(A486,"Change (%)",TRUE)</f>
        <v>2.8142999999999998E-2</v>
      </c>
      <c r="D486" s="135" cm="1">
        <f t="array" aca="1" ref="D486" ca="1">_FV(A486,"Price")</f>
        <v>5.48</v>
      </c>
      <c r="E486" s="139">
        <f t="shared" ca="1" si="203"/>
        <v>-0.5492700729927007</v>
      </c>
      <c r="F486" s="139"/>
      <c r="G486" s="139"/>
      <c r="H486" s="139"/>
      <c r="I486" s="200">
        <v>2.4700000000000002</v>
      </c>
      <c r="J486" s="135" cm="1">
        <f t="array" aca="1" ref="J486" ca="1">_FV(A486,"High")</f>
        <v>5.5949999999999998</v>
      </c>
      <c r="K486" s="135" cm="1">
        <f t="array" aca="1" ref="K486" ca="1">_FV(A486,"Low")</f>
        <v>5.2949999999999999</v>
      </c>
      <c r="L486" s="152" cm="1">
        <f t="array" aca="1" ref="L486" ca="1">_FV(A486,"52 week high",TRUE)</f>
        <v>5.72</v>
      </c>
      <c r="M486" s="225">
        <f t="shared" ca="1" si="204"/>
        <v>5.1479999999999997</v>
      </c>
      <c r="N486" s="226">
        <f t="shared" ca="1" si="205"/>
        <v>5.4339999999999993</v>
      </c>
      <c r="O486" s="222" cm="1">
        <f t="array" aca="1" ref="O486" ca="1">_FV(A486,"52 week low",TRUE)</f>
        <v>1.32</v>
      </c>
      <c r="P486" s="222"/>
      <c r="Q486" s="228">
        <f t="shared" ca="1" si="206"/>
        <v>1</v>
      </c>
      <c r="R486" s="228">
        <f t="shared" ca="1" si="207"/>
        <v>1</v>
      </c>
      <c r="S486" s="135" t="s">
        <v>75</v>
      </c>
      <c r="T486" s="136" t="s">
        <v>78</v>
      </c>
      <c r="U486" s="215"/>
      <c r="V486" s="137">
        <v>45929</v>
      </c>
      <c r="W486" s="137"/>
      <c r="X486" s="138" t="s">
        <v>241</v>
      </c>
      <c r="Y486" s="200">
        <v>2.2400000000000002</v>
      </c>
      <c r="Z486" s="135"/>
      <c r="AA486" s="135"/>
      <c r="AB486" s="135"/>
      <c r="AC486" s="200">
        <v>2.4700000000000002</v>
      </c>
      <c r="AD486" s="135"/>
      <c r="AE486" s="139">
        <f t="shared" ca="1" si="208"/>
        <v>-0.5492700729927007</v>
      </c>
      <c r="AF486" s="138">
        <v>3.16</v>
      </c>
      <c r="AG486" s="257">
        <f t="shared" ca="1" si="209"/>
        <v>-0.42335766423357668</v>
      </c>
      <c r="AH486" s="201">
        <v>1.8</v>
      </c>
      <c r="AI486" s="143">
        <f t="shared" ca="1" si="210"/>
        <v>-0.67153284671532854</v>
      </c>
      <c r="AJ486" s="141" t="e">
        <f t="shared" ca="1" si="211"/>
        <v>#DIV/0!</v>
      </c>
      <c r="AK486" s="140" t="e">
        <f t="shared" ca="1" si="212"/>
        <v>#DIV/0!</v>
      </c>
      <c r="AL486" s="135"/>
      <c r="AM486" s="140" t="str">
        <f t="shared" si="213"/>
        <v>-</v>
      </c>
      <c r="AN486" s="28">
        <f t="shared" ca="1" si="214"/>
        <v>1.4464285714285712</v>
      </c>
    </row>
    <row r="487" spans="1:47" ht="16" customHeight="1" x14ac:dyDescent="0.2">
      <c r="A487" s="135" t="e" vm="443">
        <v>#VALUE!</v>
      </c>
      <c r="B487" s="135" t="str" cm="1">
        <f t="array" aca="1" ref="B487" ca="1">_FV(A487,"Ticker symbol",TRUE)</f>
        <v>MASI</v>
      </c>
      <c r="C487" s="218" cm="1">
        <f t="array" aca="1" ref="C487" ca="1">_FV(A487,"Change (%)",TRUE)</f>
        <v>1.6789999999999999E-4</v>
      </c>
      <c r="D487" s="135" cm="1">
        <f t="array" aca="1" ref="D487" ca="1">_FV(A487,"Price")</f>
        <v>178.66</v>
      </c>
      <c r="E487" s="139">
        <f t="shared" ca="1" si="203"/>
        <v>0.24510242919511915</v>
      </c>
      <c r="F487" s="139"/>
      <c r="G487" s="139"/>
      <c r="H487" s="139"/>
      <c r="I487" s="200">
        <v>222.45</v>
      </c>
      <c r="J487" s="135" cm="1">
        <f t="array" aca="1" ref="J487" ca="1">_FV(A487,"High")</f>
        <v>178.76</v>
      </c>
      <c r="K487" s="135" cm="1">
        <f t="array" aca="1" ref="K487" ca="1">_FV(A487,"Low")</f>
        <v>178.52</v>
      </c>
      <c r="L487" s="152" cm="1">
        <f t="array" aca="1" ref="L487" ca="1">_FV(A487,"52 week high",TRUE)</f>
        <v>179</v>
      </c>
      <c r="M487" s="225">
        <f t="shared" ca="1" si="204"/>
        <v>161.1</v>
      </c>
      <c r="N487" s="226">
        <f t="shared" ca="1" si="205"/>
        <v>170.04999999999998</v>
      </c>
      <c r="O487" s="222" cm="1">
        <f t="array" aca="1" ref="O487" ca="1">_FV(A487,"52 week low",TRUE)</f>
        <v>125.94</v>
      </c>
      <c r="P487" s="222"/>
      <c r="Q487" s="228">
        <f t="shared" ca="1" si="206"/>
        <v>1</v>
      </c>
      <c r="R487" s="228">
        <f t="shared" ca="1" si="207"/>
        <v>1</v>
      </c>
      <c r="S487" s="135" t="s">
        <v>75</v>
      </c>
      <c r="T487" s="136" t="s">
        <v>78</v>
      </c>
      <c r="U487" s="215"/>
      <c r="V487" s="137">
        <v>45978</v>
      </c>
      <c r="W487" s="137"/>
      <c r="X487" s="138" t="s">
        <v>292</v>
      </c>
      <c r="Y487" s="200">
        <v>157.77000000000001</v>
      </c>
      <c r="Z487" s="135"/>
      <c r="AA487" s="135"/>
      <c r="AB487" s="135"/>
      <c r="AC487" s="200">
        <v>222.45</v>
      </c>
      <c r="AD487" s="135"/>
      <c r="AE487" s="139">
        <f t="shared" ref="AE487:AE492" ca="1" si="215">IF(Z487="-",+AC487/Y487-1,AC487/D487-1)</f>
        <v>0.24510242919511915</v>
      </c>
      <c r="AF487" s="138">
        <v>186.14</v>
      </c>
      <c r="AG487" s="257">
        <f t="shared" ca="1" si="209"/>
        <v>4.1867233852009411E-2</v>
      </c>
      <c r="AH487" s="201">
        <v>133.68</v>
      </c>
      <c r="AI487" s="143">
        <f t="shared" ca="1" si="210"/>
        <v>-0.25176312548975699</v>
      </c>
      <c r="AJ487" s="141" t="e">
        <f t="shared" ca="1" si="211"/>
        <v>#DIV/0!</v>
      </c>
      <c r="AK487" s="140" t="e">
        <f t="shared" ca="1" si="212"/>
        <v>#DIV/0!</v>
      </c>
      <c r="AL487" s="135"/>
      <c r="AM487" s="140" t="str">
        <f t="shared" si="213"/>
        <v>-</v>
      </c>
      <c r="AN487" s="28">
        <f t="shared" ca="1" si="214"/>
        <v>0.13240793560245923</v>
      </c>
    </row>
    <row r="488" spans="1:47" ht="16" customHeight="1" x14ac:dyDescent="0.2">
      <c r="A488" s="135" t="e" vm="444">
        <v>#VALUE!</v>
      </c>
      <c r="B488" s="135" t="str" cm="1">
        <f t="array" aca="1" ref="B488" ca="1">_FV(A488,"Ticker symbol",TRUE)</f>
        <v>WHD</v>
      </c>
      <c r="C488" s="218" cm="1">
        <f t="array" aca="1" ref="C488" ca="1">_FV(A488,"Change (%)",TRUE)</f>
        <v>2.8179999999999998E-3</v>
      </c>
      <c r="D488" s="135" cm="1">
        <f t="array" aca="1" ref="D488" ca="1">_FV(A488,"Price")</f>
        <v>56.94</v>
      </c>
      <c r="E488" s="139">
        <f t="shared" ca="1" si="203"/>
        <v>0.29627678257815249</v>
      </c>
      <c r="F488" s="139"/>
      <c r="G488" s="139"/>
      <c r="H488" s="139"/>
      <c r="I488" s="200">
        <v>73.81</v>
      </c>
      <c r="J488" s="135" cm="1">
        <f t="array" aca="1" ref="J488" ca="1">_FV(A488,"High")</f>
        <v>57.56</v>
      </c>
      <c r="K488" s="135" cm="1">
        <f t="array" aca="1" ref="K488" ca="1">_FV(A488,"Low")</f>
        <v>56.57</v>
      </c>
      <c r="L488" s="152" cm="1">
        <f t="array" aca="1" ref="L488" ca="1">_FV(A488,"52 week high",TRUE)</f>
        <v>59.25</v>
      </c>
      <c r="M488" s="225">
        <f t="shared" ca="1" si="204"/>
        <v>53.325000000000003</v>
      </c>
      <c r="N488" s="226">
        <f t="shared" ca="1" si="205"/>
        <v>56.287499999999994</v>
      </c>
      <c r="O488" s="222" cm="1">
        <f t="array" aca="1" ref="O488" ca="1">_FV(A488,"52 week low",TRUE)</f>
        <v>33.200000000000003</v>
      </c>
      <c r="P488" s="222"/>
      <c r="Q488" s="228">
        <f t="shared" ca="1" si="206"/>
        <v>1</v>
      </c>
      <c r="R488" s="228">
        <f t="shared" ca="1" si="207"/>
        <v>1</v>
      </c>
      <c r="S488" s="135" t="s">
        <v>75</v>
      </c>
      <c r="T488" s="136" t="s">
        <v>78</v>
      </c>
      <c r="U488" s="215" t="s">
        <v>88</v>
      </c>
      <c r="V488" s="137">
        <v>45971</v>
      </c>
      <c r="W488" s="137"/>
      <c r="X488" s="138" t="s">
        <v>288</v>
      </c>
      <c r="Y488" s="200">
        <v>45.22</v>
      </c>
      <c r="Z488" s="135"/>
      <c r="AA488" s="135"/>
      <c r="AB488" s="135"/>
      <c r="AC488" s="200">
        <v>73.81</v>
      </c>
      <c r="AD488" s="135"/>
      <c r="AE488" s="139">
        <f t="shared" ca="1" si="215"/>
        <v>0.29627678257815249</v>
      </c>
      <c r="AF488" s="138">
        <v>48.38</v>
      </c>
      <c r="AG488" s="257">
        <f t="shared" ca="1" si="209"/>
        <v>-0.15033368458025986</v>
      </c>
      <c r="AH488" s="201">
        <v>36.94</v>
      </c>
      <c r="AI488" s="143">
        <f t="shared" ca="1" si="210"/>
        <v>-0.35124692658939238</v>
      </c>
      <c r="AJ488" s="141" t="e">
        <f t="shared" ca="1" si="211"/>
        <v>#DIV/0!</v>
      </c>
      <c r="AK488" s="140" t="e">
        <f t="shared" ca="1" si="212"/>
        <v>#DIV/0!</v>
      </c>
      <c r="AL488" s="135"/>
      <c r="AM488" s="140" t="str">
        <f t="shared" si="213"/>
        <v>-</v>
      </c>
      <c r="AN488" s="28">
        <f t="shared" ca="1" si="214"/>
        <v>0.25917735515258733</v>
      </c>
    </row>
    <row r="489" spans="1:47" ht="17" customHeight="1" x14ac:dyDescent="0.2">
      <c r="A489" s="135" t="e" vm="445">
        <v>#VALUE!</v>
      </c>
      <c r="B489" s="135" t="str" cm="1">
        <f t="array" aca="1" ref="B489" ca="1">_FV(A489,"Ticker symbol",TRUE)</f>
        <v>RNO</v>
      </c>
      <c r="C489" s="218" cm="1">
        <f t="array" aca="1" ref="C489" ca="1">_FV(A489,"Change (%)",TRUE)</f>
        <v>2.9234E-2</v>
      </c>
      <c r="D489" s="135" cm="1">
        <f t="array" aca="1" ref="D489" ca="1">_FV(A489,"Price")</f>
        <v>30.63</v>
      </c>
      <c r="E489" s="139">
        <f ca="1">AE489</f>
        <v>0.6700816193274568</v>
      </c>
      <c r="F489" s="139"/>
      <c r="G489" s="139"/>
      <c r="H489" s="139"/>
      <c r="I489" s="200">
        <v>51.154600000000002</v>
      </c>
      <c r="J489" s="135" cm="1">
        <f t="array" aca="1" ref="J489" ca="1">_FV(A489,"High")</f>
        <v>31.09</v>
      </c>
      <c r="K489" s="135" cm="1">
        <f t="array" aca="1" ref="K489" ca="1">_FV(A489,"Low")</f>
        <v>29.64</v>
      </c>
      <c r="L489" s="149" cm="1">
        <f t="array" aca="1" ref="L489" ca="1">_FV(A489,"52 week high",TRUE)</f>
        <v>49.74</v>
      </c>
      <c r="M489" s="225">
        <f ca="1">+L489*0.9</f>
        <v>44.766000000000005</v>
      </c>
      <c r="N489" s="226">
        <f ca="1">+L489*0.95</f>
        <v>47.253</v>
      </c>
      <c r="O489" s="222" cm="1">
        <f t="array" aca="1" ref="O489" ca="1">_FV(A489,"52 week low",TRUE)</f>
        <v>26.87</v>
      </c>
      <c r="P489" s="222"/>
      <c r="Q489" s="228">
        <f ca="1">GESTEP(D489,M489)</f>
        <v>0</v>
      </c>
      <c r="R489" s="228">
        <f ca="1">GESTEP(D489,N489)</f>
        <v>0</v>
      </c>
      <c r="S489" s="135" t="s">
        <v>75</v>
      </c>
      <c r="T489" s="136" t="s">
        <v>78</v>
      </c>
      <c r="U489" s="215"/>
      <c r="V489" s="137">
        <v>45999</v>
      </c>
      <c r="W489" s="137"/>
      <c r="X489" s="138" t="s">
        <v>302</v>
      </c>
      <c r="Y489" s="200">
        <v>37.58</v>
      </c>
      <c r="Z489" s="135"/>
      <c r="AA489" s="135"/>
      <c r="AB489" s="135"/>
      <c r="AC489" s="200">
        <v>51.154600000000002</v>
      </c>
      <c r="AD489" s="135"/>
      <c r="AE489" s="139">
        <f t="shared" ca="1" si="215"/>
        <v>0.6700816193274568</v>
      </c>
      <c r="AF489" s="138">
        <v>45.68</v>
      </c>
      <c r="AG489" s="257">
        <f ca="1">IF(Z489="-",+AF489/D489-1,AF489/D489-1)</f>
        <v>0.49134835128958532</v>
      </c>
      <c r="AH489" s="201">
        <v>32.39</v>
      </c>
      <c r="AI489" s="143">
        <f ca="1">IF(Z489="-",AH489/Y489-1,+AH489/D489-1)</f>
        <v>5.7460006529546304E-2</v>
      </c>
      <c r="AJ489" s="141" t="e">
        <f ca="1">IF(Z489="-","-",+(D489/Z489)-1)</f>
        <v>#DIV/0!</v>
      </c>
      <c r="AK489" s="140" t="e">
        <f ca="1">IF(AA489="-","-",+(D489/AA489)-1)</f>
        <v>#DIV/0!</v>
      </c>
      <c r="AL489" s="135"/>
      <c r="AM489" s="140" t="str">
        <f>IF(AL489=0,"-",+AL489/Z489-1)</f>
        <v>-</v>
      </c>
      <c r="AN489" s="28">
        <f ca="1">+D489/Y489-1</f>
        <v>-0.18493879723257045</v>
      </c>
    </row>
    <row r="490" spans="1:47" ht="17" customHeight="1" x14ac:dyDescent="0.2">
      <c r="A490" s="135" t="e" vm="446">
        <v>#VALUE!</v>
      </c>
      <c r="B490" s="135" t="str" cm="1">
        <f t="array" aca="1" ref="B490" ca="1">_FV(A490,"Ticker symbol",TRUE)</f>
        <v>FRSH</v>
      </c>
      <c r="C490" s="218" cm="1">
        <f t="array" aca="1" ref="C490" ca="1">_FV(A490,"Change (%)",TRUE)</f>
        <v>-1.4184E-2</v>
      </c>
      <c r="D490" s="135" cm="1">
        <f t="array" aca="1" ref="D490" ca="1">_FV(A490,"Price")</f>
        <v>8.34</v>
      </c>
      <c r="E490" s="139">
        <f ca="1">AE490</f>
        <v>1.2314148681055155</v>
      </c>
      <c r="F490" s="139"/>
      <c r="G490" s="139"/>
      <c r="H490" s="139"/>
      <c r="I490" s="200">
        <v>18.61</v>
      </c>
      <c r="J490" s="135" cm="1">
        <f t="array" aca="1" ref="J490" ca="1">_FV(A490,"High")</f>
        <v>8.5449999999999999</v>
      </c>
      <c r="K490" s="135" cm="1">
        <f t="array" aca="1" ref="K490" ca="1">_FV(A490,"Low")</f>
        <v>8.33</v>
      </c>
      <c r="L490" s="152" cm="1">
        <f t="array" aca="1" ref="L490" ca="1">_FV(A490,"52 week high",TRUE)</f>
        <v>16.14</v>
      </c>
      <c r="M490" s="225">
        <f ca="1">+L490*0.9</f>
        <v>14.526000000000002</v>
      </c>
      <c r="N490" s="226">
        <f ca="1">+L490*0.95</f>
        <v>15.333</v>
      </c>
      <c r="O490" s="222" cm="1">
        <f t="array" aca="1" ref="O490" ca="1">_FV(A490,"52 week low",TRUE)</f>
        <v>6.79</v>
      </c>
      <c r="P490" s="222"/>
      <c r="Q490" s="228">
        <f ca="1">GESTEP(D490,M490)</f>
        <v>0</v>
      </c>
      <c r="R490" s="228">
        <f ca="1">GESTEP(D490,N490)</f>
        <v>0</v>
      </c>
      <c r="S490" s="135" t="s">
        <v>75</v>
      </c>
      <c r="T490" s="136" t="s">
        <v>78</v>
      </c>
      <c r="U490" s="215" t="s">
        <v>88</v>
      </c>
      <c r="V490" s="137">
        <v>45999</v>
      </c>
      <c r="W490" s="137"/>
      <c r="X490" s="138" t="s">
        <v>304</v>
      </c>
      <c r="Y490" s="200">
        <v>13.04</v>
      </c>
      <c r="Z490" s="135"/>
      <c r="AA490" s="135"/>
      <c r="AB490" s="135"/>
      <c r="AC490" s="200">
        <v>18.61</v>
      </c>
      <c r="AD490" s="135"/>
      <c r="AE490" s="139">
        <f t="shared" ca="1" si="215"/>
        <v>1.2314148681055155</v>
      </c>
      <c r="AF490" s="138">
        <v>18.43</v>
      </c>
      <c r="AG490" s="257">
        <f ca="1">IF(Z490="-",+AF490/D490-1,AF490/D490-1)</f>
        <v>1.209832134292566</v>
      </c>
      <c r="AH490" s="201">
        <v>10.98</v>
      </c>
      <c r="AI490" s="143">
        <f ca="1">IF(Z490="-",AH490/Y490-1,+AH490/D490-1)</f>
        <v>0.31654676258992809</v>
      </c>
      <c r="AJ490" s="141" t="e">
        <f ca="1">IF(Z490="-","-",+(D490/Z490)-1)</f>
        <v>#DIV/0!</v>
      </c>
      <c r="AK490" s="140" t="e">
        <f ca="1">IF(AA490="-","-",+(D490/AA490)-1)</f>
        <v>#DIV/0!</v>
      </c>
      <c r="AL490" s="135"/>
      <c r="AM490" s="140" t="str">
        <f>IF(AL490=0,"-",+AL490/Z490-1)</f>
        <v>-</v>
      </c>
      <c r="AN490" s="28">
        <f ca="1">+D490/Y490-1</f>
        <v>-0.36042944785276065</v>
      </c>
    </row>
    <row r="491" spans="1:47" ht="17" customHeight="1" x14ac:dyDescent="0.2">
      <c r="A491" s="135" t="e" vm="447">
        <v>#VALUE!</v>
      </c>
      <c r="B491" s="135" t="str" cm="1">
        <f t="array" aca="1" ref="B491" ca="1">_FV(A491,"Ticker symbol",TRUE)</f>
        <v>SIBN</v>
      </c>
      <c r="C491" s="218" cm="1">
        <f t="array" aca="1" ref="C491" ca="1">_FV(A491,"Change (%)",TRUE)</f>
        <v>-2.7366999999999999E-2</v>
      </c>
      <c r="D491" s="135" cm="1">
        <f t="array" aca="1" ref="D491" ca="1">_FV(A491,"Price")</f>
        <v>13.15</v>
      </c>
      <c r="E491" s="139">
        <f ca="1">AE491</f>
        <v>1.209125475285171</v>
      </c>
      <c r="F491" s="139"/>
      <c r="G491" s="139"/>
      <c r="H491" s="139"/>
      <c r="I491" s="200">
        <v>29.05</v>
      </c>
      <c r="J491" s="135" cm="1">
        <f t="array" aca="1" ref="J491" ca="1">_FV(A491,"High")</f>
        <v>13.67</v>
      </c>
      <c r="K491" s="135" cm="1">
        <f t="array" aca="1" ref="K491" ca="1">_FV(A491,"Low")</f>
        <v>13.15</v>
      </c>
      <c r="L491" s="152" cm="1">
        <f t="array" aca="1" ref="L491" ca="1">_FV(A491,"52 week high",TRUE)</f>
        <v>21.89</v>
      </c>
      <c r="M491" s="225">
        <f ca="1">+L491*0.9</f>
        <v>19.701000000000001</v>
      </c>
      <c r="N491" s="226">
        <f ca="1">+L491*0.95</f>
        <v>20.795500000000001</v>
      </c>
      <c r="O491" s="222" cm="1">
        <f t="array" aca="1" ref="O491" ca="1">_FV(A491,"52 week low",TRUE)</f>
        <v>12.15</v>
      </c>
      <c r="P491" s="222"/>
      <c r="Q491" s="228">
        <f ca="1">GESTEP(D491,M491)</f>
        <v>0</v>
      </c>
      <c r="R491" s="228">
        <f ca="1">GESTEP(D491,N491)</f>
        <v>0</v>
      </c>
      <c r="S491" s="135" t="s">
        <v>75</v>
      </c>
      <c r="T491" s="136" t="s">
        <v>78</v>
      </c>
      <c r="U491" s="215" t="s">
        <v>88</v>
      </c>
      <c r="V491" s="137">
        <v>45985</v>
      </c>
      <c r="W491" s="137"/>
      <c r="X491" s="138" t="s">
        <v>294</v>
      </c>
      <c r="Y491" s="200">
        <v>20.079999999999998</v>
      </c>
      <c r="Z491" s="135"/>
      <c r="AA491" s="135"/>
      <c r="AB491" s="135"/>
      <c r="AC491" s="200">
        <v>29.05</v>
      </c>
      <c r="AD491" s="135"/>
      <c r="AE491" s="139">
        <f t="shared" ca="1" si="215"/>
        <v>1.209125475285171</v>
      </c>
      <c r="AF491" s="138">
        <v>24.89</v>
      </c>
      <c r="AG491" s="257">
        <f ca="1">IF(Z491="-",+AF491/D491-1,AF491/D491-1)</f>
        <v>0.89277566539923958</v>
      </c>
      <c r="AH491" s="201">
        <v>16.79</v>
      </c>
      <c r="AI491" s="143">
        <f ca="1">IF(Z491="-",AH491/Y491-1,+AH491/D491-1)</f>
        <v>0.27680608365018999</v>
      </c>
      <c r="AJ491" s="141" t="e">
        <f ca="1">IF(Z491="-","-",+(D491/Z491)-1)</f>
        <v>#DIV/0!</v>
      </c>
      <c r="AK491" s="140" t="e">
        <f ca="1">IF(AA491="-","-",+(D491/AA491)-1)</f>
        <v>#DIV/0!</v>
      </c>
      <c r="AL491" s="135"/>
      <c r="AM491" s="140" t="str">
        <f>IF(AL491=0,"-",+AL491/Z491-1)</f>
        <v>-</v>
      </c>
      <c r="AN491" s="28">
        <f ca="1">+D491/Y491-1</f>
        <v>-0.34511952191235051</v>
      </c>
    </row>
    <row r="492" spans="1:47" ht="16" customHeight="1" x14ac:dyDescent="0.2">
      <c r="A492" s="135" t="e" vm="448">
        <v>#VALUE!</v>
      </c>
      <c r="B492" s="135" t="str" cm="1">
        <f t="array" aca="1" ref="B492" ca="1">_FV(A492,"Ticker symbol",TRUE)</f>
        <v>CAP</v>
      </c>
      <c r="C492" s="218" cm="1">
        <f t="array" aca="1" ref="C492" ca="1">_FV(A492,"Change (%)",TRUE)</f>
        <v>2.5226999999999999E-2</v>
      </c>
      <c r="D492" s="135" cm="1">
        <f t="array" aca="1" ref="D492" ca="1">_FV(A492,"Price")</f>
        <v>101.6</v>
      </c>
      <c r="E492" s="139">
        <f ca="1">AE492</f>
        <v>0.52214566929133865</v>
      </c>
      <c r="F492" s="139"/>
      <c r="G492" s="139"/>
      <c r="H492" s="139"/>
      <c r="I492" s="200">
        <v>154.65</v>
      </c>
      <c r="J492" s="135" cm="1">
        <f t="array" aca="1" ref="J492" ca="1">_FV(A492,"High")</f>
        <v>102.35</v>
      </c>
      <c r="K492" s="135" cm="1">
        <f t="array" aca="1" ref="K492" ca="1">_FV(A492,"Low")</f>
        <v>99.4</v>
      </c>
      <c r="L492" s="149" cm="1">
        <f t="array" aca="1" ref="L492" ca="1">_FV(A492,"52 week high",TRUE)</f>
        <v>156.55000000000001</v>
      </c>
      <c r="M492" s="225">
        <f ca="1">+L492*0.9</f>
        <v>140.89500000000001</v>
      </c>
      <c r="N492" s="226">
        <f ca="1">+L492*0.95</f>
        <v>148.7225</v>
      </c>
      <c r="O492" s="222" cm="1">
        <f t="array" aca="1" ref="O492" ca="1">_FV(A492,"52 week low",TRUE)</f>
        <v>94.88</v>
      </c>
      <c r="P492" s="222"/>
      <c r="Q492" s="228">
        <f ca="1">GESTEP(D492,M492)</f>
        <v>0</v>
      </c>
      <c r="R492" s="228">
        <f ca="1">GESTEP(D492,N492)</f>
        <v>0</v>
      </c>
      <c r="S492" s="135" t="s">
        <v>75</v>
      </c>
      <c r="T492" s="136" t="s">
        <v>78</v>
      </c>
      <c r="U492" s="215"/>
      <c r="V492" s="137">
        <v>45964</v>
      </c>
      <c r="W492" s="137"/>
      <c r="X492" s="138" t="s">
        <v>283</v>
      </c>
      <c r="Y492" s="200">
        <v>140.55000000000001</v>
      </c>
      <c r="Z492" s="135"/>
      <c r="AA492" s="135"/>
      <c r="AB492" s="135"/>
      <c r="AC492" s="200">
        <v>154.65</v>
      </c>
      <c r="AD492" s="135"/>
      <c r="AE492" s="139">
        <f t="shared" ca="1" si="215"/>
        <v>0.52214566929133865</v>
      </c>
      <c r="AF492" s="138">
        <v>174.65</v>
      </c>
      <c r="AG492" s="257">
        <f ca="1">IF(Z492="-",+AF492/D492-1,AF492/D492-1)</f>
        <v>0.71899606299212615</v>
      </c>
      <c r="AH492" s="201">
        <v>119.8</v>
      </c>
      <c r="AI492" s="143">
        <f ca="1">IF(Z492="-",AH492/Y492-1,+AH492/D492-1)</f>
        <v>0.17913385826771666</v>
      </c>
      <c r="AJ492" s="141" t="e">
        <f ca="1">IF(Z492="-","-",+(D492/Z492)-1)</f>
        <v>#DIV/0!</v>
      </c>
      <c r="AK492" s="140" t="e">
        <f ca="1">IF(AA492="-","-",+(D492/AA492)-1)</f>
        <v>#DIV/0!</v>
      </c>
      <c r="AL492" s="135"/>
      <c r="AM492" s="140" t="str">
        <f>IF(AL492=0,"-",+AL492/Z492-1)</f>
        <v>-</v>
      </c>
      <c r="AN492" s="28">
        <f ca="1">+D492/Y492-1</f>
        <v>-0.27712557808609051</v>
      </c>
    </row>
    <row r="493" spans="1:47" ht="16" customHeight="1" x14ac:dyDescent="0.25">
      <c r="A493" s="205">
        <f>+A424+1</f>
        <v>2026</v>
      </c>
      <c r="I493" s="84"/>
      <c r="S493" s="83"/>
      <c r="T493" s="112"/>
      <c r="U493" s="112"/>
      <c r="V493" s="93"/>
      <c r="W493" s="94"/>
      <c r="X493" s="85"/>
      <c r="Y493" s="84"/>
      <c r="Z493" s="84"/>
      <c r="AA493" s="84"/>
      <c r="AB493" s="84"/>
      <c r="AC493" s="84"/>
      <c r="AD493" s="84"/>
      <c r="AE493" s="46"/>
      <c r="AF493" s="86"/>
      <c r="AG493" s="89"/>
      <c r="AH493" s="86"/>
      <c r="AI493" s="89"/>
      <c r="AJ493" s="49"/>
      <c r="AK493" s="46"/>
      <c r="AL493" s="83"/>
      <c r="AM493" s="49"/>
      <c r="AN493" s="148"/>
      <c r="AO493" s="259">
        <f ca="1">SUM(AN425:AN492)</f>
        <v>7.4797966943930163</v>
      </c>
      <c r="AU493" s="148"/>
    </row>
    <row r="494" spans="1:47" ht="16" customHeight="1" x14ac:dyDescent="0.2">
      <c r="A494" s="135" t="e" vm="449">
        <v>#VALUE!</v>
      </c>
      <c r="B494" s="135" t="str" cm="1">
        <f t="array" aca="1" ref="B494" ca="1">_FV(A494,"Ticker symbol",TRUE)</f>
        <v>SMG</v>
      </c>
      <c r="C494" s="218" cm="1">
        <f t="array" aca="1" ref="C494" ca="1">_FV(A494,"Change (%)",TRUE)</f>
        <v>8.6309999999999998E-3</v>
      </c>
      <c r="D494" s="322" cm="1">
        <f t="array" aca="1" ref="D494" ca="1">_FV(A494,"Price")</f>
        <v>67.78</v>
      </c>
      <c r="E494" s="139">
        <f t="shared" ref="E494:E502" ca="1" si="216">AE494</f>
        <v>-2.1097668928887647E-2</v>
      </c>
      <c r="F494" s="139"/>
      <c r="G494" s="139"/>
      <c r="H494" s="139"/>
      <c r="I494" s="200">
        <v>66.349999999999994</v>
      </c>
      <c r="J494" s="135" cm="1">
        <f t="array" aca="1" ref="J494" ca="1">_FV(A494,"High")</f>
        <v>68.599999999999994</v>
      </c>
      <c r="K494" s="135" cm="1">
        <f t="array" aca="1" ref="K494" ca="1">_FV(A494,"Low")</f>
        <v>66.680000000000007</v>
      </c>
      <c r="L494" s="152" cm="1">
        <f t="array" aca="1" ref="L494" ca="1">_FV(A494,"52 week high",TRUE)</f>
        <v>72.349999999999994</v>
      </c>
      <c r="M494" s="225">
        <f t="shared" ref="M494:M502" ca="1" si="217">+L494*0.9</f>
        <v>65.114999999999995</v>
      </c>
      <c r="N494" s="226">
        <f t="shared" ref="N494:N502" ca="1" si="218">+L494*0.95</f>
        <v>68.732499999999987</v>
      </c>
      <c r="O494" s="222" cm="1">
        <f t="array" aca="1" ref="O494" ca="1">_FV(A494,"52 week low",TRUE)</f>
        <v>45.61</v>
      </c>
      <c r="P494" s="222"/>
      <c r="Q494" s="228">
        <f t="shared" ref="Q494:Q502" ca="1" si="219">GESTEP(D494,M494)</f>
        <v>1</v>
      </c>
      <c r="R494" s="228">
        <f t="shared" ref="R494:R502" ca="1" si="220">GESTEP(D494,N494)</f>
        <v>0</v>
      </c>
      <c r="S494" s="135" t="s">
        <v>75</v>
      </c>
      <c r="T494" s="136" t="s">
        <v>78</v>
      </c>
      <c r="U494" s="215"/>
      <c r="V494" s="137">
        <v>46013</v>
      </c>
      <c r="W494" s="137"/>
      <c r="X494" s="138" t="s">
        <v>318</v>
      </c>
      <c r="Y494" s="200">
        <v>60.31</v>
      </c>
      <c r="Z494" s="135"/>
      <c r="AA494" s="135"/>
      <c r="AB494" s="135"/>
      <c r="AC494" s="200">
        <v>66.349999999999994</v>
      </c>
      <c r="AD494" s="135"/>
      <c r="AE494" s="139">
        <f t="shared" ref="AE494:AE502" ca="1" si="221">IF(Z494="-",+AC494/Y494-1,AC494/D494-1)</f>
        <v>-2.1097668928887647E-2</v>
      </c>
      <c r="AF494" s="138">
        <v>73.14</v>
      </c>
      <c r="AG494" s="257">
        <f t="shared" ref="AG494:AG502" ca="1" si="222">IF(Z494="-",+AF494/D494-1,AF494/D494-1)</f>
        <v>7.9079374446739514E-2</v>
      </c>
      <c r="AH494" s="201">
        <v>51.48</v>
      </c>
      <c r="AI494" s="143">
        <f t="shared" ref="AI494:AI502" ca="1" si="223">IF(Z494="-",AH494/Y494-1,+AH494/D494-1)</f>
        <v>-0.24048391856004725</v>
      </c>
      <c r="AJ494" s="141" t="e">
        <f t="shared" ref="AJ494:AJ502" ca="1" si="224">IF(Z494="-","-",+(D494/Z494)-1)</f>
        <v>#DIV/0!</v>
      </c>
      <c r="AK494" s="140" t="e">
        <f t="shared" ref="AK494:AK502" ca="1" si="225">IF(AA494="-","-",+(D494/AA494)-1)</f>
        <v>#DIV/0!</v>
      </c>
      <c r="AL494" s="135"/>
      <c r="AM494" s="140" t="str">
        <f t="shared" ref="AM494:AM502" si="226">IF(AL494=0,"-",+AL494/Z494-1)</f>
        <v>-</v>
      </c>
      <c r="AN494" s="28">
        <f t="shared" ref="AN494:AN502" ca="1" si="227">+D494/Y494-1</f>
        <v>0.12386005637539377</v>
      </c>
    </row>
    <row r="495" spans="1:47" ht="16" customHeight="1" x14ac:dyDescent="0.2">
      <c r="A495" s="135" t="e" vm="450">
        <v>#VALUE!</v>
      </c>
      <c r="B495" s="135" t="str" cm="1">
        <f t="array" aca="1" ref="B495" ca="1">_FV(A495,"Ticker symbol",TRUE)</f>
        <v>SOP</v>
      </c>
      <c r="C495" s="218" cm="1">
        <f t="array" aca="1" ref="C495" ca="1">_FV(A495,"Change (%)",TRUE)</f>
        <v>6.2220000000000001E-3</v>
      </c>
      <c r="D495" s="322" cm="1">
        <f t="array" aca="1" ref="D495" ca="1">_FV(A495,"Price")</f>
        <v>113.2</v>
      </c>
      <c r="E495" s="139">
        <f t="shared" ca="1" si="216"/>
        <v>1.3311837455830386</v>
      </c>
      <c r="F495" s="139"/>
      <c r="G495" s="139"/>
      <c r="H495" s="139"/>
      <c r="I495" s="200">
        <v>263.89</v>
      </c>
      <c r="J495" s="135" cm="1">
        <f t="array" aca="1" ref="J495" ca="1">_FV(A495,"High")</f>
        <v>114.1</v>
      </c>
      <c r="K495" s="135" cm="1">
        <f t="array" aca="1" ref="K495" ca="1">_FV(A495,"Low")</f>
        <v>112.4</v>
      </c>
      <c r="L495" s="149" cm="1">
        <f t="array" aca="1" ref="L495" ca="1">_FV(A495,"52 week high",TRUE)</f>
        <v>210.6</v>
      </c>
      <c r="M495" s="225">
        <f t="shared" ca="1" si="217"/>
        <v>189.54</v>
      </c>
      <c r="N495" s="226">
        <f t="shared" ca="1" si="218"/>
        <v>200.07</v>
      </c>
      <c r="O495" s="222" cm="1">
        <f t="array" aca="1" ref="O495" ca="1">_FV(A495,"52 week low",TRUE)</f>
        <v>109.4</v>
      </c>
      <c r="P495" s="222"/>
      <c r="Q495" s="228">
        <f t="shared" ca="1" si="219"/>
        <v>0</v>
      </c>
      <c r="R495" s="228">
        <f t="shared" ca="1" si="220"/>
        <v>0</v>
      </c>
      <c r="S495" s="135" t="s">
        <v>75</v>
      </c>
      <c r="T495" s="136" t="s">
        <v>78</v>
      </c>
      <c r="U495" s="215"/>
      <c r="V495" s="137">
        <v>46013</v>
      </c>
      <c r="W495" s="137"/>
      <c r="X495" s="138" t="s">
        <v>319</v>
      </c>
      <c r="Y495" s="200">
        <v>159.5</v>
      </c>
      <c r="Z495" s="135"/>
      <c r="AA495" s="135"/>
      <c r="AB495" s="135"/>
      <c r="AC495" s="200">
        <v>263.89</v>
      </c>
      <c r="AD495" s="135"/>
      <c r="AE495" s="139">
        <f t="shared" ca="1" si="221"/>
        <v>1.3311837455830386</v>
      </c>
      <c r="AF495" s="138">
        <v>213.97</v>
      </c>
      <c r="AG495" s="257">
        <f t="shared" ca="1" si="222"/>
        <v>0.89019434628975258</v>
      </c>
      <c r="AH495" s="201">
        <v>135.4</v>
      </c>
      <c r="AI495" s="143">
        <f t="shared" ca="1" si="223"/>
        <v>0.19611307420494706</v>
      </c>
      <c r="AJ495" s="141" t="e">
        <f t="shared" ca="1" si="224"/>
        <v>#DIV/0!</v>
      </c>
      <c r="AK495" s="140" t="e">
        <f t="shared" ca="1" si="225"/>
        <v>#DIV/0!</v>
      </c>
      <c r="AL495" s="135"/>
      <c r="AM495" s="140" t="str">
        <f t="shared" si="226"/>
        <v>-</v>
      </c>
      <c r="AN495" s="28">
        <f t="shared" ca="1" si="227"/>
        <v>-0.29028213166144201</v>
      </c>
    </row>
    <row r="496" spans="1:47" ht="16" customHeight="1" x14ac:dyDescent="0.2">
      <c r="A496" s="135" t="e" vm="451">
        <v>#VALUE!</v>
      </c>
      <c r="B496" s="135" t="str" cm="1">
        <f t="array" aca="1" ref="B496" ca="1">_FV(A496,"Ticker symbol",TRUE)</f>
        <v>DUE</v>
      </c>
      <c r="C496" s="218" cm="1">
        <f t="array" aca="1" ref="C496" ca="1">_FV(A496,"Change (%)",TRUE)</f>
        <v>-9.3460000000000001E-3</v>
      </c>
      <c r="D496" s="322" cm="1">
        <f t="array" aca="1" ref="D496" ca="1">_FV(A496,"Price")</f>
        <v>21.2</v>
      </c>
      <c r="E496" s="139">
        <f t="shared" ca="1" si="216"/>
        <v>0.46367924528301896</v>
      </c>
      <c r="F496" s="139"/>
      <c r="G496" s="139"/>
      <c r="H496" s="139"/>
      <c r="I496" s="200">
        <v>31.03</v>
      </c>
      <c r="J496" s="135" cm="1">
        <f t="array" aca="1" ref="J496" ca="1">_FV(A496,"High")</f>
        <v>21.75</v>
      </c>
      <c r="K496" s="135" cm="1">
        <f t="array" aca="1" ref="K496" ca="1">_FV(A496,"Low")</f>
        <v>21</v>
      </c>
      <c r="L496" s="149" cm="1">
        <f t="array" aca="1" ref="L496" ca="1">_FV(A496,"52 week high",TRUE)</f>
        <v>25.1</v>
      </c>
      <c r="M496" s="225">
        <f t="shared" ca="1" si="217"/>
        <v>22.590000000000003</v>
      </c>
      <c r="N496" s="226">
        <f t="shared" ca="1" si="218"/>
        <v>23.844999999999999</v>
      </c>
      <c r="O496" s="222" cm="1">
        <f t="array" aca="1" ref="O496" ca="1">_FV(A496,"52 week low",TRUE)</f>
        <v>17.2</v>
      </c>
      <c r="P496" s="222"/>
      <c r="Q496" s="228">
        <f t="shared" ca="1" si="219"/>
        <v>0</v>
      </c>
      <c r="R496" s="228">
        <f t="shared" ca="1" si="220"/>
        <v>0</v>
      </c>
      <c r="S496" s="135" t="s">
        <v>75</v>
      </c>
      <c r="T496" s="136" t="s">
        <v>78</v>
      </c>
      <c r="U496" s="215"/>
      <c r="V496" s="137">
        <v>46006</v>
      </c>
      <c r="W496" s="137"/>
      <c r="X496" s="138" t="s">
        <v>305</v>
      </c>
      <c r="Y496" s="200">
        <v>21.65</v>
      </c>
      <c r="Z496" s="135"/>
      <c r="AA496" s="135"/>
      <c r="AB496" s="135"/>
      <c r="AC496" s="200">
        <v>31.03</v>
      </c>
      <c r="AD496" s="135"/>
      <c r="AE496" s="139">
        <f t="shared" ca="1" si="221"/>
        <v>0.46367924528301896</v>
      </c>
      <c r="AF496" s="138">
        <v>30.12</v>
      </c>
      <c r="AG496" s="257">
        <f t="shared" ca="1" si="222"/>
        <v>0.42075471698113209</v>
      </c>
      <c r="AH496" s="201">
        <v>18.18</v>
      </c>
      <c r="AI496" s="143">
        <f t="shared" ca="1" si="223"/>
        <v>-0.14245283018867927</v>
      </c>
      <c r="AJ496" s="141" t="e">
        <f t="shared" ca="1" si="224"/>
        <v>#DIV/0!</v>
      </c>
      <c r="AK496" s="140" t="e">
        <f t="shared" ca="1" si="225"/>
        <v>#DIV/0!</v>
      </c>
      <c r="AL496" s="135"/>
      <c r="AM496" s="140" t="str">
        <f t="shared" si="226"/>
        <v>-</v>
      </c>
      <c r="AN496" s="28">
        <f t="shared" ca="1" si="227"/>
        <v>-2.0785219399538035E-2</v>
      </c>
    </row>
    <row r="497" spans="1:40" ht="16" customHeight="1" x14ac:dyDescent="0.2">
      <c r="A497" s="135" t="e" vm="452">
        <v>#VALUE!</v>
      </c>
      <c r="B497" s="135" t="str" cm="1">
        <f t="array" aca="1" ref="B497" ca="1">_FV(A497,"Ticker symbol",TRUE)</f>
        <v>CXM</v>
      </c>
      <c r="C497" s="218" cm="1">
        <f t="array" aca="1" ref="C497" ca="1">_FV(A497,"Change (%)",TRUE)</f>
        <v>1.5935999999999999E-2</v>
      </c>
      <c r="D497" s="322" cm="1">
        <f t="array" aca="1" ref="D497" ca="1">_FV(A497,"Price")</f>
        <v>5.0999999999999996</v>
      </c>
      <c r="E497" s="139">
        <f t="shared" ca="1" si="216"/>
        <v>1.2117647058823531</v>
      </c>
      <c r="F497" s="139"/>
      <c r="G497" s="139"/>
      <c r="H497" s="139"/>
      <c r="I497" s="200">
        <v>11.28</v>
      </c>
      <c r="J497" s="135" cm="1">
        <f t="array" aca="1" ref="J497" ca="1">_FV(A497,"High")</f>
        <v>5.2549999999999999</v>
      </c>
      <c r="K497" s="135" cm="1">
        <f t="array" aca="1" ref="K497" ca="1">_FV(A497,"Low")</f>
        <v>4.9749999999999996</v>
      </c>
      <c r="L497" s="152" cm="1">
        <f t="array" aca="1" ref="L497" ca="1">_FV(A497,"52 week high",TRUE)</f>
        <v>9.4</v>
      </c>
      <c r="M497" s="225">
        <f t="shared" ca="1" si="217"/>
        <v>8.4600000000000009</v>
      </c>
      <c r="N497" s="226">
        <f t="shared" ca="1" si="218"/>
        <v>8.93</v>
      </c>
      <c r="O497" s="222" cm="1">
        <f t="array" aca="1" ref="O497" ca="1">_FV(A497,"52 week low",TRUE)</f>
        <v>4.7149999999999999</v>
      </c>
      <c r="P497" s="222"/>
      <c r="Q497" s="228">
        <f t="shared" ca="1" si="219"/>
        <v>0</v>
      </c>
      <c r="R497" s="228">
        <f t="shared" ca="1" si="220"/>
        <v>0</v>
      </c>
      <c r="S497" s="135" t="s">
        <v>75</v>
      </c>
      <c r="T497" s="136" t="s">
        <v>78</v>
      </c>
      <c r="U497" s="215" t="s">
        <v>88</v>
      </c>
      <c r="V497" s="137">
        <v>46006</v>
      </c>
      <c r="W497" s="137"/>
      <c r="X497" s="138" t="s">
        <v>307</v>
      </c>
      <c r="Y497" s="200">
        <v>8.24</v>
      </c>
      <c r="Z497" s="135"/>
      <c r="AA497" s="135"/>
      <c r="AB497" s="135"/>
      <c r="AC497" s="200">
        <v>11.28</v>
      </c>
      <c r="AD497" s="135"/>
      <c r="AE497" s="139">
        <f t="shared" ca="1" si="221"/>
        <v>1.2117647058823531</v>
      </c>
      <c r="AF497" s="138">
        <v>10.5</v>
      </c>
      <c r="AG497" s="257">
        <f t="shared" ca="1" si="222"/>
        <v>1.0588235294117649</v>
      </c>
      <c r="AH497" s="201">
        <v>7.08</v>
      </c>
      <c r="AI497" s="143">
        <f t="shared" ca="1" si="223"/>
        <v>0.38823529411764723</v>
      </c>
      <c r="AJ497" s="141" t="e">
        <f t="shared" ca="1" si="224"/>
        <v>#DIV/0!</v>
      </c>
      <c r="AK497" s="140" t="e">
        <f t="shared" ca="1" si="225"/>
        <v>#DIV/0!</v>
      </c>
      <c r="AL497" s="135"/>
      <c r="AM497" s="140" t="str">
        <f t="shared" si="226"/>
        <v>-</v>
      </c>
      <c r="AN497" s="28">
        <f t="shared" ca="1" si="227"/>
        <v>-0.3810679611650486</v>
      </c>
    </row>
    <row r="498" spans="1:40" ht="16" customHeight="1" x14ac:dyDescent="0.2">
      <c r="A498" s="135" t="e" vm="453">
        <v>#VALUE!</v>
      </c>
      <c r="B498" s="135" t="str" cm="1">
        <f t="array" aca="1" ref="B498" ca="1">_FV(A498,"Ticker symbol",TRUE)</f>
        <v>RH</v>
      </c>
      <c r="C498" s="218" cm="1">
        <f t="array" aca="1" ref="C498" ca="1">_FV(A498,"Change (%)",TRUE)</f>
        <v>-1.0617000000000001E-2</v>
      </c>
      <c r="D498" s="322" cm="1">
        <f t="array" aca="1" ref="D498" ca="1">_FV(A498,"Price")</f>
        <v>136.05000000000001</v>
      </c>
      <c r="E498" s="139">
        <f t="shared" ca="1" si="216"/>
        <v>1.2631385520029399</v>
      </c>
      <c r="F498" s="139"/>
      <c r="G498" s="139"/>
      <c r="H498" s="139"/>
      <c r="I498" s="200">
        <v>307.89999999999998</v>
      </c>
      <c r="J498" s="135" cm="1">
        <f t="array" aca="1" ref="J498" ca="1">_FV(A498,"High")</f>
        <v>139.82239999999999</v>
      </c>
      <c r="K498" s="135" cm="1">
        <f t="array" aca="1" ref="K498" ca="1">_FV(A498,"Low")</f>
        <v>135</v>
      </c>
      <c r="L498" s="152" cm="1">
        <f t="array" aca="1" ref="L498" ca="1">_FV(A498,"52 week high",TRUE)</f>
        <v>257</v>
      </c>
      <c r="M498" s="225">
        <f t="shared" ca="1" si="217"/>
        <v>231.3</v>
      </c>
      <c r="N498" s="226">
        <f t="shared" ca="1" si="218"/>
        <v>244.14999999999998</v>
      </c>
      <c r="O498" s="222" cm="1">
        <f t="array" aca="1" ref="O498" ca="1">_FV(A498,"52 week low",TRUE)</f>
        <v>106.30370000000001</v>
      </c>
      <c r="P498" s="222"/>
      <c r="Q498" s="228">
        <f t="shared" ca="1" si="219"/>
        <v>0</v>
      </c>
      <c r="R498" s="228">
        <f t="shared" ca="1" si="220"/>
        <v>0</v>
      </c>
      <c r="S498" s="135" t="s">
        <v>75</v>
      </c>
      <c r="T498" s="136" t="s">
        <v>78</v>
      </c>
      <c r="U498" s="215"/>
      <c r="V498" s="137">
        <v>46027</v>
      </c>
      <c r="W498" s="137">
        <v>46027</v>
      </c>
      <c r="X498" s="138" t="s">
        <v>327</v>
      </c>
      <c r="Y498" s="200">
        <v>198.57</v>
      </c>
      <c r="Z498" s="135"/>
      <c r="AA498" s="135"/>
      <c r="AB498" s="135"/>
      <c r="AC498" s="200">
        <v>307.89999999999998</v>
      </c>
      <c r="AD498" s="135"/>
      <c r="AE498" s="139">
        <f t="shared" ca="1" si="221"/>
        <v>1.2631385520029399</v>
      </c>
      <c r="AF498" s="138">
        <v>204.25</v>
      </c>
      <c r="AG498" s="257">
        <f t="shared" ca="1" si="222"/>
        <v>0.50128629180448359</v>
      </c>
      <c r="AH498" s="201">
        <v>159.88999999999999</v>
      </c>
      <c r="AI498" s="143">
        <f t="shared" ca="1" si="223"/>
        <v>0.17522969496508622</v>
      </c>
      <c r="AJ498" s="141" t="e">
        <f t="shared" ca="1" si="224"/>
        <v>#DIV/0!</v>
      </c>
      <c r="AK498" s="140" t="e">
        <f t="shared" ca="1" si="225"/>
        <v>#DIV/0!</v>
      </c>
      <c r="AL498" s="135"/>
      <c r="AM498" s="140" t="str">
        <f t="shared" si="226"/>
        <v>-</v>
      </c>
      <c r="AN498" s="28">
        <f t="shared" ca="1" si="227"/>
        <v>-0.31485118597975514</v>
      </c>
    </row>
    <row r="499" spans="1:40" ht="16" customHeight="1" x14ac:dyDescent="0.2">
      <c r="A499" s="135" t="e" vm="454">
        <v>#VALUE!</v>
      </c>
      <c r="B499" s="135" t="str" cm="1">
        <f t="array" aca="1" ref="B499" ca="1">_FV(A499,"Ticker symbol",TRUE)</f>
        <v>HWM</v>
      </c>
      <c r="C499" s="218" cm="1">
        <f t="array" aca="1" ref="C499" ca="1">_FV(A499,"Change (%)",TRUE)</f>
        <v>-3.0520000000000005E-3</v>
      </c>
      <c r="D499" s="322" cm="1">
        <f t="array" aca="1" ref="D499" ca="1">_FV(A499,"Price")</f>
        <v>241.7</v>
      </c>
      <c r="E499" s="139">
        <f t="shared" ca="1" si="216"/>
        <v>-3.1857674803475344E-2</v>
      </c>
      <c r="F499" s="139"/>
      <c r="G499" s="139"/>
      <c r="H499" s="139"/>
      <c r="I499" s="200">
        <v>234</v>
      </c>
      <c r="J499" s="135" cm="1">
        <f t="array" aca="1" ref="J499" ca="1">_FV(A499,"High")</f>
        <v>242.46</v>
      </c>
      <c r="K499" s="135" cm="1">
        <f t="array" aca="1" ref="K499" ca="1">_FV(A499,"Low")</f>
        <v>238.01</v>
      </c>
      <c r="L499" s="152" cm="1">
        <f t="array" aca="1" ref="L499" ca="1">_FV(A499,"52 week high",TRUE)</f>
        <v>267.31</v>
      </c>
      <c r="M499" s="225">
        <f t="shared" ca="1" si="217"/>
        <v>240.57900000000001</v>
      </c>
      <c r="N499" s="226">
        <f t="shared" ca="1" si="218"/>
        <v>253.94449999999998</v>
      </c>
      <c r="O499" s="222" cm="1">
        <f t="array" aca="1" ref="O499" ca="1">_FV(A499,"52 week low",TRUE)</f>
        <v>134.81</v>
      </c>
      <c r="P499" s="222"/>
      <c r="Q499" s="228">
        <f t="shared" ca="1" si="219"/>
        <v>1</v>
      </c>
      <c r="R499" s="228">
        <f t="shared" ca="1" si="220"/>
        <v>0</v>
      </c>
      <c r="S499" s="135" t="s">
        <v>75</v>
      </c>
      <c r="T499" s="136" t="s">
        <v>78</v>
      </c>
      <c r="U499" s="215"/>
      <c r="V499" s="137">
        <v>46016</v>
      </c>
      <c r="W499" s="137"/>
      <c r="X499" s="138"/>
      <c r="Y499" s="200">
        <v>211.5</v>
      </c>
      <c r="Z499" s="135"/>
      <c r="AA499" s="135"/>
      <c r="AB499" s="135"/>
      <c r="AC499" s="200">
        <v>234</v>
      </c>
      <c r="AD499" s="135"/>
      <c r="AE499" s="139">
        <f t="shared" ca="1" si="221"/>
        <v>-3.1857674803475344E-2</v>
      </c>
      <c r="AF499" s="138">
        <v>11.5</v>
      </c>
      <c r="AG499" s="257">
        <f t="shared" ca="1" si="222"/>
        <v>-0.95242035581299134</v>
      </c>
      <c r="AH499" s="201">
        <v>8.08</v>
      </c>
      <c r="AI499" s="143">
        <f t="shared" ca="1" si="223"/>
        <v>-0.96657012825817124</v>
      </c>
      <c r="AJ499" s="141" t="e">
        <f t="shared" ca="1" si="224"/>
        <v>#DIV/0!</v>
      </c>
      <c r="AK499" s="140" t="e">
        <f t="shared" ca="1" si="225"/>
        <v>#DIV/0!</v>
      </c>
      <c r="AL499" s="135"/>
      <c r="AM499" s="140" t="str">
        <f t="shared" si="226"/>
        <v>-</v>
      </c>
      <c r="AN499" s="28">
        <f t="shared" ca="1" si="227"/>
        <v>0.14278959810874703</v>
      </c>
    </row>
    <row r="500" spans="1:40" ht="16" customHeight="1" x14ac:dyDescent="0.2">
      <c r="A500" s="135" t="e" vm="455">
        <v>#VALUE!</v>
      </c>
      <c r="B500" s="135" t="str" cm="1">
        <f t="array" aca="1" ref="B500" ca="1">_FV(A500,"Ticker symbol",TRUE)</f>
        <v>EWTX</v>
      </c>
      <c r="C500" s="218" cm="1">
        <f t="array" aca="1" ref="C500" ca="1">_FV(A500,"Change (%)",TRUE)</f>
        <v>-2.9766000000000001E-2</v>
      </c>
      <c r="D500" s="322" cm="1">
        <f t="array" aca="1" ref="D500" ca="1">_FV(A500,"Price")</f>
        <v>30.64</v>
      </c>
      <c r="E500" s="139">
        <f t="shared" ca="1" si="216"/>
        <v>0.17493472584856384</v>
      </c>
      <c r="F500" s="139"/>
      <c r="G500" s="139"/>
      <c r="H500" s="139"/>
      <c r="I500" s="200">
        <v>36</v>
      </c>
      <c r="J500" s="135" cm="1">
        <f t="array" aca="1" ref="J500" ca="1">_FV(A500,"High")</f>
        <v>32.74</v>
      </c>
      <c r="K500" s="135" cm="1">
        <f t="array" aca="1" ref="K500" ca="1">_FV(A500,"Low")</f>
        <v>30.35</v>
      </c>
      <c r="L500" s="152" cm="1">
        <f t="array" aca="1" ref="L500" ca="1">_FV(A500,"52 week high",TRUE)</f>
        <v>35</v>
      </c>
      <c r="M500" s="225">
        <f t="shared" ca="1" si="217"/>
        <v>31.5</v>
      </c>
      <c r="N500" s="226">
        <f t="shared" ca="1" si="218"/>
        <v>33.25</v>
      </c>
      <c r="O500" s="222" cm="1">
        <f t="array" aca="1" ref="O500" ca="1">_FV(A500,"52 week low",TRUE)</f>
        <v>12.15</v>
      </c>
      <c r="P500" s="222"/>
      <c r="Q500" s="228">
        <f t="shared" ca="1" si="219"/>
        <v>0</v>
      </c>
      <c r="R500" s="228">
        <f t="shared" ca="1" si="220"/>
        <v>0</v>
      </c>
      <c r="S500" s="135" t="s">
        <v>166</v>
      </c>
      <c r="T500" s="136" t="s">
        <v>78</v>
      </c>
      <c r="U500" s="215"/>
      <c r="V500" s="137">
        <v>46016</v>
      </c>
      <c r="W500" s="137"/>
      <c r="X500" s="138"/>
      <c r="Y500" s="200">
        <v>27</v>
      </c>
      <c r="Z500" s="135"/>
      <c r="AA500" s="135"/>
      <c r="AB500" s="135"/>
      <c r="AC500" s="200">
        <v>36</v>
      </c>
      <c r="AD500" s="135"/>
      <c r="AE500" s="139">
        <f t="shared" ca="1" si="221"/>
        <v>0.17493472584856384</v>
      </c>
      <c r="AF500" s="138">
        <v>38.17</v>
      </c>
      <c r="AG500" s="257">
        <f t="shared" ca="1" si="222"/>
        <v>0.24575718015665804</v>
      </c>
      <c r="AH500" s="201" t="s">
        <v>11</v>
      </c>
      <c r="AI500" s="143" t="e">
        <f t="shared" ca="1" si="223"/>
        <v>#VALUE!</v>
      </c>
      <c r="AJ500" s="141" t="e">
        <f t="shared" ca="1" si="224"/>
        <v>#DIV/0!</v>
      </c>
      <c r="AK500" s="140" t="e">
        <f t="shared" ca="1" si="225"/>
        <v>#DIV/0!</v>
      </c>
      <c r="AL500" s="135"/>
      <c r="AM500" s="140" t="str">
        <f t="shared" si="226"/>
        <v>-</v>
      </c>
      <c r="AN500" s="28">
        <f t="shared" ca="1" si="227"/>
        <v>0.13481481481481494</v>
      </c>
    </row>
    <row r="501" spans="1:40" ht="16" customHeight="1" x14ac:dyDescent="0.2">
      <c r="A501" s="135" t="e" vm="456">
        <v>#VALUE!</v>
      </c>
      <c r="B501" s="135" t="str" cm="1">
        <f t="array" aca="1" ref="B501" ca="1">_FV(A501,"Ticker symbol",TRUE)</f>
        <v>WM</v>
      </c>
      <c r="C501" s="218" cm="1">
        <f t="array" aca="1" ref="C501" ca="1">_FV(A501,"Change (%)",TRUE)</f>
        <v>-1.4421E-2</v>
      </c>
      <c r="D501" s="322" cm="1">
        <f t="array" aca="1" ref="D501" ca="1">_FV(A501,"Price")</f>
        <v>226.22</v>
      </c>
      <c r="E501" s="139">
        <f t="shared" ca="1" si="216"/>
        <v>0.10511891079480162</v>
      </c>
      <c r="F501" s="139"/>
      <c r="G501" s="139"/>
      <c r="H501" s="139"/>
      <c r="I501" s="200">
        <v>250</v>
      </c>
      <c r="J501" s="135" cm="1">
        <f t="array" aca="1" ref="J501" ca="1">_FV(A501,"High")</f>
        <v>230.37</v>
      </c>
      <c r="K501" s="135" cm="1">
        <f t="array" aca="1" ref="K501" ca="1">_FV(A501,"Low")</f>
        <v>225.71</v>
      </c>
      <c r="L501" s="152" cm="1">
        <f t="array" aca="1" ref="L501" ca="1">_FV(A501,"52 week high",TRUE)</f>
        <v>248.13</v>
      </c>
      <c r="M501" s="225">
        <f t="shared" ca="1" si="217"/>
        <v>223.31700000000001</v>
      </c>
      <c r="N501" s="226">
        <f t="shared" ca="1" si="218"/>
        <v>235.72349999999997</v>
      </c>
      <c r="O501" s="222" cm="1">
        <f t="array" aca="1" ref="O501" ca="1">_FV(A501,"52 week low",TRUE)</f>
        <v>194.11</v>
      </c>
      <c r="P501" s="222"/>
      <c r="Q501" s="228">
        <f t="shared" ca="1" si="219"/>
        <v>1</v>
      </c>
      <c r="R501" s="228">
        <f t="shared" ca="1" si="220"/>
        <v>0</v>
      </c>
      <c r="S501" s="135" t="s">
        <v>166</v>
      </c>
      <c r="T501" s="136" t="s">
        <v>78</v>
      </c>
      <c r="U501" s="215"/>
      <c r="V501" s="137">
        <v>46016</v>
      </c>
      <c r="W501" s="137"/>
      <c r="X501" s="138"/>
      <c r="Y501" s="200">
        <v>221</v>
      </c>
      <c r="Z501" s="135"/>
      <c r="AA501" s="135"/>
      <c r="AB501" s="135"/>
      <c r="AC501" s="200">
        <v>250</v>
      </c>
      <c r="AD501" s="135"/>
      <c r="AE501" s="139">
        <f t="shared" ca="1" si="221"/>
        <v>0.10511891079480162</v>
      </c>
      <c r="AF501" s="138">
        <v>246.63</v>
      </c>
      <c r="AG501" s="257">
        <f t="shared" ca="1" si="222"/>
        <v>9.0221907877287677E-2</v>
      </c>
      <c r="AH501" s="201" t="s">
        <v>11</v>
      </c>
      <c r="AI501" s="143" t="e">
        <f t="shared" ca="1" si="223"/>
        <v>#VALUE!</v>
      </c>
      <c r="AJ501" s="141" t="e">
        <f t="shared" ca="1" si="224"/>
        <v>#DIV/0!</v>
      </c>
      <c r="AK501" s="140" t="e">
        <f t="shared" ca="1" si="225"/>
        <v>#DIV/0!</v>
      </c>
      <c r="AL501" s="135"/>
      <c r="AM501" s="140" t="str">
        <f t="shared" si="226"/>
        <v>-</v>
      </c>
      <c r="AN501" s="28">
        <f t="shared" ca="1" si="227"/>
        <v>2.3619909502262448E-2</v>
      </c>
    </row>
    <row r="502" spans="1:40" ht="16" customHeight="1" x14ac:dyDescent="0.2">
      <c r="A502" s="135" t="e" vm="457">
        <v>#VALUE!</v>
      </c>
      <c r="B502" s="135" t="str" cm="1">
        <f t="array" aca="1" ref="B502" ca="1">_FV(A502,"Ticker symbol",TRUE)</f>
        <v>EXLS</v>
      </c>
      <c r="C502" s="218" cm="1">
        <f t="array" aca="1" ref="C502" ca="1">_FV(A502,"Change (%)",TRUE)</f>
        <v>-6.579E-4</v>
      </c>
      <c r="D502" s="322" cm="1">
        <f t="array" aca="1" ref="D502" ca="1">_FV(A502,"Price")</f>
        <v>30.38</v>
      </c>
      <c r="E502" s="139">
        <f t="shared" ca="1" si="216"/>
        <v>0.86767610269914419</v>
      </c>
      <c r="F502" s="139"/>
      <c r="G502" s="139"/>
      <c r="H502" s="139"/>
      <c r="I502" s="200">
        <v>56.74</v>
      </c>
      <c r="J502" s="135" cm="1">
        <f t="array" aca="1" ref="J502" ca="1">_FV(A502,"High")</f>
        <v>30.88</v>
      </c>
      <c r="K502" s="135" cm="1">
        <f t="array" aca="1" ref="K502" ca="1">_FV(A502,"Low")</f>
        <v>30.24</v>
      </c>
      <c r="L502" s="152" cm="1">
        <f t="array" aca="1" ref="L502" ca="1">_FV(A502,"52 week high",TRUE)</f>
        <v>48.79</v>
      </c>
      <c r="M502" s="225">
        <f t="shared" ca="1" si="217"/>
        <v>43.911000000000001</v>
      </c>
      <c r="N502" s="226">
        <f t="shared" ca="1" si="218"/>
        <v>46.350499999999997</v>
      </c>
      <c r="O502" s="222" cm="1">
        <f t="array" aca="1" ref="O502" ca="1">_FV(A502,"52 week low",TRUE)</f>
        <v>26.94</v>
      </c>
      <c r="P502" s="222"/>
      <c r="Q502" s="228">
        <f t="shared" ca="1" si="219"/>
        <v>0</v>
      </c>
      <c r="R502" s="228">
        <f t="shared" ca="1" si="220"/>
        <v>0</v>
      </c>
      <c r="S502" s="135" t="s">
        <v>75</v>
      </c>
      <c r="T502" s="136" t="s">
        <v>78</v>
      </c>
      <c r="U502" s="215"/>
      <c r="V502" s="137">
        <v>46014</v>
      </c>
      <c r="W502" s="137"/>
      <c r="X502" s="138"/>
      <c r="Y502" s="200">
        <v>43.26</v>
      </c>
      <c r="Z502" s="135"/>
      <c r="AA502" s="135"/>
      <c r="AB502" s="135"/>
      <c r="AC502" s="200">
        <v>56.74</v>
      </c>
      <c r="AD502" s="135"/>
      <c r="AE502" s="139">
        <f t="shared" ca="1" si="221"/>
        <v>0.86767610269914419</v>
      </c>
      <c r="AF502" s="138">
        <v>52.29</v>
      </c>
      <c r="AG502" s="257">
        <f t="shared" ca="1" si="222"/>
        <v>0.72119815668202758</v>
      </c>
      <c r="AH502" s="201">
        <v>37.94</v>
      </c>
      <c r="AI502" s="143">
        <f t="shared" ca="1" si="223"/>
        <v>0.24884792626728114</v>
      </c>
      <c r="AJ502" s="141" t="e">
        <f t="shared" ca="1" si="224"/>
        <v>#DIV/0!</v>
      </c>
      <c r="AK502" s="140" t="e">
        <f t="shared" ca="1" si="225"/>
        <v>#DIV/0!</v>
      </c>
      <c r="AL502" s="135"/>
      <c r="AM502" s="140" t="str">
        <f t="shared" si="226"/>
        <v>-</v>
      </c>
      <c r="AN502" s="28">
        <f t="shared" ca="1" si="227"/>
        <v>-0.29773462783171523</v>
      </c>
    </row>
    <row r="503" spans="1:40" ht="16" customHeight="1" x14ac:dyDescent="0.2">
      <c r="A503" s="135" t="e" vm="453">
        <v>#VALUE!</v>
      </c>
      <c r="B503" s="135" t="str" cm="1">
        <f t="array" aca="1" ref="B503" ca="1">_FV(A503,"Ticker symbol",TRUE)</f>
        <v>RH</v>
      </c>
      <c r="C503" s="218" cm="1">
        <f t="array" aca="1" ref="C503" ca="1">_FV(A503,"Change (%)",TRUE)</f>
        <v>-1.0617000000000001E-2</v>
      </c>
      <c r="D503" s="322" cm="1">
        <f t="array" aca="1" ref="D503" ca="1">_FV(A503,"Price")</f>
        <v>136.05000000000001</v>
      </c>
      <c r="E503" s="139">
        <f t="shared" ref="E503:E514" ca="1" si="228">AE503</f>
        <v>1.2631385520029399</v>
      </c>
      <c r="F503" s="139"/>
      <c r="G503" s="139"/>
      <c r="H503" s="139"/>
      <c r="I503" s="200">
        <v>307.89999999999998</v>
      </c>
      <c r="J503" s="135" cm="1">
        <f t="array" aca="1" ref="J503" ca="1">_FV(A503,"High")</f>
        <v>139.82239999999999</v>
      </c>
      <c r="K503" s="135" cm="1">
        <f t="array" aca="1" ref="K503" ca="1">_FV(A503,"Low")</f>
        <v>135</v>
      </c>
      <c r="L503" s="152" cm="1">
        <f t="array" aca="1" ref="L503" ca="1">_FV(A503,"52 week high",TRUE)</f>
        <v>257</v>
      </c>
      <c r="M503" s="225">
        <f t="shared" ref="M503:M514" ca="1" si="229">+L503*0.9</f>
        <v>231.3</v>
      </c>
      <c r="N503" s="226">
        <f t="shared" ref="N503:N514" ca="1" si="230">+L503*0.95</f>
        <v>244.14999999999998</v>
      </c>
      <c r="O503" s="222" cm="1">
        <f t="array" aca="1" ref="O503" ca="1">_FV(A503,"52 week low",TRUE)</f>
        <v>106.30370000000001</v>
      </c>
      <c r="P503" s="222"/>
      <c r="Q503" s="228">
        <f t="shared" ref="Q503:Q514" ca="1" si="231">GESTEP(D503,M503)</f>
        <v>0</v>
      </c>
      <c r="R503" s="228">
        <f t="shared" ref="R503:R514" ca="1" si="232">GESTEP(D503,N503)</f>
        <v>0</v>
      </c>
      <c r="S503" s="135" t="s">
        <v>75</v>
      </c>
      <c r="T503" s="136" t="s">
        <v>78</v>
      </c>
      <c r="U503" s="215"/>
      <c r="V503" s="137">
        <v>46027</v>
      </c>
      <c r="W503" s="137">
        <v>46027</v>
      </c>
      <c r="X503" s="138" t="s">
        <v>327</v>
      </c>
      <c r="Y503" s="200">
        <v>198.57</v>
      </c>
      <c r="Z503" s="135"/>
      <c r="AA503" s="135"/>
      <c r="AB503" s="135"/>
      <c r="AC503" s="200">
        <v>307.89999999999998</v>
      </c>
      <c r="AD503" s="135"/>
      <c r="AE503" s="139">
        <f t="shared" ref="AE503:AE514" ca="1" si="233">IF(Z503="-",+AC503/Y503-1,AC503/D503-1)</f>
        <v>1.2631385520029399</v>
      </c>
      <c r="AF503" s="138">
        <v>204.25</v>
      </c>
      <c r="AG503" s="257">
        <f t="shared" ref="AG503:AG514" ca="1" si="234">IF(Z503="-",+AF503/D503-1,AF503/D503-1)</f>
        <v>0.50128629180448359</v>
      </c>
      <c r="AH503" s="201">
        <v>159.88999999999999</v>
      </c>
      <c r="AI503" s="143">
        <f t="shared" ref="AI503:AI514" ca="1" si="235">IF(Z503="-",AH503/Y503-1,+AH503/D503-1)</f>
        <v>0.17522969496508622</v>
      </c>
      <c r="AJ503" s="141" t="e">
        <f t="shared" ref="AJ503:AJ514" ca="1" si="236">IF(Z503="-","-",+(D503/Z503)-1)</f>
        <v>#DIV/0!</v>
      </c>
      <c r="AK503" s="140" t="e">
        <f t="shared" ref="AK503:AK514" ca="1" si="237">IF(AA503="-","-",+(D503/AA503)-1)</f>
        <v>#DIV/0!</v>
      </c>
      <c r="AL503" s="135"/>
      <c r="AM503" s="140" t="str">
        <f t="shared" ref="AM503:AM514" si="238">IF(AL503=0,"-",+AL503/Z503-1)</f>
        <v>-</v>
      </c>
      <c r="AN503" s="28">
        <f t="shared" ref="AN503:AN514" ca="1" si="239">+D503/Y503-1</f>
        <v>-0.31485118597975514</v>
      </c>
    </row>
    <row r="504" spans="1:40" ht="16" customHeight="1" x14ac:dyDescent="0.2">
      <c r="A504" s="135" t="e" vm="458">
        <v>#VALUE!</v>
      </c>
      <c r="B504" s="135" t="str" cm="1">
        <f t="array" aca="1" ref="B504" ca="1">_FV(A504,"Ticker symbol",TRUE)</f>
        <v>RXO</v>
      </c>
      <c r="C504" s="218" cm="1">
        <f t="array" aca="1" ref="C504" ca="1">_FV(A504,"Change (%)",TRUE)</f>
        <v>2.5800000000000003E-3</v>
      </c>
      <c r="D504" s="322" cm="1">
        <f t="array" aca="1" ref="D504" ca="1">_FV(A504,"Price")</f>
        <v>19.43</v>
      </c>
      <c r="E504" s="139">
        <f t="shared" ca="1" si="228"/>
        <v>0.3983530622748328</v>
      </c>
      <c r="F504" s="139"/>
      <c r="G504" s="139"/>
      <c r="H504" s="139"/>
      <c r="I504" s="200">
        <v>27.17</v>
      </c>
      <c r="J504" s="135" cm="1">
        <f t="array" aca="1" ref="J504" ca="1">_FV(A504,"High")</f>
        <v>19.8</v>
      </c>
      <c r="K504" s="135" cm="1">
        <f t="array" aca="1" ref="K504" ca="1">_FV(A504,"Low")</f>
        <v>19.36</v>
      </c>
      <c r="L504" s="152" cm="1">
        <f t="array" aca="1" ref="L504" ca="1">_FV(A504,"52 week high",TRUE)</f>
        <v>20.184999999999999</v>
      </c>
      <c r="M504" s="225">
        <f t="shared" ca="1" si="229"/>
        <v>18.166499999999999</v>
      </c>
      <c r="N504" s="226">
        <f t="shared" ca="1" si="230"/>
        <v>19.175749999999997</v>
      </c>
      <c r="O504" s="222" cm="1">
        <f t="array" aca="1" ref="O504" ca="1">_FV(A504,"52 week low",TRUE)</f>
        <v>10.425000000000001</v>
      </c>
      <c r="P504" s="222"/>
      <c r="Q504" s="228">
        <f t="shared" ca="1" si="231"/>
        <v>1</v>
      </c>
      <c r="R504" s="228">
        <f t="shared" ca="1" si="232"/>
        <v>1</v>
      </c>
      <c r="S504" s="135" t="s">
        <v>75</v>
      </c>
      <c r="T504" s="136" t="s">
        <v>78</v>
      </c>
      <c r="U504" s="215" t="s">
        <v>26</v>
      </c>
      <c r="V504" s="137">
        <v>46062</v>
      </c>
      <c r="W504" s="137"/>
      <c r="X504" s="138" t="s">
        <v>365</v>
      </c>
      <c r="Y504" s="200">
        <v>17.55</v>
      </c>
      <c r="Z504" s="135">
        <v>17.55</v>
      </c>
      <c r="AA504" s="135"/>
      <c r="AB504" s="135"/>
      <c r="AC504" s="200">
        <v>27.17</v>
      </c>
      <c r="AD504" s="135"/>
      <c r="AE504" s="139">
        <f t="shared" ca="1" si="233"/>
        <v>0.3983530622748328</v>
      </c>
      <c r="AF504" s="138">
        <v>16.16</v>
      </c>
      <c r="AG504" s="257">
        <f t="shared" ca="1" si="234"/>
        <v>-0.16829644879053007</v>
      </c>
      <c r="AH504" s="201">
        <v>14.14</v>
      </c>
      <c r="AI504" s="143">
        <f t="shared" ca="1" si="235"/>
        <v>-0.27225939269171384</v>
      </c>
      <c r="AJ504" s="141">
        <f t="shared" ca="1" si="236"/>
        <v>0.10712250712250704</v>
      </c>
      <c r="AK504" s="140" t="e">
        <f t="shared" ca="1" si="237"/>
        <v>#DIV/0!</v>
      </c>
      <c r="AL504" s="135"/>
      <c r="AM504" s="140" t="str">
        <f t="shared" si="238"/>
        <v>-</v>
      </c>
      <c r="AN504" s="28">
        <f t="shared" ca="1" si="239"/>
        <v>0.10712250712250704</v>
      </c>
    </row>
    <row r="505" spans="1:40" ht="16" customHeight="1" x14ac:dyDescent="0.2">
      <c r="A505" s="135" t="e" vm="459">
        <v>#VALUE!</v>
      </c>
      <c r="B505" s="135" t="str" cm="1">
        <f t="array" aca="1" ref="B505" ca="1">_FV(A505,"Ticker symbol",TRUE)</f>
        <v>BAS</v>
      </c>
      <c r="C505" s="218" cm="1">
        <f t="array" aca="1" ref="C505" ca="1">_FV(A505,"Change (%)",TRUE)</f>
        <v>0</v>
      </c>
      <c r="D505" s="322" cm="1">
        <f t="array" aca="1" ref="D505" ca="1">_FV(A505,"Price")</f>
        <v>54.01</v>
      </c>
      <c r="E505" s="139">
        <f t="shared" ca="1" si="228"/>
        <v>0.14793556748750225</v>
      </c>
      <c r="F505" s="139"/>
      <c r="G505" s="139"/>
      <c r="H505" s="139"/>
      <c r="I505" s="200">
        <v>62</v>
      </c>
      <c r="J505" s="135" cm="1">
        <f t="array" aca="1" ref="J505" ca="1">_FV(A505,"High")</f>
        <v>54.73</v>
      </c>
      <c r="K505" s="135" cm="1">
        <f t="array" aca="1" ref="K505" ca="1">_FV(A505,"Low")</f>
        <v>54.01</v>
      </c>
      <c r="L505" s="149" cm="1">
        <f t="array" aca="1" ref="L505" ca="1">_FV(A505,"52 week high",TRUE)</f>
        <v>95.7</v>
      </c>
      <c r="M505" s="225">
        <f t="shared" ca="1" si="229"/>
        <v>86.13000000000001</v>
      </c>
      <c r="N505" s="226">
        <f t="shared" ca="1" si="230"/>
        <v>90.914999999999992</v>
      </c>
      <c r="O505" s="222" cm="1">
        <f t="array" aca="1" ref="O505" ca="1">_FV(A505,"52 week low",TRUE)</f>
        <v>37.409999999999997</v>
      </c>
      <c r="P505" s="222"/>
      <c r="Q505" s="228">
        <f t="shared" ca="1" si="231"/>
        <v>0</v>
      </c>
      <c r="R505" s="228">
        <f t="shared" ca="1" si="232"/>
        <v>0</v>
      </c>
      <c r="S505" s="135" t="s">
        <v>75</v>
      </c>
      <c r="T505" s="136" t="s">
        <v>26</v>
      </c>
      <c r="U505" s="215"/>
      <c r="V505" s="137">
        <v>46070</v>
      </c>
      <c r="W505" s="137"/>
      <c r="X505" s="138" t="s">
        <v>369</v>
      </c>
      <c r="Y505" s="200">
        <v>54.55</v>
      </c>
      <c r="Z505" s="135"/>
      <c r="AA505" s="135"/>
      <c r="AB505" s="135"/>
      <c r="AC505" s="200">
        <v>62</v>
      </c>
      <c r="AD505" s="135"/>
      <c r="AE505" s="139">
        <f t="shared" ca="1" si="233"/>
        <v>0.14793556748750225</v>
      </c>
      <c r="AF505" s="138">
        <v>49.16</v>
      </c>
      <c r="AG505" s="257">
        <f t="shared" ca="1" si="234"/>
        <v>-8.979818552119978E-2</v>
      </c>
      <c r="AH505" s="201">
        <v>40.799999999999997</v>
      </c>
      <c r="AI505" s="143">
        <f t="shared" ca="1" si="235"/>
        <v>-0.24458433623403075</v>
      </c>
      <c r="AJ505" s="141" t="e">
        <f t="shared" ca="1" si="236"/>
        <v>#DIV/0!</v>
      </c>
      <c r="AK505" s="140" t="e">
        <f t="shared" ca="1" si="237"/>
        <v>#DIV/0!</v>
      </c>
      <c r="AL505" s="135"/>
      <c r="AM505" s="140" t="str">
        <f t="shared" si="238"/>
        <v>-</v>
      </c>
      <c r="AN505" s="28">
        <f t="shared" ca="1" si="239"/>
        <v>-9.8991750687442703E-3</v>
      </c>
    </row>
    <row r="506" spans="1:40" ht="16" customHeight="1" x14ac:dyDescent="0.2">
      <c r="A506" s="135" t="e" vm="243">
        <v>#VALUE!</v>
      </c>
      <c r="B506" s="135" t="str" cm="1">
        <f t="array" aca="1" ref="B506" ca="1">_FV(A506,"Ticker symbol",TRUE)</f>
        <v>ZBH</v>
      </c>
      <c r="C506" s="218" cm="1">
        <f t="array" aca="1" ref="C506" ca="1">_FV(A506,"Change (%)",TRUE)</f>
        <v>1.4574E-2</v>
      </c>
      <c r="D506" s="322" cm="1">
        <f t="array" aca="1" ref="D506" ca="1">_FV(A506,"Price")</f>
        <v>92.59</v>
      </c>
      <c r="E506" s="139">
        <f t="shared" ca="1" si="228"/>
        <v>0.40673938870288362</v>
      </c>
      <c r="F506" s="139"/>
      <c r="G506" s="139"/>
      <c r="H506" s="139"/>
      <c r="I506" s="200">
        <v>130.25</v>
      </c>
      <c r="J506" s="135" cm="1">
        <f t="array" aca="1" ref="J506" ca="1">_FV(A506,"High")</f>
        <v>93.78</v>
      </c>
      <c r="K506" s="135" cm="1">
        <f t="array" aca="1" ref="K506" ca="1">_FV(A506,"Low")</f>
        <v>91.24</v>
      </c>
      <c r="L506" s="152" cm="1">
        <f t="array" aca="1" ref="L506" ca="1">_FV(A506,"52 week high",TRUE)</f>
        <v>108.29</v>
      </c>
      <c r="M506" s="225">
        <f t="shared" ca="1" si="229"/>
        <v>97.461000000000013</v>
      </c>
      <c r="N506" s="226">
        <f t="shared" ca="1" si="230"/>
        <v>102.8755</v>
      </c>
      <c r="O506" s="222" cm="1">
        <f t="array" aca="1" ref="O506" ca="1">_FV(A506,"52 week low",TRUE)</f>
        <v>84.59</v>
      </c>
      <c r="P506" s="222"/>
      <c r="Q506" s="228">
        <f t="shared" ca="1" si="231"/>
        <v>0</v>
      </c>
      <c r="R506" s="228">
        <f t="shared" ca="1" si="232"/>
        <v>0</v>
      </c>
      <c r="S506" s="135" t="s">
        <v>75</v>
      </c>
      <c r="T506" s="136" t="s">
        <v>78</v>
      </c>
      <c r="U506" s="215"/>
      <c r="V506" s="137">
        <v>46070</v>
      </c>
      <c r="W506" s="137"/>
      <c r="X506" s="138" t="s">
        <v>370</v>
      </c>
      <c r="Y506" s="200">
        <v>97.27</v>
      </c>
      <c r="Z506" s="135"/>
      <c r="AA506" s="135"/>
      <c r="AB506" s="135"/>
      <c r="AC506" s="200">
        <v>130.25</v>
      </c>
      <c r="AD506" s="135"/>
      <c r="AE506" s="139">
        <f t="shared" ca="1" si="233"/>
        <v>0.40673938870288362</v>
      </c>
      <c r="AF506" s="138">
        <v>119.94</v>
      </c>
      <c r="AG506" s="257">
        <f t="shared" ca="1" si="234"/>
        <v>0.29538827087158426</v>
      </c>
      <c r="AH506" s="201">
        <v>84.48</v>
      </c>
      <c r="AI506" s="143">
        <f t="shared" ca="1" si="235"/>
        <v>-8.7590452532670948E-2</v>
      </c>
      <c r="AJ506" s="141" t="e">
        <f t="shared" ca="1" si="236"/>
        <v>#DIV/0!</v>
      </c>
      <c r="AK506" s="140" t="e">
        <f t="shared" ca="1" si="237"/>
        <v>#DIV/0!</v>
      </c>
      <c r="AL506" s="135"/>
      <c r="AM506" s="140" t="str">
        <f t="shared" si="238"/>
        <v>-</v>
      </c>
      <c r="AN506" s="28">
        <f t="shared" ca="1" si="239"/>
        <v>-4.8113498509303909E-2</v>
      </c>
    </row>
    <row r="507" spans="1:40" ht="16" customHeight="1" x14ac:dyDescent="0.2">
      <c r="A507" s="135" t="e" vm="78">
        <v>#VALUE!</v>
      </c>
      <c r="B507" s="135" t="str" cm="1">
        <f t="array" aca="1" ref="B507" ca="1">_FV(A507,"Ticker symbol",TRUE)</f>
        <v>GNTX</v>
      </c>
      <c r="C507" s="218" cm="1">
        <f t="array" aca="1" ref="C507" ca="1">_FV(A507,"Change (%)",TRUE)</f>
        <v>-8.3750000000000003E-4</v>
      </c>
      <c r="D507" s="322" cm="1">
        <f t="array" aca="1" ref="D507" ca="1">_FV(A507,"Price")</f>
        <v>23.86</v>
      </c>
      <c r="E507" s="139">
        <f t="shared" ca="1" si="228"/>
        <v>0.39564124056999161</v>
      </c>
      <c r="F507" s="139"/>
      <c r="G507" s="139"/>
      <c r="H507" s="139"/>
      <c r="I507" s="200">
        <v>33.299999999999997</v>
      </c>
      <c r="J507" s="135" cm="1">
        <f t="array" aca="1" ref="J507" ca="1">_FV(A507,"High")</f>
        <v>24.82</v>
      </c>
      <c r="K507" s="135" cm="1">
        <f t="array" aca="1" ref="K507" ca="1">_FV(A507,"Low")</f>
        <v>23.83</v>
      </c>
      <c r="L507" s="152" cm="1">
        <f t="array" aca="1" ref="L507" ca="1">_FV(A507,"52 week high",TRUE)</f>
        <v>29.38</v>
      </c>
      <c r="M507" s="225">
        <f t="shared" ca="1" si="229"/>
        <v>26.442</v>
      </c>
      <c r="N507" s="226">
        <f t="shared" ca="1" si="230"/>
        <v>27.910999999999998</v>
      </c>
      <c r="O507" s="222" cm="1">
        <f t="array" aca="1" ref="O507" ca="1">_FV(A507,"52 week low",TRUE)</f>
        <v>20.48</v>
      </c>
      <c r="P507" s="222"/>
      <c r="Q507" s="228">
        <f t="shared" ca="1" si="231"/>
        <v>0</v>
      </c>
      <c r="R507" s="228">
        <f t="shared" ca="1" si="232"/>
        <v>0</v>
      </c>
      <c r="S507" s="135" t="s">
        <v>75</v>
      </c>
      <c r="T507" s="136" t="s">
        <v>78</v>
      </c>
      <c r="U507" s="215" t="s">
        <v>199</v>
      </c>
      <c r="V507" s="137">
        <v>46070</v>
      </c>
      <c r="W507" s="137"/>
      <c r="X507" s="138" t="s">
        <v>371</v>
      </c>
      <c r="Y507" s="200">
        <v>25.17</v>
      </c>
      <c r="Z507" s="135"/>
      <c r="AA507" s="135"/>
      <c r="AB507" s="135"/>
      <c r="AC507" s="200">
        <v>33.299999999999997</v>
      </c>
      <c r="AD507" s="135"/>
      <c r="AE507" s="139">
        <f t="shared" ca="1" si="233"/>
        <v>0.39564124056999161</v>
      </c>
      <c r="AF507" s="138">
        <v>34.200000000000003</v>
      </c>
      <c r="AG507" s="257">
        <f t="shared" ca="1" si="234"/>
        <v>0.43336127409891056</v>
      </c>
      <c r="AH507" s="201">
        <v>21.98</v>
      </c>
      <c r="AI507" s="143">
        <f t="shared" ca="1" si="235"/>
        <v>-7.8792958927074608E-2</v>
      </c>
      <c r="AJ507" s="141" t="e">
        <f t="shared" ca="1" si="236"/>
        <v>#DIV/0!</v>
      </c>
      <c r="AK507" s="140" t="e">
        <f t="shared" ca="1" si="237"/>
        <v>#DIV/0!</v>
      </c>
      <c r="AL507" s="135"/>
      <c r="AM507" s="140" t="str">
        <f t="shared" si="238"/>
        <v>-</v>
      </c>
      <c r="AN507" s="28">
        <f t="shared" ca="1" si="239"/>
        <v>-5.2046086611044928E-2</v>
      </c>
    </row>
    <row r="508" spans="1:40" ht="16" customHeight="1" x14ac:dyDescent="0.2">
      <c r="A508" s="135" t="e" vm="63">
        <v>#VALUE!</v>
      </c>
      <c r="B508" s="135" t="str" cm="1">
        <f t="array" aca="1" ref="B508" ca="1">_FV(A508,"Ticker symbol",TRUE)</f>
        <v>ENC</v>
      </c>
      <c r="C508" s="218" cm="1">
        <f t="array" aca="1" ref="C508" ca="1">_FV(A508,"Change (%)",TRUE)</f>
        <v>-3.4009999999999999E-3</v>
      </c>
      <c r="D508" s="322" cm="1">
        <f t="array" aca="1" ref="D508" ca="1">_FV(A508,"Price")</f>
        <v>2.3439999999999999</v>
      </c>
      <c r="E508" s="139">
        <f t="shared" ca="1" si="228"/>
        <v>0.48549488054607526</v>
      </c>
      <c r="F508" s="139"/>
      <c r="G508" s="139"/>
      <c r="H508" s="139"/>
      <c r="I508" s="200">
        <v>3.4820000000000002</v>
      </c>
      <c r="J508" s="135" cm="1">
        <f t="array" aca="1" ref="J508" ca="1">_FV(A508,"High")</f>
        <v>2.37</v>
      </c>
      <c r="K508" s="135" cm="1">
        <f t="array" aca="1" ref="K508" ca="1">_FV(A508,"Low")</f>
        <v>2.33</v>
      </c>
      <c r="L508" s="149" cm="1">
        <f t="array" aca="1" ref="L508" ca="1">_FV(A508,"52 week high",TRUE)</f>
        <v>3.0379999999999998</v>
      </c>
      <c r="M508" s="225">
        <f t="shared" ca="1" si="229"/>
        <v>2.7342</v>
      </c>
      <c r="N508" s="226">
        <f t="shared" ca="1" si="230"/>
        <v>2.8860999999999999</v>
      </c>
      <c r="O508" s="222" cm="1">
        <f t="array" aca="1" ref="O508" ca="1">_FV(A508,"52 week low",TRUE)</f>
        <v>2.14</v>
      </c>
      <c r="P508" s="222"/>
      <c r="Q508" s="228">
        <f t="shared" ca="1" si="231"/>
        <v>0</v>
      </c>
      <c r="R508" s="228">
        <f t="shared" ca="1" si="232"/>
        <v>0</v>
      </c>
      <c r="S508" s="135" t="s">
        <v>75</v>
      </c>
      <c r="T508" s="136" t="s">
        <v>78</v>
      </c>
      <c r="U508" s="215"/>
      <c r="V508" s="137">
        <v>46069</v>
      </c>
      <c r="W508" s="137"/>
      <c r="X508" s="138"/>
      <c r="Y508" s="200">
        <v>2.6240000000000001</v>
      </c>
      <c r="Z508" s="135"/>
      <c r="AA508" s="135"/>
      <c r="AB508" s="135"/>
      <c r="AC508" s="200">
        <v>3.4820000000000002</v>
      </c>
      <c r="AD508" s="135"/>
      <c r="AE508" s="139">
        <f t="shared" ca="1" si="233"/>
        <v>0.48549488054607526</v>
      </c>
      <c r="AF508" s="138">
        <v>3.516</v>
      </c>
      <c r="AG508" s="257">
        <f t="shared" ca="1" si="234"/>
        <v>0.5</v>
      </c>
      <c r="AH508" s="201">
        <v>2.2879999999999998</v>
      </c>
      <c r="AI508" s="143">
        <f t="shared" ca="1" si="235"/>
        <v>-2.3890784982935176E-2</v>
      </c>
      <c r="AJ508" s="141" t="e">
        <f t="shared" ca="1" si="236"/>
        <v>#DIV/0!</v>
      </c>
      <c r="AK508" s="140" t="e">
        <f t="shared" ca="1" si="237"/>
        <v>#DIV/0!</v>
      </c>
      <c r="AL508" s="135"/>
      <c r="AM508" s="140" t="str">
        <f t="shared" si="238"/>
        <v>-</v>
      </c>
      <c r="AN508" s="28">
        <f t="shared" ca="1" si="239"/>
        <v>-0.10670731707317083</v>
      </c>
    </row>
    <row r="509" spans="1:40" ht="16" customHeight="1" x14ac:dyDescent="0.2">
      <c r="A509" s="135" t="e" vm="460">
        <v>#VALUE!</v>
      </c>
      <c r="B509" s="135" t="str" cm="1">
        <f t="array" aca="1" ref="B509" ca="1">_FV(A509,"Ticker symbol",TRUE)</f>
        <v>COLM</v>
      </c>
      <c r="C509" s="218" cm="1">
        <f t="array" aca="1" ref="C509" ca="1">_FV(A509,"Change (%)",TRUE)</f>
        <v>1.3608E-2</v>
      </c>
      <c r="D509" s="322" cm="1">
        <f t="array" aca="1" ref="D509" ca="1">_FV(A509,"Price")</f>
        <v>61.08</v>
      </c>
      <c r="E509" s="139">
        <f t="shared" ca="1" si="228"/>
        <v>0.73035363457760316</v>
      </c>
      <c r="F509" s="139"/>
      <c r="G509" s="139"/>
      <c r="H509" s="139"/>
      <c r="I509" s="200">
        <v>105.69</v>
      </c>
      <c r="J509" s="135" cm="1">
        <f t="array" aca="1" ref="J509" ca="1">_FV(A509,"High")</f>
        <v>61.47</v>
      </c>
      <c r="K509" s="135" cm="1">
        <f t="array" aca="1" ref="K509" ca="1">_FV(A509,"Low")</f>
        <v>60.35</v>
      </c>
      <c r="L509" s="152" cm="1">
        <f t="array" aca="1" ref="L509" ca="1">_FV(A509,"52 week high",TRUE)</f>
        <v>71.680000000000007</v>
      </c>
      <c r="M509" s="225">
        <f t="shared" ca="1" si="229"/>
        <v>64.512000000000015</v>
      </c>
      <c r="N509" s="226">
        <f t="shared" ca="1" si="230"/>
        <v>68.096000000000004</v>
      </c>
      <c r="O509" s="222" cm="1">
        <f t="array" aca="1" ref="O509" ca="1">_FV(A509,"52 week low",TRUE)</f>
        <v>47.47</v>
      </c>
      <c r="P509" s="222"/>
      <c r="Q509" s="228">
        <f t="shared" ca="1" si="231"/>
        <v>0</v>
      </c>
      <c r="R509" s="228">
        <f t="shared" ca="1" si="232"/>
        <v>0</v>
      </c>
      <c r="S509" s="135" t="s">
        <v>75</v>
      </c>
      <c r="T509" s="136" t="s">
        <v>78</v>
      </c>
      <c r="U509" s="215" t="s">
        <v>26</v>
      </c>
      <c r="V509" s="137">
        <v>46062</v>
      </c>
      <c r="W509" s="137"/>
      <c r="X509" s="138" t="s">
        <v>364</v>
      </c>
      <c r="Y509" s="200">
        <v>67.97</v>
      </c>
      <c r="Z509" s="135">
        <v>67.97</v>
      </c>
      <c r="AA509" s="135"/>
      <c r="AB509" s="135"/>
      <c r="AC509" s="200">
        <v>105.69</v>
      </c>
      <c r="AD509" s="135"/>
      <c r="AE509" s="139">
        <f t="shared" ca="1" si="233"/>
        <v>0.73035363457760316</v>
      </c>
      <c r="AF509" s="138">
        <v>77.319999999999993</v>
      </c>
      <c r="AG509" s="257">
        <f t="shared" ca="1" si="234"/>
        <v>0.26588081204977065</v>
      </c>
      <c r="AH509" s="201">
        <v>56.64</v>
      </c>
      <c r="AI509" s="143">
        <f t="shared" ca="1" si="235"/>
        <v>-7.269155206286837E-2</v>
      </c>
      <c r="AJ509" s="141">
        <f t="shared" ca="1" si="236"/>
        <v>-0.1013682506988377</v>
      </c>
      <c r="AK509" s="140" t="e">
        <f t="shared" ca="1" si="237"/>
        <v>#DIV/0!</v>
      </c>
      <c r="AL509" s="135"/>
      <c r="AM509" s="140" t="str">
        <f t="shared" si="238"/>
        <v>-</v>
      </c>
      <c r="AN509" s="28">
        <f t="shared" ca="1" si="239"/>
        <v>-0.1013682506988377</v>
      </c>
    </row>
    <row r="510" spans="1:40" ht="16" customHeight="1" x14ac:dyDescent="0.2">
      <c r="A510" s="135" t="e" vm="461">
        <v>#VALUE!</v>
      </c>
      <c r="B510" s="135" t="str" cm="1">
        <f t="array" aca="1" ref="B510" ca="1">_FV(A510,"Ticker symbol",TRUE)</f>
        <v>CAG</v>
      </c>
      <c r="C510" s="218" cm="1">
        <f t="array" aca="1" ref="C510" ca="1">_FV(A510,"Change (%)",TRUE)</f>
        <v>-3.8809999999999999E-3</v>
      </c>
      <c r="D510" s="322" cm="1">
        <f t="array" aca="1" ref="D510" ca="1">_FV(A510,"Price")</f>
        <v>14.115</v>
      </c>
      <c r="E510" s="139">
        <f t="shared" ca="1" si="228"/>
        <v>0.90648246546227407</v>
      </c>
      <c r="F510" s="139"/>
      <c r="G510" s="139"/>
      <c r="H510" s="139"/>
      <c r="I510" s="200">
        <v>26.91</v>
      </c>
      <c r="J510" s="135" cm="1">
        <f t="array" aca="1" ref="J510" ca="1">_FV(A510,"High")</f>
        <v>14.31</v>
      </c>
      <c r="K510" s="135" cm="1">
        <f t="array" aca="1" ref="K510" ca="1">_FV(A510,"Low")</f>
        <v>14.09</v>
      </c>
      <c r="L510" s="152" cm="1">
        <f t="array" aca="1" ref="L510" ca="1">_FV(A510,"52 week high",TRUE)</f>
        <v>24.8</v>
      </c>
      <c r="M510" s="225">
        <f t="shared" ca="1" si="229"/>
        <v>22.32</v>
      </c>
      <c r="N510" s="226">
        <f t="shared" ca="1" si="230"/>
        <v>23.56</v>
      </c>
      <c r="O510" s="222" cm="1">
        <f t="array" aca="1" ref="O510" ca="1">_FV(A510,"52 week low",TRUE)</f>
        <v>14.04</v>
      </c>
      <c r="P510" s="222"/>
      <c r="Q510" s="228">
        <f t="shared" ca="1" si="231"/>
        <v>0</v>
      </c>
      <c r="R510" s="228">
        <f t="shared" ca="1" si="232"/>
        <v>0</v>
      </c>
      <c r="S510" s="135" t="s">
        <v>75</v>
      </c>
      <c r="T510" s="136" t="s">
        <v>78</v>
      </c>
      <c r="U510" s="215"/>
      <c r="V510" s="137">
        <v>46055</v>
      </c>
      <c r="W510" s="137"/>
      <c r="X510" s="138" t="s">
        <v>356</v>
      </c>
      <c r="Y510" s="200">
        <v>18.55</v>
      </c>
      <c r="Z510" s="135"/>
      <c r="AA510" s="135"/>
      <c r="AB510" s="135"/>
      <c r="AC510" s="200">
        <v>26.91</v>
      </c>
      <c r="AD510" s="135"/>
      <c r="AE510" s="139">
        <f t="shared" ca="1" si="233"/>
        <v>0.90648246546227407</v>
      </c>
      <c r="AF510" s="138">
        <v>21.32</v>
      </c>
      <c r="AG510" s="257">
        <f t="shared" ca="1" si="234"/>
        <v>0.51044987601842018</v>
      </c>
      <c r="AH510" s="201">
        <v>15.49</v>
      </c>
      <c r="AI510" s="143">
        <f t="shared" ca="1" si="235"/>
        <v>9.7414098476797717E-2</v>
      </c>
      <c r="AJ510" s="141" t="e">
        <f t="shared" ca="1" si="236"/>
        <v>#DIV/0!</v>
      </c>
      <c r="AK510" s="140" t="e">
        <f t="shared" ca="1" si="237"/>
        <v>#DIV/0!</v>
      </c>
      <c r="AL510" s="135"/>
      <c r="AM510" s="140" t="str">
        <f t="shared" si="238"/>
        <v>-</v>
      </c>
      <c r="AN510" s="28">
        <f t="shared" ca="1" si="239"/>
        <v>-0.23908355795148251</v>
      </c>
    </row>
    <row r="511" spans="1:40" ht="16" customHeight="1" x14ac:dyDescent="0.2">
      <c r="A511" s="135" t="e" vm="462">
        <v>#VALUE!</v>
      </c>
      <c r="B511" s="135" t="str" cm="1">
        <f t="array" aca="1" ref="B511" ca="1">_FV(A511,"Ticker symbol",TRUE)</f>
        <v>PUBM</v>
      </c>
      <c r="C511" s="218" cm="1">
        <f t="array" aca="1" ref="C511" ca="1">_FV(A511,"Change (%)",TRUE)</f>
        <v>1.1434999999999999E-2</v>
      </c>
      <c r="D511" s="322" cm="1">
        <f t="array" aca="1" ref="D511" ca="1">_FV(A511,"Price")</f>
        <v>9.73</v>
      </c>
      <c r="E511" s="139">
        <f t="shared" ca="1" si="228"/>
        <v>0.41109969167523119</v>
      </c>
      <c r="F511" s="139"/>
      <c r="G511" s="139"/>
      <c r="H511" s="139"/>
      <c r="I511" s="200">
        <v>13.73</v>
      </c>
      <c r="J511" s="135" cm="1">
        <f t="array" aca="1" ref="J511" ca="1">_FV(A511,"High")</f>
        <v>9.9</v>
      </c>
      <c r="K511" s="135" cm="1">
        <f t="array" aca="1" ref="K511" ca="1">_FV(A511,"Low")</f>
        <v>9.5299999999999994</v>
      </c>
      <c r="L511" s="152" cm="1">
        <f t="array" aca="1" ref="L511" ca="1">_FV(A511,"52 week high",TRUE)</f>
        <v>13.88</v>
      </c>
      <c r="M511" s="225">
        <f t="shared" ca="1" si="229"/>
        <v>12.492000000000001</v>
      </c>
      <c r="N511" s="226">
        <f t="shared" ca="1" si="230"/>
        <v>13.186</v>
      </c>
      <c r="O511" s="222" cm="1">
        <f t="array" aca="1" ref="O511" ca="1">_FV(A511,"52 week low",TRUE)</f>
        <v>6.15</v>
      </c>
      <c r="P511" s="222"/>
      <c r="Q511" s="228">
        <f t="shared" ca="1" si="231"/>
        <v>0</v>
      </c>
      <c r="R511" s="228">
        <f t="shared" ca="1" si="232"/>
        <v>0</v>
      </c>
      <c r="S511" s="135" t="s">
        <v>75</v>
      </c>
      <c r="T511" s="136" t="s">
        <v>78</v>
      </c>
      <c r="U511" s="215"/>
      <c r="V511" s="137">
        <v>46090</v>
      </c>
      <c r="W511" s="137"/>
      <c r="X511" s="138" t="s">
        <v>384</v>
      </c>
      <c r="Y511" s="200">
        <v>9.2200000000000006</v>
      </c>
      <c r="Z511" s="135"/>
      <c r="AA511" s="135"/>
      <c r="AB511" s="135"/>
      <c r="AC511" s="200">
        <v>13.73</v>
      </c>
      <c r="AD511" s="135"/>
      <c r="AE511" s="139">
        <f t="shared" ca="1" si="233"/>
        <v>0.41109969167523119</v>
      </c>
      <c r="AF511" s="138">
        <v>11.61</v>
      </c>
      <c r="AG511" s="257">
        <f t="shared" ca="1" si="234"/>
        <v>0.19321685508735853</v>
      </c>
      <c r="AH511" s="201">
        <v>7.59</v>
      </c>
      <c r="AI511" s="143">
        <f t="shared" ca="1" si="235"/>
        <v>-0.21993833504624871</v>
      </c>
      <c r="AJ511" s="141" t="e">
        <f t="shared" ca="1" si="236"/>
        <v>#DIV/0!</v>
      </c>
      <c r="AK511" s="140" t="e">
        <f t="shared" ca="1" si="237"/>
        <v>#DIV/0!</v>
      </c>
      <c r="AL511" s="135"/>
      <c r="AM511" s="140" t="str">
        <f t="shared" si="238"/>
        <v>-</v>
      </c>
      <c r="AN511" s="28">
        <f t="shared" ca="1" si="239"/>
        <v>5.5314533622559559E-2</v>
      </c>
    </row>
    <row r="512" spans="1:40" ht="16" customHeight="1" x14ac:dyDescent="0.2">
      <c r="A512" s="135" t="e" vm="463">
        <v>#VALUE!</v>
      </c>
      <c r="B512" s="135" t="str" cm="1">
        <f t="array" aca="1" ref="B512" ca="1">_FV(A512,"Ticker symbol",TRUE)</f>
        <v>NFLX</v>
      </c>
      <c r="C512" s="218" cm="1">
        <f t="array" aca="1" ref="C512" ca="1">_FV(A512,"Change (%)",TRUE)</f>
        <v>-1.1736999999999999E-2</v>
      </c>
      <c r="D512" s="322" cm="1">
        <f t="array" aca="1" ref="D512" ca="1">_FV(A512,"Price")</f>
        <v>91.355000000000004</v>
      </c>
      <c r="E512" s="139">
        <f t="shared" ca="1" si="228"/>
        <v>-0.84970718625143671</v>
      </c>
      <c r="F512" s="139"/>
      <c r="G512" s="139"/>
      <c r="H512" s="139"/>
      <c r="I512" s="200">
        <v>13.73</v>
      </c>
      <c r="J512" s="135" cm="1">
        <f t="array" aca="1" ref="J512" ca="1">_FV(A512,"High")</f>
        <v>92.84</v>
      </c>
      <c r="K512" s="135" cm="1">
        <f t="array" aca="1" ref="K512" ca="1">_FV(A512,"Low")</f>
        <v>91.3</v>
      </c>
      <c r="L512" s="152" cm="1">
        <f t="array" aca="1" ref="L512" ca="1">_FV(A512,"52 week high",TRUE)</f>
        <v>134.11500000000001</v>
      </c>
      <c r="M512" s="225">
        <f t="shared" ca="1" si="229"/>
        <v>120.70350000000001</v>
      </c>
      <c r="N512" s="226">
        <f t="shared" ca="1" si="230"/>
        <v>127.40925</v>
      </c>
      <c r="O512" s="222" cm="1">
        <f t="array" aca="1" ref="O512" ca="1">_FV(A512,"52 week low",TRUE)</f>
        <v>75.010000000000005</v>
      </c>
      <c r="P512" s="222"/>
      <c r="Q512" s="228">
        <f t="shared" ca="1" si="231"/>
        <v>0</v>
      </c>
      <c r="R512" s="228">
        <f t="shared" ca="1" si="232"/>
        <v>0</v>
      </c>
      <c r="S512" s="135" t="s">
        <v>75</v>
      </c>
      <c r="T512" s="136" t="s">
        <v>78</v>
      </c>
      <c r="U512" s="215"/>
      <c r="V512" s="137">
        <v>46090</v>
      </c>
      <c r="W512" s="137"/>
      <c r="X512" s="138" t="s">
        <v>385</v>
      </c>
      <c r="Y512" s="200">
        <v>100.26</v>
      </c>
      <c r="Z512" s="135"/>
      <c r="AA512" s="135"/>
      <c r="AB512" s="135"/>
      <c r="AC512" s="200">
        <v>13.73</v>
      </c>
      <c r="AD512" s="135"/>
      <c r="AE512" s="139">
        <f t="shared" ca="1" si="233"/>
        <v>-0.84970718625143671</v>
      </c>
      <c r="AF512" s="138">
        <v>113.32</v>
      </c>
      <c r="AG512" s="257">
        <f t="shared" ca="1" si="234"/>
        <v>0.24043566307262854</v>
      </c>
      <c r="AH512" s="201">
        <v>83.98</v>
      </c>
      <c r="AI512" s="143">
        <f t="shared" ca="1" si="235"/>
        <v>-8.0729024136609873E-2</v>
      </c>
      <c r="AJ512" s="141" t="e">
        <f t="shared" ca="1" si="236"/>
        <v>#DIV/0!</v>
      </c>
      <c r="AK512" s="140" t="e">
        <f t="shared" ca="1" si="237"/>
        <v>#DIV/0!</v>
      </c>
      <c r="AL512" s="135"/>
      <c r="AM512" s="140" t="str">
        <f t="shared" si="238"/>
        <v>-</v>
      </c>
      <c r="AN512" s="28">
        <f t="shared" ca="1" si="239"/>
        <v>-8.8819070416916057E-2</v>
      </c>
    </row>
    <row r="513" spans="1:41" ht="16" customHeight="1" x14ac:dyDescent="0.2">
      <c r="A513" s="135" t="e" vm="464">
        <v>#VALUE!</v>
      </c>
      <c r="B513" s="135" t="str" cm="1">
        <f t="array" aca="1" ref="B513" ca="1">_FV(A513,"Ticker symbol",TRUE)</f>
        <v>TFX</v>
      </c>
      <c r="C513" s="218" cm="1">
        <f t="array" aca="1" ref="C513" ca="1">_FV(A513,"Change (%)",TRUE)</f>
        <v>-1.0910999999999999E-2</v>
      </c>
      <c r="D513" s="322" cm="1">
        <f t="array" aca="1" ref="D513" ca="1">_FV(A513,"Price")</f>
        <v>135.07</v>
      </c>
      <c r="E513" s="139">
        <f t="shared" ca="1" si="228"/>
        <v>0.31739098245354258</v>
      </c>
      <c r="F513" s="139"/>
      <c r="G513" s="139"/>
      <c r="H513" s="139"/>
      <c r="I513" s="200">
        <v>177.94</v>
      </c>
      <c r="J513" s="135" cm="1">
        <f t="array" aca="1" ref="J513" ca="1">_FV(A513,"High")</f>
        <v>137.75</v>
      </c>
      <c r="K513" s="135" cm="1">
        <f t="array" aca="1" ref="K513" ca="1">_FV(A513,"Low")</f>
        <v>134.72999999999999</v>
      </c>
      <c r="L513" s="152" cm="1">
        <f t="array" aca="1" ref="L513" ca="1">_FV(A513,"52 week high",TRUE)</f>
        <v>139.66999999999999</v>
      </c>
      <c r="M513" s="225">
        <f t="shared" ca="1" si="229"/>
        <v>125.70299999999999</v>
      </c>
      <c r="N513" s="226">
        <f t="shared" ca="1" si="230"/>
        <v>132.6865</v>
      </c>
      <c r="O513" s="222" cm="1">
        <f t="array" aca="1" ref="O513" ca="1">_FV(A513,"52 week low",TRUE)</f>
        <v>100.18</v>
      </c>
      <c r="P513" s="222"/>
      <c r="Q513" s="228">
        <f t="shared" ca="1" si="231"/>
        <v>1</v>
      </c>
      <c r="R513" s="228">
        <f t="shared" ca="1" si="232"/>
        <v>1</v>
      </c>
      <c r="S513" s="135" t="s">
        <v>75</v>
      </c>
      <c r="T513" s="136" t="s">
        <v>78</v>
      </c>
      <c r="U513" s="215" t="s">
        <v>88</v>
      </c>
      <c r="V513" s="137">
        <v>46083</v>
      </c>
      <c r="W513" s="137"/>
      <c r="X513" s="138" t="s">
        <v>381</v>
      </c>
      <c r="Y513" s="200">
        <v>123.73</v>
      </c>
      <c r="Z513" s="135"/>
      <c r="AA513" s="135"/>
      <c r="AB513" s="135"/>
      <c r="AC513" s="200">
        <v>177.94</v>
      </c>
      <c r="AD513" s="135"/>
      <c r="AE513" s="139">
        <f t="shared" ca="1" si="233"/>
        <v>0.31739098245354258</v>
      </c>
      <c r="AF513" s="138">
        <v>211.63</v>
      </c>
      <c r="AG513" s="257">
        <f t="shared" ca="1" si="234"/>
        <v>0.56681720589324058</v>
      </c>
      <c r="AH513" s="201">
        <v>103.79</v>
      </c>
      <c r="AI513" s="143">
        <f t="shared" ca="1" si="235"/>
        <v>-0.23158362330643356</v>
      </c>
      <c r="AJ513" s="141" t="e">
        <f t="shared" ca="1" si="236"/>
        <v>#DIV/0!</v>
      </c>
      <c r="AK513" s="140" t="e">
        <f t="shared" ca="1" si="237"/>
        <v>#DIV/0!</v>
      </c>
      <c r="AL513" s="135"/>
      <c r="AM513" s="140" t="str">
        <f t="shared" si="238"/>
        <v>-</v>
      </c>
      <c r="AN513" s="28">
        <f t="shared" ca="1" si="239"/>
        <v>9.1651175947627728E-2</v>
      </c>
    </row>
    <row r="514" spans="1:41" ht="16" customHeight="1" x14ac:dyDescent="0.2">
      <c r="A514" s="135" t="e" vm="465">
        <v>#VALUE!</v>
      </c>
      <c r="B514" s="135" t="str" cm="1">
        <f t="array" aca="1" ref="B514" ca="1">_FV(A514,"Ticker symbol",TRUE)</f>
        <v>KTB</v>
      </c>
      <c r="C514" s="218" cm="1">
        <f t="array" aca="1" ref="C514" ca="1">_FV(A514,"Change (%)",TRUE)</f>
        <v>-4.4423000000000004E-2</v>
      </c>
      <c r="D514" s="322" cm="1">
        <f t="array" aca="1" ref="D514" ca="1">_FV(A514,"Price")</f>
        <v>69.48</v>
      </c>
      <c r="E514" s="139">
        <f t="shared" ca="1" si="228"/>
        <v>0.43293033966609085</v>
      </c>
      <c r="F514" s="139"/>
      <c r="G514" s="139"/>
      <c r="H514" s="139"/>
      <c r="I514" s="200">
        <v>99.56</v>
      </c>
      <c r="J514" s="135" cm="1">
        <f t="array" aca="1" ref="J514" ca="1">_FV(A514,"High")</f>
        <v>73.349999999999994</v>
      </c>
      <c r="K514" s="135" cm="1">
        <f t="array" aca="1" ref="K514" ca="1">_FV(A514,"Low")</f>
        <v>68.209999999999994</v>
      </c>
      <c r="L514" s="152" cm="1">
        <f t="array" aca="1" ref="L514" ca="1">_FV(A514,"52 week high",TRUE)</f>
        <v>87</v>
      </c>
      <c r="M514" s="225">
        <f t="shared" ca="1" si="229"/>
        <v>78.3</v>
      </c>
      <c r="N514" s="226">
        <f t="shared" ca="1" si="230"/>
        <v>82.649999999999991</v>
      </c>
      <c r="O514" s="222" cm="1">
        <f t="array" aca="1" ref="O514" ca="1">_FV(A514,"52 week low",TRUE)</f>
        <v>53.55</v>
      </c>
      <c r="P514" s="222"/>
      <c r="Q514" s="228">
        <f t="shared" ca="1" si="231"/>
        <v>0</v>
      </c>
      <c r="R514" s="228">
        <f t="shared" ca="1" si="232"/>
        <v>0</v>
      </c>
      <c r="S514" s="135" t="s">
        <v>75</v>
      </c>
      <c r="T514" s="136" t="s">
        <v>78</v>
      </c>
      <c r="U514" s="215" t="s">
        <v>88</v>
      </c>
      <c r="V514" s="137">
        <v>46076</v>
      </c>
      <c r="W514" s="137"/>
      <c r="X514" s="138" t="s">
        <v>376</v>
      </c>
      <c r="Y514" s="200">
        <v>71.52</v>
      </c>
      <c r="Z514" s="135"/>
      <c r="AA514" s="135"/>
      <c r="AB514" s="135"/>
      <c r="AC514" s="200">
        <v>99.56</v>
      </c>
      <c r="AD514" s="135"/>
      <c r="AE514" s="139">
        <f t="shared" ca="1" si="233"/>
        <v>0.43293033966609085</v>
      </c>
      <c r="AF514" s="138">
        <v>84.56</v>
      </c>
      <c r="AG514" s="257">
        <f t="shared" ca="1" si="234"/>
        <v>0.21704087507196301</v>
      </c>
      <c r="AH514" s="201">
        <v>60.98</v>
      </c>
      <c r="AI514" s="143">
        <f t="shared" ca="1" si="235"/>
        <v>-0.12233736327000588</v>
      </c>
      <c r="AJ514" s="141" t="e">
        <f t="shared" ca="1" si="236"/>
        <v>#DIV/0!</v>
      </c>
      <c r="AK514" s="140" t="e">
        <f t="shared" ca="1" si="237"/>
        <v>#DIV/0!</v>
      </c>
      <c r="AL514" s="135"/>
      <c r="AM514" s="140" t="str">
        <f t="shared" si="238"/>
        <v>-</v>
      </c>
      <c r="AN514" s="28">
        <f t="shared" ca="1" si="239"/>
        <v>-2.8523489932885782E-2</v>
      </c>
    </row>
    <row r="515" spans="1:41" ht="16" customHeight="1" x14ac:dyDescent="0.2">
      <c r="A515" s="135" t="e" vm="466">
        <v>#VALUE!</v>
      </c>
      <c r="B515" s="135" t="str" cm="1">
        <f t="array" aca="1" ref="B515" ca="1">_FV(A515,"Ticker symbol",TRUE)</f>
        <v>CAL</v>
      </c>
      <c r="C515" s="218" cm="1">
        <f t="array" aca="1" ref="C515" ca="1">_FV(A515,"Change (%)",TRUE)</f>
        <v>-8.8629999999999994E-3</v>
      </c>
      <c r="D515" s="322" cm="1">
        <f t="array" aca="1" ref="D515" ca="1">_FV(A515,"Price")</f>
        <v>13.42</v>
      </c>
      <c r="E515" s="139">
        <f t="shared" ref="E515:E520" si="240">AE515</f>
        <v>0.48949416342412455</v>
      </c>
      <c r="F515" s="139"/>
      <c r="G515" s="139"/>
      <c r="H515" s="139"/>
      <c r="I515" s="200">
        <v>263.48</v>
      </c>
      <c r="J515" s="135" cm="1">
        <f t="array" aca="1" ref="J515" ca="1">_FV(A515,"High")</f>
        <v>13.555</v>
      </c>
      <c r="K515" s="135" cm="1">
        <f t="array" aca="1" ref="K515" ca="1">_FV(A515,"Low")</f>
        <v>13.16</v>
      </c>
      <c r="L515" s="152" cm="1">
        <f t="array" aca="1" ref="L515" ca="1">_FV(A515,"52 week high",TRUE)</f>
        <v>18.27</v>
      </c>
      <c r="M515" s="225">
        <f t="shared" ref="M515:M520" ca="1" si="241">+L515*0.9</f>
        <v>16.443000000000001</v>
      </c>
      <c r="N515" s="226">
        <f t="shared" ref="N515:N520" ca="1" si="242">+L515*0.95</f>
        <v>17.3565</v>
      </c>
      <c r="O515" s="222" cm="1">
        <f t="array" aca="1" ref="O515" ca="1">_FV(A515,"52 week low",TRUE)</f>
        <v>8.8000000000000007</v>
      </c>
      <c r="P515" s="222"/>
      <c r="Q515" s="228">
        <f t="shared" ref="Q515:Q520" ca="1" si="243">GESTEP(D515,M515)</f>
        <v>0</v>
      </c>
      <c r="R515" s="228">
        <f t="shared" ref="R515:R520" ca="1" si="244">GESTEP(D515,N515)</f>
        <v>0</v>
      </c>
      <c r="S515" s="135" t="s">
        <v>75</v>
      </c>
      <c r="T515" s="136" t="s">
        <v>78</v>
      </c>
      <c r="U515" s="215" t="s">
        <v>26</v>
      </c>
      <c r="V515" s="137">
        <v>46125</v>
      </c>
      <c r="W515" s="137"/>
      <c r="X515" s="138" t="s">
        <v>434</v>
      </c>
      <c r="Y515" s="200">
        <v>12.85</v>
      </c>
      <c r="Z515" s="135"/>
      <c r="AA515" s="135"/>
      <c r="AB515" s="135"/>
      <c r="AC515" s="200">
        <v>19.14</v>
      </c>
      <c r="AD515" s="135"/>
      <c r="AE515" s="139">
        <f t="shared" ref="AE515:AE520" si="245">IF(Z515="",+AC515/Y515-1,AC515/Z515-1)</f>
        <v>0.48949416342412455</v>
      </c>
      <c r="AF515" s="138">
        <v>15</v>
      </c>
      <c r="AG515" s="257">
        <f t="shared" ref="AG515:AG520" ca="1" si="246">IF(Z515="-",+AF515/D515-1,AF515/D515-1)</f>
        <v>0.11773472429210141</v>
      </c>
      <c r="AH515" s="201">
        <v>10.58</v>
      </c>
      <c r="AI515" s="143">
        <f t="shared" ref="AI515:AI520" ca="1" si="247">IF(Z515="-",AH515/Y515-1,+AH515/D515-1)</f>
        <v>-0.2116244411326379</v>
      </c>
      <c r="AJ515" s="141" t="e">
        <f t="shared" ref="AJ515:AJ520" ca="1" si="248">IF(Z515="-","-",+(D515/Z515)-1)</f>
        <v>#DIV/0!</v>
      </c>
      <c r="AK515" s="140" t="e">
        <f t="shared" ref="AK515:AK520" ca="1" si="249">IF(AA515="-","-",+(D515/AA515)-1)</f>
        <v>#DIV/0!</v>
      </c>
      <c r="AL515" s="135"/>
      <c r="AM515" s="140" t="str">
        <f t="shared" ref="AM515:AM520" si="250">IF(AL515=0,"-",+AL515/Z515-1)</f>
        <v>-</v>
      </c>
      <c r="AN515" s="28">
        <f t="shared" ref="AN515:AN520" ca="1" si="251">+D515/Y515-1</f>
        <v>4.4357976653696563E-2</v>
      </c>
    </row>
    <row r="516" spans="1:41" ht="16" customHeight="1" x14ac:dyDescent="0.2">
      <c r="A516" s="135" t="e" vm="467">
        <v>#VALUE!</v>
      </c>
      <c r="B516" s="135" t="str" cm="1">
        <f t="array" aca="1" ref="B516" ca="1">_FV(A516,"Ticker symbol",TRUE)</f>
        <v>HTZ</v>
      </c>
      <c r="C516" s="218" cm="1">
        <f t="array" aca="1" ref="C516" ca="1">_FV(A516,"Change (%)",TRUE)</f>
        <v>-2.1016E-2</v>
      </c>
      <c r="D516" s="322" cm="1">
        <f t="array" aca="1" ref="D516" ca="1">_FV(A516,"Price")</f>
        <v>5.59</v>
      </c>
      <c r="E516" s="139">
        <f t="shared" si="240"/>
        <v>0.5296367112810707</v>
      </c>
      <c r="F516" s="139"/>
      <c r="G516" s="139"/>
      <c r="H516" s="139"/>
      <c r="I516" s="200">
        <v>263.48</v>
      </c>
      <c r="J516" s="135" cm="1">
        <f t="array" aca="1" ref="J516" ca="1">_FV(A516,"High")</f>
        <v>5.8662000000000001</v>
      </c>
      <c r="K516" s="135" cm="1">
        <f t="array" aca="1" ref="K516" ca="1">_FV(A516,"Low")</f>
        <v>5.55</v>
      </c>
      <c r="L516" s="152" cm="1">
        <f t="array" aca="1" ref="L516" ca="1">_FV(A516,"52 week high",TRUE)</f>
        <v>8.64</v>
      </c>
      <c r="M516" s="225">
        <f t="shared" ca="1" si="241"/>
        <v>7.7760000000000007</v>
      </c>
      <c r="N516" s="226">
        <f t="shared" ca="1" si="242"/>
        <v>8.2080000000000002</v>
      </c>
      <c r="O516" s="222" cm="1">
        <f t="array" aca="1" ref="O516" ca="1">_FV(A516,"52 week low",TRUE)</f>
        <v>3.7749999999999999</v>
      </c>
      <c r="P516" s="222"/>
      <c r="Q516" s="228">
        <f t="shared" ca="1" si="243"/>
        <v>0</v>
      </c>
      <c r="R516" s="228">
        <f t="shared" ca="1" si="244"/>
        <v>0</v>
      </c>
      <c r="S516" s="135" t="s">
        <v>75</v>
      </c>
      <c r="T516" s="136" t="s">
        <v>78</v>
      </c>
      <c r="U516" s="215"/>
      <c r="V516" s="137">
        <v>46118</v>
      </c>
      <c r="W516" s="137"/>
      <c r="X516" s="138" t="s">
        <v>425</v>
      </c>
      <c r="Y516" s="200">
        <v>5.23</v>
      </c>
      <c r="Z516" s="322"/>
      <c r="AA516" s="322"/>
      <c r="AB516" s="135"/>
      <c r="AC516" s="200">
        <v>8</v>
      </c>
      <c r="AD516" s="135"/>
      <c r="AE516" s="139">
        <f t="shared" si="245"/>
        <v>0.5296367112810707</v>
      </c>
      <c r="AF516" s="138">
        <v>4.33</v>
      </c>
      <c r="AG516" s="257">
        <f t="shared" ca="1" si="246"/>
        <v>-0.22540250447227184</v>
      </c>
      <c r="AH516" s="201">
        <v>4.24</v>
      </c>
      <c r="AI516" s="143">
        <f t="shared" ca="1" si="247"/>
        <v>-0.2415026833631484</v>
      </c>
      <c r="AJ516" s="141" t="e">
        <f t="shared" ca="1" si="248"/>
        <v>#DIV/0!</v>
      </c>
      <c r="AK516" s="140" t="e">
        <f t="shared" ca="1" si="249"/>
        <v>#DIV/0!</v>
      </c>
      <c r="AL516" s="135"/>
      <c r="AM516" s="140" t="str">
        <f t="shared" si="250"/>
        <v>-</v>
      </c>
      <c r="AN516" s="28">
        <f t="shared" ca="1" si="251"/>
        <v>6.8833652007648016E-2</v>
      </c>
    </row>
    <row r="517" spans="1:41" ht="16" customHeight="1" x14ac:dyDescent="0.2">
      <c r="A517" s="135" t="e" vm="468">
        <v>#VALUE!</v>
      </c>
      <c r="B517" s="135" t="str" cm="1">
        <f t="array" aca="1" ref="B517" ca="1">_FV(A517,"Ticker symbol",TRUE)</f>
        <v>VRSN</v>
      </c>
      <c r="C517" s="218" cm="1">
        <f t="array" aca="1" ref="C517" ca="1">_FV(A517,"Change (%)",TRUE)</f>
        <v>-4.829E-3</v>
      </c>
      <c r="D517" s="322" cm="1">
        <f t="array" aca="1" ref="D517" ca="1">_FV(A517,"Price")</f>
        <v>267.89999999999998</v>
      </c>
      <c r="E517" s="139">
        <f t="shared" si="240"/>
        <v>0.23565380997177798</v>
      </c>
      <c r="F517" s="139"/>
      <c r="G517" s="139"/>
      <c r="H517" s="139"/>
      <c r="I517" s="200">
        <v>262.48</v>
      </c>
      <c r="J517" s="135" cm="1">
        <f t="array" aca="1" ref="J517" ca="1">_FV(A517,"High")</f>
        <v>271.9699</v>
      </c>
      <c r="K517" s="135" cm="1">
        <f t="array" aca="1" ref="K517" ca="1">_FV(A517,"Low")</f>
        <v>264.36</v>
      </c>
      <c r="L517" s="152" cm="1">
        <f t="array" aca="1" ref="L517" ca="1">_FV(A517,"52 week high",TRUE)</f>
        <v>310.60000000000002</v>
      </c>
      <c r="M517" s="225">
        <f t="shared" ca="1" si="241"/>
        <v>279.54000000000002</v>
      </c>
      <c r="N517" s="226">
        <f t="shared" ca="1" si="242"/>
        <v>295.07</v>
      </c>
      <c r="O517" s="222" cm="1">
        <f t="array" aca="1" ref="O517" ca="1">_FV(A517,"52 week low",TRUE)</f>
        <v>208.86009999999999</v>
      </c>
      <c r="P517" s="222"/>
      <c r="Q517" s="228">
        <f t="shared" ca="1" si="243"/>
        <v>0</v>
      </c>
      <c r="R517" s="228">
        <f t="shared" ca="1" si="244"/>
        <v>0</v>
      </c>
      <c r="S517" s="135" t="s">
        <v>75</v>
      </c>
      <c r="T517" s="136" t="s">
        <v>78</v>
      </c>
      <c r="U517" s="215" t="s">
        <v>199</v>
      </c>
      <c r="V517" s="137">
        <v>46111</v>
      </c>
      <c r="W517" s="137"/>
      <c r="X517" s="138" t="s">
        <v>414</v>
      </c>
      <c r="Y517" s="200">
        <v>255.12</v>
      </c>
      <c r="Z517" s="135"/>
      <c r="AA517" s="135"/>
      <c r="AB517" s="135"/>
      <c r="AC517" s="200">
        <v>315.24</v>
      </c>
      <c r="AD517" s="135"/>
      <c r="AE517" s="139">
        <f t="shared" si="245"/>
        <v>0.23565380997177798</v>
      </c>
      <c r="AF517" s="138">
        <v>276.75</v>
      </c>
      <c r="AG517" s="257">
        <f t="shared" ca="1" si="246"/>
        <v>3.303471444568884E-2</v>
      </c>
      <c r="AH517" s="201">
        <v>229.48</v>
      </c>
      <c r="AI517" s="143">
        <f t="shared" ca="1" si="247"/>
        <v>-0.14341172079134001</v>
      </c>
      <c r="AJ517" s="141" t="e">
        <f t="shared" ca="1" si="248"/>
        <v>#DIV/0!</v>
      </c>
      <c r="AK517" s="140" t="e">
        <f t="shared" ca="1" si="249"/>
        <v>#DIV/0!</v>
      </c>
      <c r="AL517" s="135"/>
      <c r="AM517" s="140" t="str">
        <f t="shared" si="250"/>
        <v>-</v>
      </c>
      <c r="AN517" s="28">
        <f t="shared" ca="1" si="251"/>
        <v>5.009407337723415E-2</v>
      </c>
    </row>
    <row r="518" spans="1:41" ht="16" customHeight="1" x14ac:dyDescent="0.2">
      <c r="A518" s="135" t="e" vm="469">
        <v>#VALUE!</v>
      </c>
      <c r="B518" s="135" t="str" cm="1">
        <f t="array" aca="1" ref="B518" ca="1">_FV(A518,"Ticker symbol",TRUE)</f>
        <v>CSX</v>
      </c>
      <c r="C518" s="218" cm="1">
        <f t="array" aca="1" ref="C518" ca="1">_FV(A518,"Change (%)",TRUE)</f>
        <v>1.101E-3</v>
      </c>
      <c r="D518" s="322" cm="1">
        <f t="array" aca="1" ref="D518" ca="1">_FV(A518,"Price")</f>
        <v>45.46</v>
      </c>
      <c r="E518" s="139">
        <f t="shared" si="240"/>
        <v>0.45067385444743935</v>
      </c>
      <c r="F518" s="139"/>
      <c r="G518" s="139"/>
      <c r="H518" s="139"/>
      <c r="I518" s="200">
        <v>26.91</v>
      </c>
      <c r="J518" s="135" cm="1">
        <f t="array" aca="1" ref="J518" ca="1">_FV(A518,"High")</f>
        <v>45.77</v>
      </c>
      <c r="K518" s="135" cm="1">
        <f t="array" aca="1" ref="K518" ca="1">_FV(A518,"Low")</f>
        <v>45.06</v>
      </c>
      <c r="L518" s="152" cm="1">
        <f t="array" aca="1" ref="L518" ca="1">_FV(A518,"52 week high",TRUE)</f>
        <v>46.55</v>
      </c>
      <c r="M518" s="225">
        <f t="shared" ca="1" si="241"/>
        <v>41.894999999999996</v>
      </c>
      <c r="N518" s="226">
        <f t="shared" ca="1" si="242"/>
        <v>44.222499999999997</v>
      </c>
      <c r="O518" s="222" cm="1">
        <f t="array" aca="1" ref="O518" ca="1">_FV(A518,"52 week low",TRUE)</f>
        <v>27.515000000000001</v>
      </c>
      <c r="P518" s="222"/>
      <c r="Q518" s="228">
        <f t="shared" ca="1" si="243"/>
        <v>1</v>
      </c>
      <c r="R518" s="228">
        <f t="shared" ca="1" si="244"/>
        <v>1</v>
      </c>
      <c r="S518" s="135" t="s">
        <v>75</v>
      </c>
      <c r="T518" s="136" t="s">
        <v>26</v>
      </c>
      <c r="U518" s="215"/>
      <c r="V518" s="137">
        <v>46073</v>
      </c>
      <c r="W518" s="137"/>
      <c r="X518" s="138"/>
      <c r="Y518" s="200">
        <v>18.55</v>
      </c>
      <c r="Z518" s="135"/>
      <c r="AA518" s="135"/>
      <c r="AB518" s="135"/>
      <c r="AC518" s="200">
        <v>26.91</v>
      </c>
      <c r="AD518" s="135"/>
      <c r="AE518" s="139">
        <f t="shared" si="245"/>
        <v>0.45067385444743935</v>
      </c>
      <c r="AF518" s="138">
        <v>21.32</v>
      </c>
      <c r="AG518" s="257">
        <f t="shared" ca="1" si="246"/>
        <v>-0.53101627804663443</v>
      </c>
      <c r="AH518" s="201">
        <v>15.49</v>
      </c>
      <c r="AI518" s="143">
        <f t="shared" ca="1" si="247"/>
        <v>-0.65926088869335686</v>
      </c>
      <c r="AJ518" s="141" t="e">
        <f t="shared" ca="1" si="248"/>
        <v>#DIV/0!</v>
      </c>
      <c r="AK518" s="140" t="e">
        <f t="shared" ca="1" si="249"/>
        <v>#DIV/0!</v>
      </c>
      <c r="AL518" s="135"/>
      <c r="AM518" s="140" t="str">
        <f t="shared" si="250"/>
        <v>-</v>
      </c>
      <c r="AN518" s="28">
        <f t="shared" ca="1" si="251"/>
        <v>1.4506738544474391</v>
      </c>
    </row>
    <row r="519" spans="1:41" ht="16" customHeight="1" x14ac:dyDescent="0.2">
      <c r="A519" s="135" t="e" vm="470">
        <v>#VALUE!</v>
      </c>
      <c r="B519" s="135" t="str" cm="1">
        <f t="array" aca="1" ref="B519" ca="1">_FV(A519,"Ticker symbol",TRUE)</f>
        <v>IFX</v>
      </c>
      <c r="C519" s="218" cm="1">
        <f t="array" aca="1" ref="C519" ca="1">_FV(A519,"Change (%)",TRUE)</f>
        <v>-7.7619999999999998E-3</v>
      </c>
      <c r="D519" s="322" cm="1">
        <f t="array" aca="1" ref="D519" ca="1">_FV(A519,"Price")</f>
        <v>53.69</v>
      </c>
      <c r="E519" s="139">
        <f t="shared" si="240"/>
        <v>0.64859002169197399</v>
      </c>
      <c r="F519" s="139"/>
      <c r="G519" s="139"/>
      <c r="H519" s="139"/>
      <c r="I519" s="200">
        <v>76</v>
      </c>
      <c r="J519" s="135" cm="1">
        <f t="array" aca="1" ref="J519" ca="1">_FV(A519,"High")</f>
        <v>55.38</v>
      </c>
      <c r="K519" s="135" cm="1">
        <f t="array" aca="1" ref="K519" ca="1">_FV(A519,"Low")</f>
        <v>53.31</v>
      </c>
      <c r="L519" s="149" cm="1">
        <f t="array" aca="1" ref="L519" ca="1">_FV(A519,"52 week high",TRUE)</f>
        <v>55.38</v>
      </c>
      <c r="M519" s="225">
        <f t="shared" ca="1" si="241"/>
        <v>49.842000000000006</v>
      </c>
      <c r="N519" s="226">
        <f t="shared" ca="1" si="242"/>
        <v>52.610999999999997</v>
      </c>
      <c r="O519" s="222" cm="1">
        <f t="array" aca="1" ref="O519" ca="1">_FV(A519,"52 week low",TRUE)</f>
        <v>10.220000000000001</v>
      </c>
      <c r="P519" s="222"/>
      <c r="Q519" s="228">
        <f t="shared" ca="1" si="243"/>
        <v>1</v>
      </c>
      <c r="R519" s="228">
        <f t="shared" ca="1" si="244"/>
        <v>1</v>
      </c>
      <c r="S519" s="135" t="s">
        <v>75</v>
      </c>
      <c r="T519" s="136" t="s">
        <v>26</v>
      </c>
      <c r="U519" s="215"/>
      <c r="V519" s="137">
        <v>46072</v>
      </c>
      <c r="W519" s="137"/>
      <c r="X519" s="138"/>
      <c r="Y519" s="200">
        <v>46.1</v>
      </c>
      <c r="Z519" s="135"/>
      <c r="AA519" s="135"/>
      <c r="AB519" s="135"/>
      <c r="AC519" s="200">
        <v>76</v>
      </c>
      <c r="AD519" s="135"/>
      <c r="AE519" s="139">
        <f t="shared" si="245"/>
        <v>0.64859002169197399</v>
      </c>
      <c r="AF519" s="138">
        <v>48.52</v>
      </c>
      <c r="AG519" s="257">
        <f t="shared" ca="1" si="246"/>
        <v>-9.6293536971503002E-2</v>
      </c>
      <c r="AH519" s="201">
        <v>30.8</v>
      </c>
      <c r="AI519" s="143">
        <f t="shared" ca="1" si="247"/>
        <v>-0.42633637548891778</v>
      </c>
      <c r="AJ519" s="141" t="e">
        <f t="shared" ca="1" si="248"/>
        <v>#DIV/0!</v>
      </c>
      <c r="AK519" s="140" t="e">
        <f t="shared" ca="1" si="249"/>
        <v>#DIV/0!</v>
      </c>
      <c r="AL519" s="135"/>
      <c r="AM519" s="140" t="str">
        <f t="shared" si="250"/>
        <v>-</v>
      </c>
      <c r="AN519" s="28">
        <f t="shared" ca="1" si="251"/>
        <v>0.16464208242950096</v>
      </c>
    </row>
    <row r="520" spans="1:41" ht="16" customHeight="1" x14ac:dyDescent="0.2">
      <c r="A520" s="135" t="e" vm="471">
        <v>#VALUE!</v>
      </c>
      <c r="B520" s="135" t="str" cm="1">
        <f t="array" aca="1" ref="B520" ca="1">_FV(A520,"Ticker symbol",TRUE)</f>
        <v>KKR</v>
      </c>
      <c r="C520" s="218" cm="1">
        <f t="array" aca="1" ref="C520" ca="1">_FV(A520,"Change (%)",TRUE)</f>
        <v>-1.0802000000000001E-2</v>
      </c>
      <c r="D520" s="322" cm="1">
        <f t="array" aca="1" ref="D520" ca="1">_FV(A520,"Price")</f>
        <v>100.73</v>
      </c>
      <c r="E520" s="139">
        <f t="shared" si="240"/>
        <v>0.21373425436814308</v>
      </c>
      <c r="F520" s="139"/>
      <c r="G520" s="139"/>
      <c r="H520" s="139"/>
      <c r="I520" s="200">
        <v>263.48</v>
      </c>
      <c r="J520" s="135" cm="1">
        <f t="array" aca="1" ref="J520" ca="1">_FV(A520,"High")</f>
        <v>103.26</v>
      </c>
      <c r="K520" s="135" cm="1">
        <f t="array" aca="1" ref="K520" ca="1">_FV(A520,"Low")</f>
        <v>99.900099999999995</v>
      </c>
      <c r="L520" s="152" cm="1">
        <f t="array" aca="1" ref="L520" ca="1">_FV(A520,"52 week high",TRUE)</f>
        <v>153.87</v>
      </c>
      <c r="M520" s="225">
        <f t="shared" ca="1" si="241"/>
        <v>138.483</v>
      </c>
      <c r="N520" s="226">
        <f t="shared" ca="1" si="242"/>
        <v>146.1765</v>
      </c>
      <c r="O520" s="222" cm="1">
        <f t="array" aca="1" ref="O520" ca="1">_FV(A520,"52 week low",TRUE)</f>
        <v>82.67</v>
      </c>
      <c r="P520" s="222"/>
      <c r="Q520" s="228">
        <f t="shared" ca="1" si="243"/>
        <v>0</v>
      </c>
      <c r="R520" s="228">
        <f t="shared" ca="1" si="244"/>
        <v>0</v>
      </c>
      <c r="S520" s="135" t="s">
        <v>76</v>
      </c>
      <c r="T520" s="136" t="s">
        <v>78</v>
      </c>
      <c r="U520" s="215" t="s">
        <v>26</v>
      </c>
      <c r="V520" s="137">
        <v>46126</v>
      </c>
      <c r="W520" s="137"/>
      <c r="X520" s="138"/>
      <c r="Y520" s="200">
        <v>98.44</v>
      </c>
      <c r="Z520" s="135"/>
      <c r="AA520" s="135"/>
      <c r="AB520" s="135"/>
      <c r="AC520" s="200">
        <v>119.48</v>
      </c>
      <c r="AD520" s="135"/>
      <c r="AE520" s="139">
        <f t="shared" si="245"/>
        <v>0.21373425436814308</v>
      </c>
      <c r="AF520" s="138">
        <v>124.29</v>
      </c>
      <c r="AG520" s="257">
        <f t="shared" ca="1" si="246"/>
        <v>0.2338925841358086</v>
      </c>
      <c r="AH520" s="201">
        <v>87.89</v>
      </c>
      <c r="AI520" s="143">
        <f t="shared" ca="1" si="247"/>
        <v>-0.12746947284820809</v>
      </c>
      <c r="AJ520" s="141" t="e">
        <f t="shared" ca="1" si="248"/>
        <v>#DIV/0!</v>
      </c>
      <c r="AK520" s="140" t="e">
        <f t="shared" ca="1" si="249"/>
        <v>#DIV/0!</v>
      </c>
      <c r="AL520" s="135"/>
      <c r="AM520" s="140" t="str">
        <f t="shared" si="250"/>
        <v>-</v>
      </c>
      <c r="AN520" s="28">
        <f t="shared" ca="1" si="251"/>
        <v>2.3262901259650581E-2</v>
      </c>
    </row>
    <row r="523" spans="1:41" x14ac:dyDescent="0.2">
      <c r="AO523" s="28">
        <f ca="1">SUM(AN494:AN522)</f>
        <v>0.18690437738944188</v>
      </c>
    </row>
  </sheetData>
  <autoFilter ref="A212:AO220" xr:uid="{2126CD09-ABD2-A449-8513-FEE1A9F2838F}">
    <sortState xmlns:xlrd2="http://schemas.microsoft.com/office/spreadsheetml/2017/richdata2" ref="A213:AO220">
      <sortCondition descending="1" ref="V212:V220"/>
    </sortState>
  </autoFilter>
  <sortState xmlns:xlrd2="http://schemas.microsoft.com/office/spreadsheetml/2017/richdata2" ref="A12:AN208">
    <sortCondition ref="AE12:AE208"/>
  </sortState>
  <phoneticPr fontId="6" type="noConversion"/>
  <conditionalFormatting sqref="Y344">
    <cfRule type="cellIs" dxfId="54" priority="1096" operator="greaterThan">
      <formula>$D$344</formula>
    </cfRule>
  </conditionalFormatting>
  <conditionalFormatting sqref="Y345">
    <cfRule type="cellIs" dxfId="53" priority="1097" operator="greaterThan">
      <formula>$D$345</formula>
    </cfRule>
  </conditionalFormatting>
  <conditionalFormatting sqref="Y346">
    <cfRule type="cellIs" dxfId="52" priority="1091" operator="greaterThan">
      <formula>$D$346</formula>
    </cfRule>
  </conditionalFormatting>
  <conditionalFormatting sqref="Y347">
    <cfRule type="cellIs" dxfId="51" priority="1090" operator="greaterThan">
      <formula>$D$347</formula>
    </cfRule>
  </conditionalFormatting>
  <conditionalFormatting sqref="Y349:Y350">
    <cfRule type="cellIs" dxfId="50" priority="1094" operator="greaterThan">
      <formula>$D$349</formula>
    </cfRule>
  </conditionalFormatting>
  <conditionalFormatting sqref="AN213:AN220 AN222:AN520">
    <cfRule type="cellIs" dxfId="49" priority="1084" operator="lessThan">
      <formula>0</formula>
    </cfRule>
  </conditionalFormatting>
  <conditionalFormatting sqref="AU255:AU341">
    <cfRule type="cellIs" dxfId="48" priority="1017" operator="lessThan">
      <formula>0</formula>
    </cfRule>
  </conditionalFormatting>
  <conditionalFormatting sqref="Q174:R174 Q154:R154 Q255:R341 Q177:R178 Q185:R186 Q137:R146 Q213:R220 Q12:R104">
    <cfRule type="colorScale" priority="1013">
      <colorScale>
        <cfvo type="num" val="1"/>
        <cfvo type="num" val="1"/>
        <color theme="0"/>
        <color rgb="FFFFEF9C"/>
      </colorScale>
    </cfRule>
    <cfRule type="colorScale" priority="1014">
      <colorScale>
        <cfvo type="num" val="0"/>
        <cfvo type="num" val="0"/>
        <color rgb="FFFF7128"/>
        <color rgb="FFFFEF9C"/>
      </colorScale>
    </cfRule>
  </conditionalFormatting>
  <conditionalFormatting sqref="Q123:R123">
    <cfRule type="colorScale" priority="900">
      <colorScale>
        <cfvo type="num" val="1"/>
        <cfvo type="num" val="1"/>
        <color theme="0"/>
        <color rgb="FFFFEF9C"/>
      </colorScale>
    </cfRule>
    <cfRule type="colorScale" priority="901">
      <colorScale>
        <cfvo type="num" val="0"/>
        <cfvo type="num" val="0"/>
        <color rgb="FFFF7128"/>
        <color rgb="FFFFEF9C"/>
      </colorScale>
    </cfRule>
  </conditionalFormatting>
  <conditionalFormatting sqref="D12:D210">
    <cfRule type="cellIs" dxfId="47" priority="848" operator="greaterThan">
      <formula>N12</formula>
    </cfRule>
  </conditionalFormatting>
  <conditionalFormatting sqref="D12:D210">
    <cfRule type="cellIs" dxfId="46" priority="847" operator="greaterThan">
      <formula>M12</formula>
    </cfRule>
  </conditionalFormatting>
  <conditionalFormatting sqref="Q462:R462 Q464:R464">
    <cfRule type="colorScale" priority="754">
      <colorScale>
        <cfvo type="num" val="1"/>
        <cfvo type="num" val="1"/>
        <color theme="0"/>
        <color rgb="FFFFEF9C"/>
      </colorScale>
    </cfRule>
    <cfRule type="colorScale" priority="755">
      <colorScale>
        <cfvo type="num" val="0"/>
        <cfvo type="num" val="0"/>
        <color rgb="FFFF7128"/>
        <color rgb="FFFFEF9C"/>
      </colorScale>
    </cfRule>
  </conditionalFormatting>
  <conditionalFormatting sqref="Q465:R469">
    <cfRule type="colorScale" priority="733">
      <colorScale>
        <cfvo type="num" val="1"/>
        <cfvo type="num" val="1"/>
        <color theme="0"/>
        <color rgb="FFFFEF9C"/>
      </colorScale>
    </cfRule>
    <cfRule type="colorScale" priority="734">
      <colorScale>
        <cfvo type="num" val="0"/>
        <cfvo type="num" val="0"/>
        <color rgb="FFFF7128"/>
        <color rgb="FFFFEF9C"/>
      </colorScale>
    </cfRule>
  </conditionalFormatting>
  <conditionalFormatting sqref="Q470:R476">
    <cfRule type="colorScale" priority="691">
      <colorScale>
        <cfvo type="num" val="1"/>
        <cfvo type="num" val="1"/>
        <color theme="0"/>
        <color rgb="FFFFEF9C"/>
      </colorScale>
    </cfRule>
    <cfRule type="colorScale" priority="692">
      <colorScale>
        <cfvo type="num" val="0"/>
        <cfvo type="num" val="0"/>
        <color rgb="FFFF7128"/>
        <color rgb="FFFFEF9C"/>
      </colorScale>
    </cfRule>
  </conditionalFormatting>
  <conditionalFormatting sqref="Q133:R133">
    <cfRule type="colorScale" priority="661">
      <colorScale>
        <cfvo type="num" val="1"/>
        <cfvo type="num" val="1"/>
        <color theme="0"/>
        <color rgb="FFFFEF9C"/>
      </colorScale>
    </cfRule>
    <cfRule type="colorScale" priority="662">
      <colorScale>
        <cfvo type="num" val="0"/>
        <cfvo type="num" val="0"/>
        <color rgb="FFFF7128"/>
        <color rgb="FFFFEF9C"/>
      </colorScale>
    </cfRule>
  </conditionalFormatting>
  <conditionalFormatting sqref="AU255:AU341">
    <cfRule type="expression" dxfId="45" priority="625" stopIfTrue="1">
      <formula>"&lt;0"</formula>
    </cfRule>
  </conditionalFormatting>
  <conditionalFormatting sqref="Q118:R118">
    <cfRule type="colorScale" priority="581">
      <colorScale>
        <cfvo type="num" val="1"/>
        <cfvo type="num" val="1"/>
        <color theme="0"/>
        <color rgb="FFFFEF9C"/>
      </colorScale>
    </cfRule>
    <cfRule type="colorScale" priority="582">
      <colorScale>
        <cfvo type="num" val="0"/>
        <cfvo type="num" val="0"/>
        <color rgb="FFFF7128"/>
        <color rgb="FFFFEF9C"/>
      </colorScale>
    </cfRule>
  </conditionalFormatting>
  <conditionalFormatting sqref="Q477:R482">
    <cfRule type="colorScale" priority="579">
      <colorScale>
        <cfvo type="num" val="1"/>
        <cfvo type="num" val="1"/>
        <color theme="0"/>
        <color rgb="FFFFEF9C"/>
      </colorScale>
    </cfRule>
    <cfRule type="colorScale" priority="580">
      <colorScale>
        <cfvo type="num" val="0"/>
        <cfvo type="num" val="0"/>
        <color rgb="FFFF7128"/>
        <color rgb="FFFFEF9C"/>
      </colorScale>
    </cfRule>
  </conditionalFormatting>
  <conditionalFormatting sqref="Q112:R112">
    <cfRule type="colorScale" priority="565">
      <colorScale>
        <cfvo type="num" val="1"/>
        <cfvo type="num" val="1"/>
        <color theme="0"/>
        <color rgb="FFFFEF9C"/>
      </colorScale>
    </cfRule>
    <cfRule type="colorScale" priority="566">
      <colorScale>
        <cfvo type="num" val="0"/>
        <cfvo type="num" val="0"/>
        <color rgb="FFFF7128"/>
        <color rgb="FFFFEF9C"/>
      </colorScale>
    </cfRule>
  </conditionalFormatting>
  <conditionalFormatting sqref="Q483:R486">
    <cfRule type="colorScale" priority="516">
      <colorScale>
        <cfvo type="num" val="1"/>
        <cfvo type="num" val="1"/>
        <color theme="0"/>
        <color rgb="FFFFEF9C"/>
      </colorScale>
    </cfRule>
    <cfRule type="colorScale" priority="517">
      <colorScale>
        <cfvo type="num" val="0"/>
        <cfvo type="num" val="0"/>
        <color rgb="FFFF7128"/>
        <color rgb="FFFFEF9C"/>
      </colorScale>
    </cfRule>
  </conditionalFormatting>
  <conditionalFormatting sqref="Q487:R488">
    <cfRule type="colorScale" priority="488">
      <colorScale>
        <cfvo type="num" val="1"/>
        <cfvo type="num" val="1"/>
        <color theme="0"/>
        <color rgb="FFFFEF9C"/>
      </colorScale>
    </cfRule>
    <cfRule type="colorScale" priority="489">
      <colorScale>
        <cfvo type="num" val="0"/>
        <cfvo type="num" val="0"/>
        <color rgb="FFFF7128"/>
        <color rgb="FFFFEF9C"/>
      </colorScale>
    </cfRule>
  </conditionalFormatting>
  <conditionalFormatting sqref="Q489:R492">
    <cfRule type="colorScale" priority="474">
      <colorScale>
        <cfvo type="num" val="1"/>
        <cfvo type="num" val="1"/>
        <color theme="0"/>
        <color rgb="FFFFEF9C"/>
      </colorScale>
    </cfRule>
    <cfRule type="colorScale" priority="475">
      <colorScale>
        <cfvo type="num" val="0"/>
        <cfvo type="num" val="0"/>
        <color rgb="FFFF7128"/>
        <color rgb="FFFFEF9C"/>
      </colorScale>
    </cfRule>
  </conditionalFormatting>
  <conditionalFormatting sqref="AO224:AT224 AO254:AT254 AO252:AS253">
    <cfRule type="cellIs" dxfId="44" priority="473" operator="lessThan">
      <formula>0</formula>
    </cfRule>
  </conditionalFormatting>
  <conditionalFormatting sqref="Q105:R105">
    <cfRule type="colorScale" priority="470">
      <colorScale>
        <cfvo type="num" val="1"/>
        <cfvo type="num" val="1"/>
        <color theme="0"/>
        <color rgb="FFFFEF9C"/>
      </colorScale>
    </cfRule>
    <cfRule type="colorScale" priority="471">
      <colorScale>
        <cfvo type="num" val="0"/>
        <cfvo type="num" val="0"/>
        <color rgb="FFFF7128"/>
        <color rgb="FFFFEF9C"/>
      </colorScale>
    </cfRule>
  </conditionalFormatting>
  <conditionalFormatting sqref="Q106:R106">
    <cfRule type="colorScale" priority="468">
      <colorScale>
        <cfvo type="num" val="1"/>
        <cfvo type="num" val="1"/>
        <color theme="0"/>
        <color rgb="FFFFEF9C"/>
      </colorScale>
    </cfRule>
    <cfRule type="colorScale" priority="469">
      <colorScale>
        <cfvo type="num" val="0"/>
        <cfvo type="num" val="0"/>
        <color rgb="FFFF7128"/>
        <color rgb="FFFFEF9C"/>
      </colorScale>
    </cfRule>
  </conditionalFormatting>
  <conditionalFormatting sqref="Q107:R107">
    <cfRule type="colorScale" priority="466">
      <colorScale>
        <cfvo type="num" val="1"/>
        <cfvo type="num" val="1"/>
        <color theme="0"/>
        <color rgb="FFFFEF9C"/>
      </colorScale>
    </cfRule>
    <cfRule type="colorScale" priority="467">
      <colorScale>
        <cfvo type="num" val="0"/>
        <cfvo type="num" val="0"/>
        <color rgb="FFFF7128"/>
        <color rgb="FFFFEF9C"/>
      </colorScale>
    </cfRule>
  </conditionalFormatting>
  <conditionalFormatting sqref="Q109:R109">
    <cfRule type="colorScale" priority="464">
      <colorScale>
        <cfvo type="num" val="1"/>
        <cfvo type="num" val="1"/>
        <color theme="0"/>
        <color rgb="FFFFEF9C"/>
      </colorScale>
    </cfRule>
    <cfRule type="colorScale" priority="465">
      <colorScale>
        <cfvo type="num" val="0"/>
        <cfvo type="num" val="0"/>
        <color rgb="FFFF7128"/>
        <color rgb="FFFFEF9C"/>
      </colorScale>
    </cfRule>
  </conditionalFormatting>
  <conditionalFormatting sqref="Q111:R111">
    <cfRule type="colorScale" priority="462">
      <colorScale>
        <cfvo type="num" val="1"/>
        <cfvo type="num" val="1"/>
        <color theme="0"/>
        <color rgb="FFFFEF9C"/>
      </colorScale>
    </cfRule>
    <cfRule type="colorScale" priority="463">
      <colorScale>
        <cfvo type="num" val="0"/>
        <cfvo type="num" val="0"/>
        <color rgb="FFFF7128"/>
        <color rgb="FFFFEF9C"/>
      </colorScale>
    </cfRule>
  </conditionalFormatting>
  <conditionalFormatting sqref="Q117:R117">
    <cfRule type="colorScale" priority="460">
      <colorScale>
        <cfvo type="num" val="1"/>
        <cfvo type="num" val="1"/>
        <color theme="0"/>
        <color rgb="FFFFEF9C"/>
      </colorScale>
    </cfRule>
    <cfRule type="colorScale" priority="461">
      <colorScale>
        <cfvo type="num" val="0"/>
        <cfvo type="num" val="0"/>
        <color rgb="FFFF7128"/>
        <color rgb="FFFFEF9C"/>
      </colorScale>
    </cfRule>
  </conditionalFormatting>
  <conditionalFormatting sqref="Q122:R122">
    <cfRule type="colorScale" priority="458">
      <colorScale>
        <cfvo type="num" val="1"/>
        <cfvo type="num" val="1"/>
        <color theme="0"/>
        <color rgb="FFFFEF9C"/>
      </colorScale>
    </cfRule>
    <cfRule type="colorScale" priority="459">
      <colorScale>
        <cfvo type="num" val="0"/>
        <cfvo type="num" val="0"/>
        <color rgb="FFFF7128"/>
        <color rgb="FFFFEF9C"/>
      </colorScale>
    </cfRule>
  </conditionalFormatting>
  <conditionalFormatting sqref="Q125:R125">
    <cfRule type="colorScale" priority="456">
      <colorScale>
        <cfvo type="num" val="1"/>
        <cfvo type="num" val="1"/>
        <color theme="0"/>
        <color rgb="FFFFEF9C"/>
      </colorScale>
    </cfRule>
    <cfRule type="colorScale" priority="457">
      <colorScale>
        <cfvo type="num" val="0"/>
        <cfvo type="num" val="0"/>
        <color rgb="FFFF7128"/>
        <color rgb="FFFFEF9C"/>
      </colorScale>
    </cfRule>
  </conditionalFormatting>
  <conditionalFormatting sqref="Q126:R126">
    <cfRule type="colorScale" priority="454">
      <colorScale>
        <cfvo type="num" val="1"/>
        <cfvo type="num" val="1"/>
        <color theme="0"/>
        <color rgb="FFFFEF9C"/>
      </colorScale>
    </cfRule>
    <cfRule type="colorScale" priority="455">
      <colorScale>
        <cfvo type="num" val="0"/>
        <cfvo type="num" val="0"/>
        <color rgb="FFFF7128"/>
        <color rgb="FFFFEF9C"/>
      </colorScale>
    </cfRule>
  </conditionalFormatting>
  <conditionalFormatting sqref="Q134:R134">
    <cfRule type="colorScale" priority="452">
      <colorScale>
        <cfvo type="num" val="1"/>
        <cfvo type="num" val="1"/>
        <color theme="0"/>
        <color rgb="FFFFEF9C"/>
      </colorScale>
    </cfRule>
    <cfRule type="colorScale" priority="453">
      <colorScale>
        <cfvo type="num" val="0"/>
        <cfvo type="num" val="0"/>
        <color rgb="FFFF7128"/>
        <color rgb="FFFFEF9C"/>
      </colorScale>
    </cfRule>
  </conditionalFormatting>
  <conditionalFormatting sqref="Q135:R135">
    <cfRule type="colorScale" priority="450">
      <colorScale>
        <cfvo type="num" val="1"/>
        <cfvo type="num" val="1"/>
        <color theme="0"/>
        <color rgb="FFFFEF9C"/>
      </colorScale>
    </cfRule>
    <cfRule type="colorScale" priority="451">
      <colorScale>
        <cfvo type="num" val="0"/>
        <cfvo type="num" val="0"/>
        <color rgb="FFFF7128"/>
        <color rgb="FFFFEF9C"/>
      </colorScale>
    </cfRule>
  </conditionalFormatting>
  <conditionalFormatting sqref="Q147:R147">
    <cfRule type="colorScale" priority="448">
      <colorScale>
        <cfvo type="num" val="1"/>
        <cfvo type="num" val="1"/>
        <color theme="0"/>
        <color rgb="FFFFEF9C"/>
      </colorScale>
    </cfRule>
    <cfRule type="colorScale" priority="449">
      <colorScale>
        <cfvo type="num" val="0"/>
        <cfvo type="num" val="0"/>
        <color rgb="FFFF7128"/>
        <color rgb="FFFFEF9C"/>
      </colorScale>
    </cfRule>
  </conditionalFormatting>
  <conditionalFormatting sqref="Q148:R148">
    <cfRule type="colorScale" priority="446">
      <colorScale>
        <cfvo type="num" val="1"/>
        <cfvo type="num" val="1"/>
        <color theme="0"/>
        <color rgb="FFFFEF9C"/>
      </colorScale>
    </cfRule>
    <cfRule type="colorScale" priority="447">
      <colorScale>
        <cfvo type="num" val="0"/>
        <cfvo type="num" val="0"/>
        <color rgb="FFFF7128"/>
        <color rgb="FFFFEF9C"/>
      </colorScale>
    </cfRule>
  </conditionalFormatting>
  <conditionalFormatting sqref="Q149:R149">
    <cfRule type="colorScale" priority="444">
      <colorScale>
        <cfvo type="num" val="1"/>
        <cfvo type="num" val="1"/>
        <color theme="0"/>
        <color rgb="FFFFEF9C"/>
      </colorScale>
    </cfRule>
    <cfRule type="colorScale" priority="445">
      <colorScale>
        <cfvo type="num" val="0"/>
        <cfvo type="num" val="0"/>
        <color rgb="FFFF7128"/>
        <color rgb="FFFFEF9C"/>
      </colorScale>
    </cfRule>
  </conditionalFormatting>
  <conditionalFormatting sqref="Q150:R150">
    <cfRule type="colorScale" priority="442">
      <colorScale>
        <cfvo type="num" val="1"/>
        <cfvo type="num" val="1"/>
        <color theme="0"/>
        <color rgb="FFFFEF9C"/>
      </colorScale>
    </cfRule>
    <cfRule type="colorScale" priority="443">
      <colorScale>
        <cfvo type="num" val="0"/>
        <cfvo type="num" val="0"/>
        <color rgb="FFFF7128"/>
        <color rgb="FFFFEF9C"/>
      </colorScale>
    </cfRule>
  </conditionalFormatting>
  <conditionalFormatting sqref="Q151:R151">
    <cfRule type="colorScale" priority="440">
      <colorScale>
        <cfvo type="num" val="1"/>
        <cfvo type="num" val="1"/>
        <color theme="0"/>
        <color rgb="FFFFEF9C"/>
      </colorScale>
    </cfRule>
    <cfRule type="colorScale" priority="441">
      <colorScale>
        <cfvo type="num" val="0"/>
        <cfvo type="num" val="0"/>
        <color rgb="FFFF7128"/>
        <color rgb="FFFFEF9C"/>
      </colorScale>
    </cfRule>
  </conditionalFormatting>
  <conditionalFormatting sqref="Q152:R152">
    <cfRule type="colorScale" priority="438">
      <colorScale>
        <cfvo type="num" val="1"/>
        <cfvo type="num" val="1"/>
        <color theme="0"/>
        <color rgb="FFFFEF9C"/>
      </colorScale>
    </cfRule>
    <cfRule type="colorScale" priority="439">
      <colorScale>
        <cfvo type="num" val="0"/>
        <cfvo type="num" val="0"/>
        <color rgb="FFFF7128"/>
        <color rgb="FFFFEF9C"/>
      </colorScale>
    </cfRule>
  </conditionalFormatting>
  <conditionalFormatting sqref="Q153:R153">
    <cfRule type="colorScale" priority="436">
      <colorScale>
        <cfvo type="num" val="1"/>
        <cfvo type="num" val="1"/>
        <color theme="0"/>
        <color rgb="FFFFEF9C"/>
      </colorScale>
    </cfRule>
    <cfRule type="colorScale" priority="437">
      <colorScale>
        <cfvo type="num" val="0"/>
        <cfvo type="num" val="0"/>
        <color rgb="FFFF7128"/>
        <color rgb="FFFFEF9C"/>
      </colorScale>
    </cfRule>
  </conditionalFormatting>
  <conditionalFormatting sqref="Q155:R155">
    <cfRule type="colorScale" priority="434">
      <colorScale>
        <cfvo type="num" val="1"/>
        <cfvo type="num" val="1"/>
        <color theme="0"/>
        <color rgb="FFFFEF9C"/>
      </colorScale>
    </cfRule>
    <cfRule type="colorScale" priority="435">
      <colorScale>
        <cfvo type="num" val="0"/>
        <cfvo type="num" val="0"/>
        <color rgb="FFFF7128"/>
        <color rgb="FFFFEF9C"/>
      </colorScale>
    </cfRule>
  </conditionalFormatting>
  <conditionalFormatting sqref="Q157:R157">
    <cfRule type="colorScale" priority="432">
      <colorScale>
        <cfvo type="num" val="1"/>
        <cfvo type="num" val="1"/>
        <color theme="0"/>
        <color rgb="FFFFEF9C"/>
      </colorScale>
    </cfRule>
    <cfRule type="colorScale" priority="433">
      <colorScale>
        <cfvo type="num" val="0"/>
        <cfvo type="num" val="0"/>
        <color rgb="FFFF7128"/>
        <color rgb="FFFFEF9C"/>
      </colorScale>
    </cfRule>
  </conditionalFormatting>
  <conditionalFormatting sqref="Q159:R159">
    <cfRule type="colorScale" priority="430">
      <colorScale>
        <cfvo type="num" val="1"/>
        <cfvo type="num" val="1"/>
        <color theme="0"/>
        <color rgb="FFFFEF9C"/>
      </colorScale>
    </cfRule>
    <cfRule type="colorScale" priority="431">
      <colorScale>
        <cfvo type="num" val="0"/>
        <cfvo type="num" val="0"/>
        <color rgb="FFFF7128"/>
        <color rgb="FFFFEF9C"/>
      </colorScale>
    </cfRule>
  </conditionalFormatting>
  <conditionalFormatting sqref="Q162:R163">
    <cfRule type="colorScale" priority="428">
      <colorScale>
        <cfvo type="num" val="1"/>
        <cfvo type="num" val="1"/>
        <color theme="0"/>
        <color rgb="FFFFEF9C"/>
      </colorScale>
    </cfRule>
    <cfRule type="colorScale" priority="429">
      <colorScale>
        <cfvo type="num" val="0"/>
        <cfvo type="num" val="0"/>
        <color rgb="FFFF7128"/>
        <color rgb="FFFFEF9C"/>
      </colorScale>
    </cfRule>
  </conditionalFormatting>
  <conditionalFormatting sqref="Q169:R169">
    <cfRule type="colorScale" priority="426">
      <colorScale>
        <cfvo type="num" val="1"/>
        <cfvo type="num" val="1"/>
        <color theme="0"/>
        <color rgb="FFFFEF9C"/>
      </colorScale>
    </cfRule>
    <cfRule type="colorScale" priority="427">
      <colorScale>
        <cfvo type="num" val="0"/>
        <cfvo type="num" val="0"/>
        <color rgb="FFFF7128"/>
        <color rgb="FFFFEF9C"/>
      </colorScale>
    </cfRule>
  </conditionalFormatting>
  <conditionalFormatting sqref="Q175:R175">
    <cfRule type="colorScale" priority="424">
      <colorScale>
        <cfvo type="num" val="1"/>
        <cfvo type="num" val="1"/>
        <color theme="0"/>
        <color rgb="FFFFEF9C"/>
      </colorScale>
    </cfRule>
    <cfRule type="colorScale" priority="425">
      <colorScale>
        <cfvo type="num" val="0"/>
        <cfvo type="num" val="0"/>
        <color rgb="FFFF7128"/>
        <color rgb="FFFFEF9C"/>
      </colorScale>
    </cfRule>
  </conditionalFormatting>
  <conditionalFormatting sqref="Q176:R176">
    <cfRule type="colorScale" priority="422">
      <colorScale>
        <cfvo type="num" val="1"/>
        <cfvo type="num" val="1"/>
        <color theme="0"/>
        <color rgb="FFFFEF9C"/>
      </colorScale>
    </cfRule>
    <cfRule type="colorScale" priority="423">
      <colorScale>
        <cfvo type="num" val="0"/>
        <cfvo type="num" val="0"/>
        <color rgb="FFFF7128"/>
        <color rgb="FFFFEF9C"/>
      </colorScale>
    </cfRule>
  </conditionalFormatting>
  <conditionalFormatting sqref="Q179:R179">
    <cfRule type="colorScale" priority="420">
      <colorScale>
        <cfvo type="num" val="1"/>
        <cfvo type="num" val="1"/>
        <color theme="0"/>
        <color rgb="FFFFEF9C"/>
      </colorScale>
    </cfRule>
    <cfRule type="colorScale" priority="421">
      <colorScale>
        <cfvo type="num" val="0"/>
        <cfvo type="num" val="0"/>
        <color rgb="FFFF7128"/>
        <color rgb="FFFFEF9C"/>
      </colorScale>
    </cfRule>
  </conditionalFormatting>
  <conditionalFormatting sqref="Q180:R180">
    <cfRule type="colorScale" priority="418">
      <colorScale>
        <cfvo type="num" val="1"/>
        <cfvo type="num" val="1"/>
        <color theme="0"/>
        <color rgb="FFFFEF9C"/>
      </colorScale>
    </cfRule>
    <cfRule type="colorScale" priority="419">
      <colorScale>
        <cfvo type="num" val="0"/>
        <cfvo type="num" val="0"/>
        <color rgb="FFFF7128"/>
        <color rgb="FFFFEF9C"/>
      </colorScale>
    </cfRule>
  </conditionalFormatting>
  <conditionalFormatting sqref="Q187:R187">
    <cfRule type="colorScale" priority="416">
      <colorScale>
        <cfvo type="num" val="1"/>
        <cfvo type="num" val="1"/>
        <color theme="0"/>
        <color rgb="FFFFEF9C"/>
      </colorScale>
    </cfRule>
    <cfRule type="colorScale" priority="417">
      <colorScale>
        <cfvo type="num" val="0"/>
        <cfvo type="num" val="0"/>
        <color rgb="FFFF7128"/>
        <color rgb="FFFFEF9C"/>
      </colorScale>
    </cfRule>
  </conditionalFormatting>
  <conditionalFormatting sqref="Q188:R189">
    <cfRule type="colorScale" priority="414">
      <colorScale>
        <cfvo type="num" val="1"/>
        <cfvo type="num" val="1"/>
        <color theme="0"/>
        <color rgb="FFFFEF9C"/>
      </colorScale>
    </cfRule>
    <cfRule type="colorScale" priority="415">
      <colorScale>
        <cfvo type="num" val="0"/>
        <cfvo type="num" val="0"/>
        <color rgb="FFFF7128"/>
        <color rgb="FFFFEF9C"/>
      </colorScale>
    </cfRule>
  </conditionalFormatting>
  <conditionalFormatting sqref="Q190:R190">
    <cfRule type="colorScale" priority="412">
      <colorScale>
        <cfvo type="num" val="1"/>
        <cfvo type="num" val="1"/>
        <color theme="0"/>
        <color rgb="FFFFEF9C"/>
      </colorScale>
    </cfRule>
    <cfRule type="colorScale" priority="413">
      <colorScale>
        <cfvo type="num" val="0"/>
        <cfvo type="num" val="0"/>
        <color rgb="FFFF7128"/>
        <color rgb="FFFFEF9C"/>
      </colorScale>
    </cfRule>
  </conditionalFormatting>
  <conditionalFormatting sqref="Q191:R191">
    <cfRule type="colorScale" priority="410">
      <colorScale>
        <cfvo type="num" val="1"/>
        <cfvo type="num" val="1"/>
        <color theme="0"/>
        <color rgb="FFFFEF9C"/>
      </colorScale>
    </cfRule>
    <cfRule type="colorScale" priority="411">
      <colorScale>
        <cfvo type="num" val="0"/>
        <cfvo type="num" val="0"/>
        <color rgb="FFFF7128"/>
        <color rgb="FFFFEF9C"/>
      </colorScale>
    </cfRule>
  </conditionalFormatting>
  <conditionalFormatting sqref="Q192:R192">
    <cfRule type="colorScale" priority="408">
      <colorScale>
        <cfvo type="num" val="1"/>
        <cfvo type="num" val="1"/>
        <color theme="0"/>
        <color rgb="FFFFEF9C"/>
      </colorScale>
    </cfRule>
    <cfRule type="colorScale" priority="409">
      <colorScale>
        <cfvo type="num" val="0"/>
        <cfvo type="num" val="0"/>
        <color rgb="FFFF7128"/>
        <color rgb="FFFFEF9C"/>
      </colorScale>
    </cfRule>
  </conditionalFormatting>
  <conditionalFormatting sqref="Q193:R193">
    <cfRule type="colorScale" priority="406">
      <colorScale>
        <cfvo type="num" val="1"/>
        <cfvo type="num" val="1"/>
        <color theme="0"/>
        <color rgb="FFFFEF9C"/>
      </colorScale>
    </cfRule>
    <cfRule type="colorScale" priority="407">
      <colorScale>
        <cfvo type="num" val="0"/>
        <cfvo type="num" val="0"/>
        <color rgb="FFFF7128"/>
        <color rgb="FFFFEF9C"/>
      </colorScale>
    </cfRule>
  </conditionalFormatting>
  <conditionalFormatting sqref="Q194:R194">
    <cfRule type="colorScale" priority="404">
      <colorScale>
        <cfvo type="num" val="1"/>
        <cfvo type="num" val="1"/>
        <color theme="0"/>
        <color rgb="FFFFEF9C"/>
      </colorScale>
    </cfRule>
    <cfRule type="colorScale" priority="405">
      <colorScale>
        <cfvo type="num" val="0"/>
        <cfvo type="num" val="0"/>
        <color rgb="FFFF7128"/>
        <color rgb="FFFFEF9C"/>
      </colorScale>
    </cfRule>
  </conditionalFormatting>
  <conditionalFormatting sqref="Q195:R195">
    <cfRule type="colorScale" priority="402">
      <colorScale>
        <cfvo type="num" val="1"/>
        <cfvo type="num" val="1"/>
        <color theme="0"/>
        <color rgb="FFFFEF9C"/>
      </colorScale>
    </cfRule>
    <cfRule type="colorScale" priority="403">
      <colorScale>
        <cfvo type="num" val="0"/>
        <cfvo type="num" val="0"/>
        <color rgb="FFFF7128"/>
        <color rgb="FFFFEF9C"/>
      </colorScale>
    </cfRule>
  </conditionalFormatting>
  <conditionalFormatting sqref="Q197:R197">
    <cfRule type="colorScale" priority="400">
      <colorScale>
        <cfvo type="num" val="1"/>
        <cfvo type="num" val="1"/>
        <color theme="0"/>
        <color rgb="FFFFEF9C"/>
      </colorScale>
    </cfRule>
    <cfRule type="colorScale" priority="401">
      <colorScale>
        <cfvo type="num" val="0"/>
        <cfvo type="num" val="0"/>
        <color rgb="FFFF7128"/>
        <color rgb="FFFFEF9C"/>
      </colorScale>
    </cfRule>
  </conditionalFormatting>
  <conditionalFormatting sqref="Q198:R198">
    <cfRule type="colorScale" priority="398">
      <colorScale>
        <cfvo type="num" val="1"/>
        <cfvo type="num" val="1"/>
        <color theme="0"/>
        <color rgb="FFFFEF9C"/>
      </colorScale>
    </cfRule>
    <cfRule type="colorScale" priority="399">
      <colorScale>
        <cfvo type="num" val="0"/>
        <cfvo type="num" val="0"/>
        <color rgb="FFFF7128"/>
        <color rgb="FFFFEF9C"/>
      </colorScale>
    </cfRule>
  </conditionalFormatting>
  <conditionalFormatting sqref="Q199:R199">
    <cfRule type="colorScale" priority="396">
      <colorScale>
        <cfvo type="num" val="1"/>
        <cfvo type="num" val="1"/>
        <color theme="0"/>
        <color rgb="FFFFEF9C"/>
      </colorScale>
    </cfRule>
    <cfRule type="colorScale" priority="397">
      <colorScale>
        <cfvo type="num" val="0"/>
        <cfvo type="num" val="0"/>
        <color rgb="FFFF7128"/>
        <color rgb="FFFFEF9C"/>
      </colorScale>
    </cfRule>
  </conditionalFormatting>
  <conditionalFormatting sqref="Q200:R200">
    <cfRule type="colorScale" priority="394">
      <colorScale>
        <cfvo type="num" val="1"/>
        <cfvo type="num" val="1"/>
        <color theme="0"/>
        <color rgb="FFFFEF9C"/>
      </colorScale>
    </cfRule>
    <cfRule type="colorScale" priority="395">
      <colorScale>
        <cfvo type="num" val="0"/>
        <cfvo type="num" val="0"/>
        <color rgb="FFFF7128"/>
        <color rgb="FFFFEF9C"/>
      </colorScale>
    </cfRule>
  </conditionalFormatting>
  <conditionalFormatting sqref="Q201:R201">
    <cfRule type="colorScale" priority="392">
      <colorScale>
        <cfvo type="num" val="1"/>
        <cfvo type="num" val="1"/>
        <color theme="0"/>
        <color rgb="FFFFEF9C"/>
      </colorScale>
    </cfRule>
    <cfRule type="colorScale" priority="393">
      <colorScale>
        <cfvo type="num" val="0"/>
        <cfvo type="num" val="0"/>
        <color rgb="FFFF7128"/>
        <color rgb="FFFFEF9C"/>
      </colorScale>
    </cfRule>
  </conditionalFormatting>
  <conditionalFormatting sqref="Q202:R202">
    <cfRule type="colorScale" priority="390">
      <colorScale>
        <cfvo type="num" val="1"/>
        <cfvo type="num" val="1"/>
        <color theme="0"/>
        <color rgb="FFFFEF9C"/>
      </colorScale>
    </cfRule>
    <cfRule type="colorScale" priority="391">
      <colorScale>
        <cfvo type="num" val="0"/>
        <cfvo type="num" val="0"/>
        <color rgb="FFFF7128"/>
        <color rgb="FFFFEF9C"/>
      </colorScale>
    </cfRule>
  </conditionalFormatting>
  <conditionalFormatting sqref="Q203:R203">
    <cfRule type="colorScale" priority="388">
      <colorScale>
        <cfvo type="num" val="1"/>
        <cfvo type="num" val="1"/>
        <color theme="0"/>
        <color rgb="FFFFEF9C"/>
      </colorScale>
    </cfRule>
    <cfRule type="colorScale" priority="389">
      <colorScale>
        <cfvo type="num" val="0"/>
        <cfvo type="num" val="0"/>
        <color rgb="FFFF7128"/>
        <color rgb="FFFFEF9C"/>
      </colorScale>
    </cfRule>
  </conditionalFormatting>
  <conditionalFormatting sqref="Q204:R204">
    <cfRule type="colorScale" priority="386">
      <colorScale>
        <cfvo type="num" val="1"/>
        <cfvo type="num" val="1"/>
        <color theme="0"/>
        <color rgb="FFFFEF9C"/>
      </colorScale>
    </cfRule>
    <cfRule type="colorScale" priority="387">
      <colorScale>
        <cfvo type="num" val="0"/>
        <cfvo type="num" val="0"/>
        <color rgb="FFFF7128"/>
        <color rgb="FFFFEF9C"/>
      </colorScale>
    </cfRule>
  </conditionalFormatting>
  <conditionalFormatting sqref="Q205:R205">
    <cfRule type="colorScale" priority="384">
      <colorScale>
        <cfvo type="num" val="1"/>
        <cfvo type="num" val="1"/>
        <color theme="0"/>
        <color rgb="FFFFEF9C"/>
      </colorScale>
    </cfRule>
    <cfRule type="colorScale" priority="385">
      <colorScale>
        <cfvo type="num" val="0"/>
        <cfvo type="num" val="0"/>
        <color rgb="FFFF7128"/>
        <color rgb="FFFFEF9C"/>
      </colorScale>
    </cfRule>
  </conditionalFormatting>
  <conditionalFormatting sqref="Q206:R206">
    <cfRule type="colorScale" priority="382">
      <colorScale>
        <cfvo type="num" val="1"/>
        <cfvo type="num" val="1"/>
        <color theme="0"/>
        <color rgb="FFFFEF9C"/>
      </colorScale>
    </cfRule>
    <cfRule type="colorScale" priority="383">
      <colorScale>
        <cfvo type="num" val="0"/>
        <cfvo type="num" val="0"/>
        <color rgb="FFFF7128"/>
        <color rgb="FFFFEF9C"/>
      </colorScale>
    </cfRule>
  </conditionalFormatting>
  <conditionalFormatting sqref="Q207:R207">
    <cfRule type="colorScale" priority="380">
      <colorScale>
        <cfvo type="num" val="1"/>
        <cfvo type="num" val="1"/>
        <color theme="0"/>
        <color rgb="FFFFEF9C"/>
      </colorScale>
    </cfRule>
    <cfRule type="colorScale" priority="381">
      <colorScale>
        <cfvo type="num" val="0"/>
        <cfvo type="num" val="0"/>
        <color rgb="FFFF7128"/>
        <color rgb="FFFFEF9C"/>
      </colorScale>
    </cfRule>
  </conditionalFormatting>
  <conditionalFormatting sqref="Q208:R208">
    <cfRule type="colorScale" priority="378">
      <colorScale>
        <cfvo type="num" val="1"/>
        <cfvo type="num" val="1"/>
        <color theme="0"/>
        <color rgb="FFFFEF9C"/>
      </colorScale>
    </cfRule>
    <cfRule type="colorScale" priority="379">
      <colorScale>
        <cfvo type="num" val="0"/>
        <cfvo type="num" val="0"/>
        <color rgb="FFFF7128"/>
        <color rgb="FFFFEF9C"/>
      </colorScale>
    </cfRule>
  </conditionalFormatting>
  <conditionalFormatting sqref="Q209:R209">
    <cfRule type="colorScale" priority="376">
      <colorScale>
        <cfvo type="num" val="1"/>
        <cfvo type="num" val="1"/>
        <color theme="0"/>
        <color rgb="FFFFEF9C"/>
      </colorScale>
    </cfRule>
    <cfRule type="colorScale" priority="377">
      <colorScale>
        <cfvo type="num" val="0"/>
        <cfvo type="num" val="0"/>
        <color rgb="FFFF7128"/>
        <color rgb="FFFFEF9C"/>
      </colorScale>
    </cfRule>
  </conditionalFormatting>
  <conditionalFormatting sqref="Q210:R210">
    <cfRule type="colorScale" priority="374">
      <colorScale>
        <cfvo type="num" val="1"/>
        <cfvo type="num" val="1"/>
        <color theme="0"/>
        <color rgb="FFFFEF9C"/>
      </colorScale>
    </cfRule>
    <cfRule type="colorScale" priority="375">
      <colorScale>
        <cfvo type="num" val="0"/>
        <cfvo type="num" val="0"/>
        <color rgb="FFFF7128"/>
        <color rgb="FFFFEF9C"/>
      </colorScale>
    </cfRule>
  </conditionalFormatting>
  <conditionalFormatting sqref="Q225:R225">
    <cfRule type="colorScale" priority="367">
      <colorScale>
        <cfvo type="num" val="1"/>
        <cfvo type="num" val="1"/>
        <color theme="0"/>
        <color rgb="FFFFEF9C"/>
      </colorScale>
    </cfRule>
    <cfRule type="colorScale" priority="368">
      <colorScale>
        <cfvo type="num" val="0"/>
        <cfvo type="num" val="0"/>
        <color rgb="FFFF7128"/>
        <color rgb="FFFFEF9C"/>
      </colorScale>
    </cfRule>
  </conditionalFormatting>
  <conditionalFormatting sqref="AU225:AU251">
    <cfRule type="cellIs" dxfId="43" priority="365" operator="lessThan">
      <formula>0</formula>
    </cfRule>
  </conditionalFormatting>
  <conditionalFormatting sqref="AU225:AU251">
    <cfRule type="expression" dxfId="42" priority="364" stopIfTrue="1">
      <formula>"&lt;0"</formula>
    </cfRule>
  </conditionalFormatting>
  <conditionalFormatting sqref="Q158:R158">
    <cfRule type="colorScale" priority="359">
      <colorScale>
        <cfvo type="num" val="1"/>
        <cfvo type="num" val="1"/>
        <color theme="0"/>
        <color rgb="FFFFEF9C"/>
      </colorScale>
    </cfRule>
    <cfRule type="colorScale" priority="360">
      <colorScale>
        <cfvo type="num" val="0"/>
        <cfvo type="num" val="0"/>
        <color rgb="FFFF7128"/>
        <color rgb="FFFFEF9C"/>
      </colorScale>
    </cfRule>
  </conditionalFormatting>
  <conditionalFormatting sqref="Q494:R497">
    <cfRule type="colorScale" priority="357">
      <colorScale>
        <cfvo type="num" val="1"/>
        <cfvo type="num" val="1"/>
        <color theme="0"/>
        <color rgb="FFFFEF9C"/>
      </colorScale>
    </cfRule>
    <cfRule type="colorScale" priority="358">
      <colorScale>
        <cfvo type="num" val="0"/>
        <cfvo type="num" val="0"/>
        <color rgb="FFFF7128"/>
        <color rgb="FFFFEF9C"/>
      </colorScale>
    </cfRule>
  </conditionalFormatting>
  <conditionalFormatting sqref="Q165:R165">
    <cfRule type="colorScale" priority="344">
      <colorScale>
        <cfvo type="num" val="1"/>
        <cfvo type="num" val="1"/>
        <color theme="0"/>
        <color rgb="FFFFEF9C"/>
      </colorScale>
    </cfRule>
    <cfRule type="colorScale" priority="345">
      <colorScale>
        <cfvo type="num" val="0"/>
        <cfvo type="num" val="0"/>
        <color rgb="FFFF7128"/>
        <color rgb="FFFFEF9C"/>
      </colorScale>
    </cfRule>
  </conditionalFormatting>
  <conditionalFormatting sqref="Q167:R167">
    <cfRule type="colorScale" priority="342">
      <colorScale>
        <cfvo type="num" val="1"/>
        <cfvo type="num" val="1"/>
        <color theme="0"/>
        <color rgb="FFFFEF9C"/>
      </colorScale>
    </cfRule>
    <cfRule type="colorScale" priority="343">
      <colorScale>
        <cfvo type="num" val="0"/>
        <cfvo type="num" val="0"/>
        <color rgb="FFFF7128"/>
        <color rgb="FFFFEF9C"/>
      </colorScale>
    </cfRule>
  </conditionalFormatting>
  <conditionalFormatting sqref="Q172:R172">
    <cfRule type="colorScale" priority="331">
      <colorScale>
        <cfvo type="num" val="1"/>
        <cfvo type="num" val="1"/>
        <color theme="0"/>
        <color rgb="FFFFEF9C"/>
      </colorScale>
    </cfRule>
    <cfRule type="colorScale" priority="332">
      <colorScale>
        <cfvo type="num" val="0"/>
        <cfvo type="num" val="0"/>
        <color rgb="FFFF7128"/>
        <color rgb="FFFFEF9C"/>
      </colorScale>
    </cfRule>
  </conditionalFormatting>
  <conditionalFormatting sqref="Q226:R226">
    <cfRule type="colorScale" priority="325">
      <colorScale>
        <cfvo type="num" val="1"/>
        <cfvo type="num" val="1"/>
        <color theme="0"/>
        <color rgb="FFFFEF9C"/>
      </colorScale>
    </cfRule>
    <cfRule type="colorScale" priority="326">
      <colorScale>
        <cfvo type="num" val="0"/>
        <cfvo type="num" val="0"/>
        <color rgb="FFFF7128"/>
        <color rgb="FFFFEF9C"/>
      </colorScale>
    </cfRule>
  </conditionalFormatting>
  <conditionalFormatting sqref="Q227:R227">
    <cfRule type="colorScale" priority="323">
      <colorScale>
        <cfvo type="num" val="1"/>
        <cfvo type="num" val="1"/>
        <color theme="0"/>
        <color rgb="FFFFEF9C"/>
      </colorScale>
    </cfRule>
    <cfRule type="colorScale" priority="324">
      <colorScale>
        <cfvo type="num" val="0"/>
        <cfvo type="num" val="0"/>
        <color rgb="FFFF7128"/>
        <color rgb="FFFFEF9C"/>
      </colorScale>
    </cfRule>
  </conditionalFormatting>
  <conditionalFormatting sqref="Q228:R228">
    <cfRule type="colorScale" priority="321">
      <colorScale>
        <cfvo type="num" val="1"/>
        <cfvo type="num" val="1"/>
        <color theme="0"/>
        <color rgb="FFFFEF9C"/>
      </colorScale>
    </cfRule>
    <cfRule type="colorScale" priority="322">
      <colorScale>
        <cfvo type="num" val="0"/>
        <cfvo type="num" val="0"/>
        <color rgb="FFFF7128"/>
        <color rgb="FFFFEF9C"/>
      </colorScale>
    </cfRule>
  </conditionalFormatting>
  <conditionalFormatting sqref="Q196:R196">
    <cfRule type="colorScale" priority="316">
      <colorScale>
        <cfvo type="num" val="1"/>
        <cfvo type="num" val="1"/>
        <color theme="0"/>
        <color rgb="FFFFEF9C"/>
      </colorScale>
    </cfRule>
    <cfRule type="colorScale" priority="317">
      <colorScale>
        <cfvo type="num" val="0"/>
        <cfvo type="num" val="0"/>
        <color rgb="FFFF7128"/>
        <color rgb="FFFFEF9C"/>
      </colorScale>
    </cfRule>
  </conditionalFormatting>
  <conditionalFormatting sqref="Q229:R229">
    <cfRule type="colorScale" priority="310">
      <colorScale>
        <cfvo type="num" val="1"/>
        <cfvo type="num" val="1"/>
        <color theme="0"/>
        <color rgb="FFFFEF9C"/>
      </colorScale>
    </cfRule>
    <cfRule type="colorScale" priority="311">
      <colorScale>
        <cfvo type="num" val="0"/>
        <cfvo type="num" val="0"/>
        <color rgb="FFFF7128"/>
        <color rgb="FFFFEF9C"/>
      </colorScale>
    </cfRule>
  </conditionalFormatting>
  <conditionalFormatting sqref="Q181:R181">
    <cfRule type="colorScale" priority="305">
      <colorScale>
        <cfvo type="num" val="1"/>
        <cfvo type="num" val="1"/>
        <color theme="0"/>
        <color rgb="FFFFEF9C"/>
      </colorScale>
    </cfRule>
    <cfRule type="colorScale" priority="306">
      <colorScale>
        <cfvo type="num" val="0"/>
        <cfvo type="num" val="0"/>
        <color rgb="FFFF7128"/>
        <color rgb="FFFFEF9C"/>
      </colorScale>
    </cfRule>
  </conditionalFormatting>
  <conditionalFormatting sqref="Q184:R184">
    <cfRule type="colorScale" priority="300">
      <colorScale>
        <cfvo type="num" val="1"/>
        <cfvo type="num" val="1"/>
        <color theme="0"/>
        <color rgb="FFFFEF9C"/>
      </colorScale>
    </cfRule>
    <cfRule type="colorScale" priority="301">
      <colorScale>
        <cfvo type="num" val="0"/>
        <cfvo type="num" val="0"/>
        <color rgb="FFFF7128"/>
        <color rgb="FFFFEF9C"/>
      </colorScale>
    </cfRule>
  </conditionalFormatting>
  <conditionalFormatting sqref="Q498:R502">
    <cfRule type="colorScale" priority="298">
      <colorScale>
        <cfvo type="num" val="1"/>
        <cfvo type="num" val="1"/>
        <color theme="0"/>
        <color rgb="FFFFEF9C"/>
      </colorScale>
    </cfRule>
    <cfRule type="colorScale" priority="299">
      <colorScale>
        <cfvo type="num" val="0"/>
        <cfvo type="num" val="0"/>
        <color rgb="FFFF7128"/>
        <color rgb="FFFFEF9C"/>
      </colorScale>
    </cfRule>
  </conditionalFormatting>
  <conditionalFormatting sqref="Q113:R113">
    <cfRule type="colorScale" priority="293">
      <colorScale>
        <cfvo type="num" val="1"/>
        <cfvo type="num" val="1"/>
        <color theme="0"/>
        <color rgb="FFFFEF9C"/>
      </colorScale>
    </cfRule>
    <cfRule type="colorScale" priority="294">
      <colorScale>
        <cfvo type="num" val="0"/>
        <cfvo type="num" val="0"/>
        <color rgb="FFFF7128"/>
        <color rgb="FFFFEF9C"/>
      </colorScale>
    </cfRule>
  </conditionalFormatting>
  <conditionalFormatting sqref="Q114:R114">
    <cfRule type="colorScale" priority="288">
      <colorScale>
        <cfvo type="num" val="1"/>
        <cfvo type="num" val="1"/>
        <color theme="0"/>
        <color rgb="FFFFEF9C"/>
      </colorScale>
    </cfRule>
    <cfRule type="colorScale" priority="289">
      <colorScale>
        <cfvo type="num" val="0"/>
        <cfvo type="num" val="0"/>
        <color rgb="FFFF7128"/>
        <color rgb="FFFFEF9C"/>
      </colorScale>
    </cfRule>
  </conditionalFormatting>
  <conditionalFormatting sqref="Q230:R230">
    <cfRule type="colorScale" priority="282">
      <colorScale>
        <cfvo type="num" val="1"/>
        <cfvo type="num" val="1"/>
        <color theme="0"/>
        <color rgb="FFFFEF9C"/>
      </colorScale>
    </cfRule>
    <cfRule type="colorScale" priority="283">
      <colorScale>
        <cfvo type="num" val="0"/>
        <cfvo type="num" val="0"/>
        <color rgb="FFFF7128"/>
        <color rgb="FFFFEF9C"/>
      </colorScale>
    </cfRule>
  </conditionalFormatting>
  <conditionalFormatting sqref="Q503:R503">
    <cfRule type="colorScale" priority="280">
      <colorScale>
        <cfvo type="num" val="1"/>
        <cfvo type="num" val="1"/>
        <color theme="0"/>
        <color rgb="FFFFEF9C"/>
      </colorScale>
    </cfRule>
    <cfRule type="colorScale" priority="281">
      <colorScale>
        <cfvo type="num" val="0"/>
        <cfvo type="num" val="0"/>
        <color rgb="FFFF7128"/>
        <color rgb="FFFFEF9C"/>
      </colorScale>
    </cfRule>
  </conditionalFormatting>
  <conditionalFormatting sqref="Q115:R115">
    <cfRule type="colorScale" priority="275">
      <colorScale>
        <cfvo type="num" val="1"/>
        <cfvo type="num" val="1"/>
        <color theme="0"/>
        <color rgb="FFFFEF9C"/>
      </colorScale>
    </cfRule>
    <cfRule type="colorScale" priority="276">
      <colorScale>
        <cfvo type="num" val="0"/>
        <cfvo type="num" val="0"/>
        <color rgb="FFFF7128"/>
        <color rgb="FFFFEF9C"/>
      </colorScale>
    </cfRule>
  </conditionalFormatting>
  <conditionalFormatting sqref="Q116:R116">
    <cfRule type="colorScale" priority="273">
      <colorScale>
        <cfvo type="num" val="1"/>
        <cfvo type="num" val="1"/>
        <color theme="0"/>
        <color rgb="FFFFEF9C"/>
      </colorScale>
    </cfRule>
    <cfRule type="colorScale" priority="274">
      <colorScale>
        <cfvo type="num" val="0"/>
        <cfvo type="num" val="0"/>
        <color rgb="FFFF7128"/>
        <color rgb="FFFFEF9C"/>
      </colorScale>
    </cfRule>
  </conditionalFormatting>
  <conditionalFormatting sqref="Q128:R128">
    <cfRule type="colorScale" priority="268">
      <colorScale>
        <cfvo type="num" val="1"/>
        <cfvo type="num" val="1"/>
        <color theme="0"/>
        <color rgb="FFFFEF9C"/>
      </colorScale>
    </cfRule>
    <cfRule type="colorScale" priority="269">
      <colorScale>
        <cfvo type="num" val="0"/>
        <cfvo type="num" val="0"/>
        <color rgb="FFFF7128"/>
        <color rgb="FFFFEF9C"/>
      </colorScale>
    </cfRule>
  </conditionalFormatting>
  <conditionalFormatting sqref="Q231:R231">
    <cfRule type="colorScale" priority="262">
      <colorScale>
        <cfvo type="num" val="1"/>
        <cfvo type="num" val="1"/>
        <color theme="0"/>
        <color rgb="FFFFEF9C"/>
      </colorScale>
    </cfRule>
    <cfRule type="colorScale" priority="263">
      <colorScale>
        <cfvo type="num" val="0"/>
        <cfvo type="num" val="0"/>
        <color rgb="FFFF7128"/>
        <color rgb="FFFFEF9C"/>
      </colorScale>
    </cfRule>
  </conditionalFormatting>
  <conditionalFormatting sqref="Q124:R124">
    <cfRule type="colorScale" priority="257">
      <colorScale>
        <cfvo type="num" val="1"/>
        <cfvo type="num" val="1"/>
        <color theme="0"/>
        <color rgb="FFFFEF9C"/>
      </colorScale>
    </cfRule>
    <cfRule type="colorScale" priority="258">
      <colorScale>
        <cfvo type="num" val="0"/>
        <cfvo type="num" val="0"/>
        <color rgb="FFFF7128"/>
        <color rgb="FFFFEF9C"/>
      </colorScale>
    </cfRule>
  </conditionalFormatting>
  <conditionalFormatting sqref="Q232:R232">
    <cfRule type="colorScale" priority="251">
      <colorScale>
        <cfvo type="num" val="1"/>
        <cfvo type="num" val="1"/>
        <color theme="0"/>
        <color rgb="FFFFEF9C"/>
      </colorScale>
    </cfRule>
    <cfRule type="colorScale" priority="252">
      <colorScale>
        <cfvo type="num" val="0"/>
        <cfvo type="num" val="0"/>
        <color rgb="FFFF7128"/>
        <color rgb="FFFFEF9C"/>
      </colorScale>
    </cfRule>
  </conditionalFormatting>
  <conditionalFormatting sqref="Q233:R233">
    <cfRule type="colorScale" priority="245">
      <colorScale>
        <cfvo type="num" val="1"/>
        <cfvo type="num" val="1"/>
        <color theme="0"/>
        <color rgb="FFFFEF9C"/>
      </colorScale>
    </cfRule>
    <cfRule type="colorScale" priority="246">
      <colorScale>
        <cfvo type="num" val="0"/>
        <cfvo type="num" val="0"/>
        <color rgb="FFFF7128"/>
        <color rgb="FFFFEF9C"/>
      </colorScale>
    </cfRule>
  </conditionalFormatting>
  <conditionalFormatting sqref="Q173:R173">
    <cfRule type="colorScale" priority="240">
      <colorScale>
        <cfvo type="num" val="1"/>
        <cfvo type="num" val="1"/>
        <color theme="0"/>
        <color rgb="FFFFEF9C"/>
      </colorScale>
    </cfRule>
    <cfRule type="colorScale" priority="241">
      <colorScale>
        <cfvo type="num" val="0"/>
        <cfvo type="num" val="0"/>
        <color rgb="FFFF7128"/>
        <color rgb="FFFFEF9C"/>
      </colorScale>
    </cfRule>
  </conditionalFormatting>
  <conditionalFormatting sqref="Q234:R234">
    <cfRule type="colorScale" priority="234">
      <colorScale>
        <cfvo type="num" val="1"/>
        <cfvo type="num" val="1"/>
        <color theme="0"/>
        <color rgb="FFFFEF9C"/>
      </colorScale>
    </cfRule>
    <cfRule type="colorScale" priority="235">
      <colorScale>
        <cfvo type="num" val="0"/>
        <cfvo type="num" val="0"/>
        <color rgb="FFFF7128"/>
        <color rgb="FFFFEF9C"/>
      </colorScale>
    </cfRule>
  </conditionalFormatting>
  <conditionalFormatting sqref="Q504:R504">
    <cfRule type="colorScale" priority="232">
      <colorScale>
        <cfvo type="num" val="1"/>
        <cfvo type="num" val="1"/>
        <color theme="0"/>
        <color rgb="FFFFEF9C"/>
      </colorScale>
    </cfRule>
    <cfRule type="colorScale" priority="233">
      <colorScale>
        <cfvo type="num" val="0"/>
        <cfvo type="num" val="0"/>
        <color rgb="FFFF7128"/>
        <color rgb="FFFFEF9C"/>
      </colorScale>
    </cfRule>
  </conditionalFormatting>
  <conditionalFormatting sqref="AO523">
    <cfRule type="cellIs" dxfId="41" priority="231" operator="lessThan">
      <formula>0</formula>
    </cfRule>
  </conditionalFormatting>
  <conditionalFormatting sqref="Q235:R235">
    <cfRule type="colorScale" priority="225">
      <colorScale>
        <cfvo type="num" val="1"/>
        <cfvo type="num" val="1"/>
        <color theme="0"/>
        <color rgb="FFFFEF9C"/>
      </colorScale>
    </cfRule>
    <cfRule type="colorScale" priority="226">
      <colorScale>
        <cfvo type="num" val="0"/>
        <cfvo type="num" val="0"/>
        <color rgb="FFFF7128"/>
        <color rgb="FFFFEF9C"/>
      </colorScale>
    </cfRule>
  </conditionalFormatting>
  <conditionalFormatting sqref="Q236:R236">
    <cfRule type="colorScale" priority="211">
      <colorScale>
        <cfvo type="num" val="1"/>
        <cfvo type="num" val="1"/>
        <color theme="0"/>
        <color rgb="FFFFEF9C"/>
      </colorScale>
    </cfRule>
    <cfRule type="colorScale" priority="212">
      <colorScale>
        <cfvo type="num" val="0"/>
        <cfvo type="num" val="0"/>
        <color rgb="FFFF7128"/>
        <color rgb="FFFFEF9C"/>
      </colorScale>
    </cfRule>
  </conditionalFormatting>
  <conditionalFormatting sqref="Q237:R237">
    <cfRule type="colorScale" priority="199">
      <colorScale>
        <cfvo type="num" val="1"/>
        <cfvo type="num" val="1"/>
        <color theme="0"/>
        <color rgb="FFFFEF9C"/>
      </colorScale>
    </cfRule>
    <cfRule type="colorScale" priority="200">
      <colorScale>
        <cfvo type="num" val="0"/>
        <cfvo type="num" val="0"/>
        <color rgb="FFFF7128"/>
        <color rgb="FFFFEF9C"/>
      </colorScale>
    </cfRule>
  </conditionalFormatting>
  <conditionalFormatting sqref="Q238:R238">
    <cfRule type="colorScale" priority="192">
      <colorScale>
        <cfvo type="num" val="1"/>
        <cfvo type="num" val="1"/>
        <color theme="0"/>
        <color rgb="FFFFEF9C"/>
      </colorScale>
    </cfRule>
    <cfRule type="colorScale" priority="193">
      <colorScale>
        <cfvo type="num" val="0"/>
        <cfvo type="num" val="0"/>
        <color rgb="FFFF7128"/>
        <color rgb="FFFFEF9C"/>
      </colorScale>
    </cfRule>
  </conditionalFormatting>
  <conditionalFormatting sqref="Q136:R136">
    <cfRule type="colorScale" priority="187">
      <colorScale>
        <cfvo type="num" val="1"/>
        <cfvo type="num" val="1"/>
        <color theme="0"/>
        <color rgb="FFFFEF9C"/>
      </colorScale>
    </cfRule>
    <cfRule type="colorScale" priority="188">
      <colorScale>
        <cfvo type="num" val="0"/>
        <cfvo type="num" val="0"/>
        <color rgb="FFFF7128"/>
        <color rgb="FFFFEF9C"/>
      </colorScale>
    </cfRule>
  </conditionalFormatting>
  <conditionalFormatting sqref="Q121:R121">
    <cfRule type="colorScale" priority="182">
      <colorScale>
        <cfvo type="num" val="1"/>
        <cfvo type="num" val="1"/>
        <color theme="0"/>
        <color rgb="FFFFEF9C"/>
      </colorScale>
    </cfRule>
    <cfRule type="colorScale" priority="183">
      <colorScale>
        <cfvo type="num" val="0"/>
        <cfvo type="num" val="0"/>
        <color rgb="FFFF7128"/>
        <color rgb="FFFFEF9C"/>
      </colorScale>
    </cfRule>
  </conditionalFormatting>
  <conditionalFormatting sqref="Q239:R239">
    <cfRule type="colorScale" priority="176">
      <colorScale>
        <cfvo type="num" val="1"/>
        <cfvo type="num" val="1"/>
        <color theme="0"/>
        <color rgb="FFFFEF9C"/>
      </colorScale>
    </cfRule>
    <cfRule type="colorScale" priority="177">
      <colorScale>
        <cfvo type="num" val="0"/>
        <cfvo type="num" val="0"/>
        <color rgb="FFFF7128"/>
        <color rgb="FFFFEF9C"/>
      </colorScale>
    </cfRule>
  </conditionalFormatting>
  <conditionalFormatting sqref="Q505:R510">
    <cfRule type="colorScale" priority="174">
      <colorScale>
        <cfvo type="num" val="1"/>
        <cfvo type="num" val="1"/>
        <color theme="0"/>
        <color rgb="FFFFEF9C"/>
      </colorScale>
    </cfRule>
    <cfRule type="colorScale" priority="175">
      <colorScale>
        <cfvo type="num" val="0"/>
        <cfvo type="num" val="0"/>
        <color rgb="FFFF7128"/>
        <color rgb="FFFFEF9C"/>
      </colorScale>
    </cfRule>
  </conditionalFormatting>
  <conditionalFormatting sqref="Q131:R131">
    <cfRule type="colorScale" priority="169">
      <colorScale>
        <cfvo type="num" val="1"/>
        <cfvo type="num" val="1"/>
        <color theme="0"/>
        <color rgb="FFFFEF9C"/>
      </colorScale>
    </cfRule>
    <cfRule type="colorScale" priority="170">
      <colorScale>
        <cfvo type="num" val="0"/>
        <cfvo type="num" val="0"/>
        <color rgb="FFFF7128"/>
        <color rgb="FFFFEF9C"/>
      </colorScale>
    </cfRule>
  </conditionalFormatting>
  <conditionalFormatting sqref="Q130:R130">
    <cfRule type="colorScale" priority="164">
      <colorScale>
        <cfvo type="num" val="1"/>
        <cfvo type="num" val="1"/>
        <color theme="0"/>
        <color rgb="FFFFEF9C"/>
      </colorScale>
    </cfRule>
    <cfRule type="colorScale" priority="165">
      <colorScale>
        <cfvo type="num" val="0"/>
        <cfvo type="num" val="0"/>
        <color rgb="FFFF7128"/>
        <color rgb="FFFFEF9C"/>
      </colorScale>
    </cfRule>
  </conditionalFormatting>
  <conditionalFormatting sqref="Q132:R132">
    <cfRule type="colorScale" priority="159">
      <colorScale>
        <cfvo type="num" val="1"/>
        <cfvo type="num" val="1"/>
        <color theme="0"/>
        <color rgb="FFFFEF9C"/>
      </colorScale>
    </cfRule>
    <cfRule type="colorScale" priority="160">
      <colorScale>
        <cfvo type="num" val="0"/>
        <cfvo type="num" val="0"/>
        <color rgb="FFFF7128"/>
        <color rgb="FFFFEF9C"/>
      </colorScale>
    </cfRule>
  </conditionalFormatting>
  <conditionalFormatting sqref="Q183:R183">
    <cfRule type="colorScale" priority="154">
      <colorScale>
        <cfvo type="num" val="1"/>
        <cfvo type="num" val="1"/>
        <color theme="0"/>
        <color rgb="FFFFEF9C"/>
      </colorScale>
    </cfRule>
    <cfRule type="colorScale" priority="155">
      <colorScale>
        <cfvo type="num" val="0"/>
        <cfvo type="num" val="0"/>
        <color rgb="FFFF7128"/>
        <color rgb="FFFFEF9C"/>
      </colorScale>
    </cfRule>
  </conditionalFormatting>
  <conditionalFormatting sqref="Q511:R514">
    <cfRule type="colorScale" priority="152">
      <colorScale>
        <cfvo type="num" val="1"/>
        <cfvo type="num" val="1"/>
        <color theme="0"/>
        <color rgb="FFFFEF9C"/>
      </colorScale>
    </cfRule>
    <cfRule type="colorScale" priority="153">
      <colorScale>
        <cfvo type="num" val="0"/>
        <cfvo type="num" val="0"/>
        <color rgb="FFFF7128"/>
        <color rgb="FFFFEF9C"/>
      </colorScale>
    </cfRule>
  </conditionalFormatting>
  <conditionalFormatting sqref="Q240:R240">
    <cfRule type="colorScale" priority="145">
      <colorScale>
        <cfvo type="num" val="1"/>
        <cfvo type="num" val="1"/>
        <color theme="0"/>
        <color rgb="FFFFEF9C"/>
      </colorScale>
    </cfRule>
    <cfRule type="colorScale" priority="146">
      <colorScale>
        <cfvo type="num" val="0"/>
        <cfvo type="num" val="0"/>
        <color rgb="FFFF7128"/>
        <color rgb="FFFFEF9C"/>
      </colorScale>
    </cfRule>
  </conditionalFormatting>
  <conditionalFormatting sqref="Q241:R241">
    <cfRule type="colorScale" priority="139">
      <colorScale>
        <cfvo type="num" val="1"/>
        <cfvo type="num" val="1"/>
        <color theme="0"/>
        <color rgb="FFFFEF9C"/>
      </colorScale>
    </cfRule>
    <cfRule type="colorScale" priority="140">
      <colorScale>
        <cfvo type="num" val="0"/>
        <cfvo type="num" val="0"/>
        <color rgb="FFFF7128"/>
        <color rgb="FFFFEF9C"/>
      </colorScale>
    </cfRule>
  </conditionalFormatting>
  <conditionalFormatting sqref="Q182:R182">
    <cfRule type="colorScale" priority="134">
      <colorScale>
        <cfvo type="num" val="1"/>
        <cfvo type="num" val="1"/>
        <color theme="0"/>
        <color rgb="FFFFEF9C"/>
      </colorScale>
    </cfRule>
    <cfRule type="colorScale" priority="135">
      <colorScale>
        <cfvo type="num" val="0"/>
        <cfvo type="num" val="0"/>
        <color rgb="FFFF7128"/>
        <color rgb="FFFFEF9C"/>
      </colorScale>
    </cfRule>
  </conditionalFormatting>
  <conditionalFormatting sqref="Q127:R127">
    <cfRule type="colorScale" priority="129">
      <colorScale>
        <cfvo type="num" val="1"/>
        <cfvo type="num" val="1"/>
        <color theme="0"/>
        <color rgb="FFFFEF9C"/>
      </colorScale>
    </cfRule>
    <cfRule type="colorScale" priority="130">
      <colorScale>
        <cfvo type="num" val="0"/>
        <cfvo type="num" val="0"/>
        <color rgb="FFFF7128"/>
        <color rgb="FFFFEF9C"/>
      </colorScale>
    </cfRule>
  </conditionalFormatting>
  <conditionalFormatting sqref="Q242:R242">
    <cfRule type="colorScale" priority="123">
      <colorScale>
        <cfvo type="num" val="1"/>
        <cfvo type="num" val="1"/>
        <color theme="0"/>
        <color rgb="FFFFEF9C"/>
      </colorScale>
    </cfRule>
    <cfRule type="colorScale" priority="124">
      <colorScale>
        <cfvo type="num" val="0"/>
        <cfvo type="num" val="0"/>
        <color rgb="FFFF7128"/>
        <color rgb="FFFFEF9C"/>
      </colorScale>
    </cfRule>
  </conditionalFormatting>
  <conditionalFormatting sqref="Q168:R168">
    <cfRule type="colorScale" priority="118">
      <colorScale>
        <cfvo type="num" val="1"/>
        <cfvo type="num" val="1"/>
        <color theme="0"/>
        <color rgb="FFFFEF9C"/>
      </colorScale>
    </cfRule>
    <cfRule type="colorScale" priority="119">
      <colorScale>
        <cfvo type="num" val="0"/>
        <cfvo type="num" val="0"/>
        <color rgb="FFFF7128"/>
        <color rgb="FFFFEF9C"/>
      </colorScale>
    </cfRule>
  </conditionalFormatting>
  <conditionalFormatting sqref="Q243:R243">
    <cfRule type="colorScale" priority="112">
      <colorScale>
        <cfvo type="num" val="1"/>
        <cfvo type="num" val="1"/>
        <color theme="0"/>
        <color rgb="FFFFEF9C"/>
      </colorScale>
    </cfRule>
    <cfRule type="colorScale" priority="113">
      <colorScale>
        <cfvo type="num" val="0"/>
        <cfvo type="num" val="0"/>
        <color rgb="FFFF7128"/>
        <color rgb="FFFFEF9C"/>
      </colorScale>
    </cfRule>
  </conditionalFormatting>
  <conditionalFormatting sqref="Q160:R160">
    <cfRule type="colorScale" priority="107">
      <colorScale>
        <cfvo type="num" val="1"/>
        <cfvo type="num" val="1"/>
        <color theme="0"/>
        <color rgb="FFFFEF9C"/>
      </colorScale>
    </cfRule>
    <cfRule type="colorScale" priority="108">
      <colorScale>
        <cfvo type="num" val="0"/>
        <cfvo type="num" val="0"/>
        <color rgb="FFFF7128"/>
        <color rgb="FFFFEF9C"/>
      </colorScale>
    </cfRule>
  </conditionalFormatting>
  <conditionalFormatting sqref="Q120:R120">
    <cfRule type="colorScale" priority="102">
      <colorScale>
        <cfvo type="num" val="1"/>
        <cfvo type="num" val="1"/>
        <color theme="0"/>
        <color rgb="FFFFEF9C"/>
      </colorScale>
    </cfRule>
    <cfRule type="colorScale" priority="103">
      <colorScale>
        <cfvo type="num" val="0"/>
        <cfvo type="num" val="0"/>
        <color rgb="FFFF7128"/>
        <color rgb="FFFFEF9C"/>
      </colorScale>
    </cfRule>
  </conditionalFormatting>
  <conditionalFormatting sqref="Q119:R119">
    <cfRule type="colorScale" priority="97">
      <colorScale>
        <cfvo type="num" val="1"/>
        <cfvo type="num" val="1"/>
        <color theme="0"/>
        <color rgb="FFFFEF9C"/>
      </colorScale>
    </cfRule>
    <cfRule type="colorScale" priority="98">
      <colorScale>
        <cfvo type="num" val="0"/>
        <cfvo type="num" val="0"/>
        <color rgb="FFFF7128"/>
        <color rgb="FFFFEF9C"/>
      </colorScale>
    </cfRule>
  </conditionalFormatting>
  <conditionalFormatting sqref="Q244:R244">
    <cfRule type="colorScale" priority="91">
      <colorScale>
        <cfvo type="num" val="1"/>
        <cfvo type="num" val="1"/>
        <color theme="0"/>
        <color rgb="FFFFEF9C"/>
      </colorScale>
    </cfRule>
    <cfRule type="colorScale" priority="92">
      <colorScale>
        <cfvo type="num" val="0"/>
        <cfvo type="num" val="0"/>
        <color rgb="FFFF7128"/>
        <color rgb="FFFFEF9C"/>
      </colorScale>
    </cfRule>
  </conditionalFormatting>
  <conditionalFormatting sqref="Q245:R245">
    <cfRule type="colorScale" priority="85">
      <colorScale>
        <cfvo type="num" val="1"/>
        <cfvo type="num" val="1"/>
        <color theme="0"/>
        <color rgb="FFFFEF9C"/>
      </colorScale>
    </cfRule>
    <cfRule type="colorScale" priority="86">
      <colorScale>
        <cfvo type="num" val="0"/>
        <cfvo type="num" val="0"/>
        <color rgb="FFFF7128"/>
        <color rgb="FFFFEF9C"/>
      </colorScale>
    </cfRule>
  </conditionalFormatting>
  <conditionalFormatting sqref="Q129:R129">
    <cfRule type="colorScale" priority="80">
      <colorScale>
        <cfvo type="num" val="1"/>
        <cfvo type="num" val="1"/>
        <color theme="0"/>
        <color rgb="FFFFEF9C"/>
      </colorScale>
    </cfRule>
    <cfRule type="colorScale" priority="81">
      <colorScale>
        <cfvo type="num" val="0"/>
        <cfvo type="num" val="0"/>
        <color rgb="FFFF7128"/>
        <color rgb="FFFFEF9C"/>
      </colorScale>
    </cfRule>
  </conditionalFormatting>
  <conditionalFormatting sqref="Q156:R156">
    <cfRule type="colorScale" priority="75">
      <colorScale>
        <cfvo type="num" val="1"/>
        <cfvo type="num" val="1"/>
        <color theme="0"/>
        <color rgb="FFFFEF9C"/>
      </colorScale>
    </cfRule>
    <cfRule type="colorScale" priority="76">
      <colorScale>
        <cfvo type="num" val="0"/>
        <cfvo type="num" val="0"/>
        <color rgb="FFFF7128"/>
        <color rgb="FFFFEF9C"/>
      </colorScale>
    </cfRule>
  </conditionalFormatting>
  <conditionalFormatting sqref="Q161:R161">
    <cfRule type="colorScale" priority="70">
      <colorScale>
        <cfvo type="num" val="1"/>
        <cfvo type="num" val="1"/>
        <color theme="0"/>
        <color rgb="FFFFEF9C"/>
      </colorScale>
    </cfRule>
    <cfRule type="colorScale" priority="71">
      <colorScale>
        <cfvo type="num" val="0"/>
        <cfvo type="num" val="0"/>
        <color rgb="FFFF7128"/>
        <color rgb="FFFFEF9C"/>
      </colorScale>
    </cfRule>
  </conditionalFormatting>
  <conditionalFormatting sqref="Q246:R246">
    <cfRule type="colorScale" priority="64">
      <colorScale>
        <cfvo type="num" val="1"/>
        <cfvo type="num" val="1"/>
        <color theme="0"/>
        <color rgb="FFFFEF9C"/>
      </colorScale>
    </cfRule>
    <cfRule type="colorScale" priority="65">
      <colorScale>
        <cfvo type="num" val="0"/>
        <cfvo type="num" val="0"/>
        <color rgb="FFFF7128"/>
        <color rgb="FFFFEF9C"/>
      </colorScale>
    </cfRule>
  </conditionalFormatting>
  <conditionalFormatting sqref="Q247:R247">
    <cfRule type="colorScale" priority="58">
      <colorScale>
        <cfvo type="num" val="1"/>
        <cfvo type="num" val="1"/>
        <color theme="0"/>
        <color rgb="FFFFEF9C"/>
      </colorScale>
    </cfRule>
    <cfRule type="colorScale" priority="59">
      <colorScale>
        <cfvo type="num" val="0"/>
        <cfvo type="num" val="0"/>
        <color rgb="FFFF7128"/>
        <color rgb="FFFFEF9C"/>
      </colorScale>
    </cfRule>
  </conditionalFormatting>
  <conditionalFormatting sqref="Q248:R249">
    <cfRule type="colorScale" priority="50">
      <colorScale>
        <cfvo type="num" val="1"/>
        <cfvo type="num" val="1"/>
        <color theme="0"/>
        <color rgb="FFFFEF9C"/>
      </colorScale>
    </cfRule>
    <cfRule type="colorScale" priority="51">
      <colorScale>
        <cfvo type="num" val="0"/>
        <cfvo type="num" val="0"/>
        <color rgb="FFFF7128"/>
        <color rgb="FFFFEF9C"/>
      </colorScale>
    </cfRule>
  </conditionalFormatting>
  <conditionalFormatting sqref="Q164:R164">
    <cfRule type="colorScale" priority="44">
      <colorScale>
        <cfvo type="num" val="1"/>
        <cfvo type="num" val="1"/>
        <color theme="0"/>
        <color rgb="FFFFEF9C"/>
      </colorScale>
    </cfRule>
    <cfRule type="colorScale" priority="45">
      <colorScale>
        <cfvo type="num" val="0"/>
        <cfvo type="num" val="0"/>
        <color rgb="FFFF7128"/>
        <color rgb="FFFFEF9C"/>
      </colorScale>
    </cfRule>
  </conditionalFormatting>
  <conditionalFormatting sqref="Q166:R166">
    <cfRule type="colorScale" priority="39">
      <colorScale>
        <cfvo type="num" val="1"/>
        <cfvo type="num" val="1"/>
        <color theme="0"/>
        <color rgb="FFFFEF9C"/>
      </colorScale>
    </cfRule>
    <cfRule type="colorScale" priority="40">
      <colorScale>
        <cfvo type="num" val="0"/>
        <cfvo type="num" val="0"/>
        <color rgb="FFFF7128"/>
        <color rgb="FFFFEF9C"/>
      </colorScale>
    </cfRule>
  </conditionalFormatting>
  <conditionalFormatting sqref="Q110:R110">
    <cfRule type="colorScale" priority="33">
      <colorScale>
        <cfvo type="num" val="1"/>
        <cfvo type="num" val="1"/>
        <color theme="0"/>
        <color rgb="FFFFEF9C"/>
      </colorScale>
    </cfRule>
    <cfRule type="colorScale" priority="34">
      <colorScale>
        <cfvo type="num" val="0"/>
        <cfvo type="num" val="0"/>
        <color rgb="FFFF7128"/>
        <color rgb="FFFFEF9C"/>
      </colorScale>
    </cfRule>
  </conditionalFormatting>
  <conditionalFormatting sqref="Q515:R519">
    <cfRule type="colorScale" priority="31">
      <colorScale>
        <cfvo type="num" val="1"/>
        <cfvo type="num" val="1"/>
        <color theme="0"/>
        <color rgb="FFFFEF9C"/>
      </colorScale>
    </cfRule>
    <cfRule type="colorScale" priority="32">
      <colorScale>
        <cfvo type="num" val="0"/>
        <cfvo type="num" val="0"/>
        <color rgb="FFFF7128"/>
        <color rgb="FFFFEF9C"/>
      </colorScale>
    </cfRule>
  </conditionalFormatting>
  <conditionalFormatting sqref="Q520:R520">
    <cfRule type="colorScale" priority="29">
      <colorScale>
        <cfvo type="num" val="1"/>
        <cfvo type="num" val="1"/>
        <color theme="0"/>
        <color rgb="FFFFEF9C"/>
      </colorScale>
    </cfRule>
    <cfRule type="colorScale" priority="30">
      <colorScale>
        <cfvo type="num" val="0"/>
        <cfvo type="num" val="0"/>
        <color rgb="FFFF7128"/>
        <color rgb="FFFFEF9C"/>
      </colorScale>
    </cfRule>
  </conditionalFormatting>
  <conditionalFormatting sqref="Q250:R250">
    <cfRule type="colorScale" priority="23">
      <colorScale>
        <cfvo type="num" val="1"/>
        <cfvo type="num" val="1"/>
        <color theme="0"/>
        <color rgb="FFFFEF9C"/>
      </colorScale>
    </cfRule>
    <cfRule type="colorScale" priority="24">
      <colorScale>
        <cfvo type="num" val="0"/>
        <cfvo type="num" val="0"/>
        <color rgb="FFFF7128"/>
        <color rgb="FFFFEF9C"/>
      </colorScale>
    </cfRule>
  </conditionalFormatting>
  <conditionalFormatting sqref="Q108:R108">
    <cfRule type="colorScale" priority="18">
      <colorScale>
        <cfvo type="num" val="1"/>
        <cfvo type="num" val="1"/>
        <color theme="0"/>
        <color rgb="FFFFEF9C"/>
      </colorScale>
    </cfRule>
    <cfRule type="colorScale" priority="19">
      <colorScale>
        <cfvo type="num" val="0"/>
        <cfvo type="num" val="0"/>
        <color rgb="FFFF7128"/>
        <color rgb="FFFFEF9C"/>
      </colorScale>
    </cfRule>
  </conditionalFormatting>
  <conditionalFormatting sqref="Q170:R170">
    <cfRule type="colorScale" priority="12">
      <colorScale>
        <cfvo type="num" val="1"/>
        <cfvo type="num" val="1"/>
        <color theme="0"/>
        <color rgb="FFFFEF9C"/>
      </colorScale>
    </cfRule>
    <cfRule type="colorScale" priority="13">
      <colorScale>
        <cfvo type="num" val="0"/>
        <cfvo type="num" val="0"/>
        <color rgb="FFFF7128"/>
        <color rgb="FFFFEF9C"/>
      </colorScale>
    </cfRule>
  </conditionalFormatting>
  <conditionalFormatting sqref="Q171:R171">
    <cfRule type="colorScale" priority="7">
      <colorScale>
        <cfvo type="num" val="1"/>
        <cfvo type="num" val="1"/>
        <color theme="0"/>
        <color rgb="FFFFEF9C"/>
      </colorScale>
    </cfRule>
    <cfRule type="colorScale" priority="8">
      <colorScale>
        <cfvo type="num" val="0"/>
        <cfvo type="num" val="0"/>
        <color rgb="FFFF7128"/>
        <color rgb="FFFFEF9C"/>
      </colorScale>
    </cfRule>
  </conditionalFormatting>
  <conditionalFormatting sqref="Q251:R251">
    <cfRule type="colorScale" priority="1">
      <colorScale>
        <cfvo type="num" val="1"/>
        <cfvo type="num" val="1"/>
        <color theme="0"/>
        <color rgb="FFFFEF9C"/>
      </colorScale>
    </cfRule>
    <cfRule type="colorScale" priority="2">
      <colorScale>
        <cfvo type="num" val="0"/>
        <cfvo type="num" val="0"/>
        <color rgb="FFFF7128"/>
        <color rgb="FFFFEF9C"/>
      </colorScale>
    </cfRule>
  </conditionalFormatting>
  <dataValidations count="12">
    <dataValidation type="list" allowBlank="1" showInputMessage="1" showErrorMessage="1" sqref="T358:T359 S276 S274 S272 S269:S270 S266 S260 S257:S258 S83 S59 S155 S51 S18 S327:S328 S205:S207 S80:S81 S252:S254 S200:S202 S15 S278:S279 S281:S282 S352:T356 T1:T2 S349:T350 S343:T347 S287 S45 S289 S292 S300 S302 S304:T304 S13 S313:T313 S192 S194:S195 S323:S324 S21:S22 S159 S221:S224 S235:S237 S242 S169" xr:uid="{9F5E61B5-6423-7C4E-8E78-B9024674F0C2}">
      <formula1>#REF!</formula1>
    </dataValidation>
    <dataValidation type="list" allowBlank="1" showInputMessage="1" showErrorMessage="1" sqref="T357 T341 T234:T237 T13:T22 T221:T232 T155 T192:T195 T197:T210 T69 T98 T493 T133:T134 T122:T123 T152 T41 T316:T320 T105:T106 T305:T314 T95:T96 T89 T72:T83 T466:T469 T149:T150 T265:T303 T322:T339 T100:T102 T360:T376 T257:T263 T147 T413:T464 T380:T411 T24:T39 T162 T86:T87 T159 T239:T243 T246 T137 T43:T49 T169 T248:T255 T51:T66 T91:T93" xr:uid="{3E400DD3-FCC3-9E40-B1A9-545103DD5794}">
      <formula1>$T$1:$T$3</formula1>
    </dataValidation>
    <dataValidation type="list" showInputMessage="1" showErrorMessage="1" sqref="U360:U367 L145:L146 L240 L156 L136 U235:U237 L182:L183 U35:U36 L138:L141 U230:U231 U122:U123 U149:U150 L129:L132 U333 U327:U331 L326 U310:U325 U335:U336 U105:U106 U95:U96 U86:U87 U493 U133 U304:U308 U89 U299:U302 L334 L30:L31 L297:L298 U294:U296 L227:L230 U57:U59 L293:L295 U265:U292 U51 U47 U152 U55 L361:N411 L413:N427 U197:U210 U80:U83 L493:N493 U413:U442 U65:U66 U98 L428:L492 U369:U411 L24:L28 U192:U195 L124 L19 U31 U29 L173 U147 U76:U77 L285 U41 U44:U45 U72 U38 L337 L213:L220 U338:U339 U341 L340 U222:U226 U239 U61:U62 L127 L168 U159 L119:L121 U241:U243 U20:U23 U12:U18 U155 L160:L161 L245 U246 U137 U162:U163 L164 L166 L104 L110 L494:L520 L170:L171 U100:U102 L108 L70 U169 U248:U263 U91:U93" xr:uid="{9402366B-D547-E347-91F5-03B2CE6CA74F}">
      <formula1>$V$1:$V$4</formula1>
    </dataValidation>
    <dataValidation type="list" allowBlank="1" showInputMessage="1" showErrorMessage="1" sqref="S87 S357:S359 S76 S313 S72 S66" xr:uid="{92B76AA2-0D37-4640-80B3-695DDBCEBEA1}">
      <formula1>Idea</formula1>
    </dataValidation>
    <dataValidation type="list" showInputMessage="1" showErrorMessage="1" sqref="U368 U332" xr:uid="{7631FF1E-FF3C-0340-BDCA-10A47EFCF9C9}">
      <formula1>$V$1:$V$5</formula1>
    </dataValidation>
    <dataValidation type="list" allowBlank="1" showInputMessage="1" showErrorMessage="1" sqref="T377:T379 T315 T23 T84" xr:uid="{B7EF684A-D19A-7944-BBEE-CB36A9BEC7CB}">
      <formula1>$T$1:$T$4</formula1>
    </dataValidation>
    <dataValidation type="list" showInputMessage="1" showErrorMessage="1" sqref="U337 U334 U63 U326 U27 U443:U454 U19 U297 U24:U25" xr:uid="{9AB1673B-B8A8-8442-BF00-F8F5BD0D81A0}">
      <formula1>$V$1:$V$6</formula1>
    </dataValidation>
    <dataValidation type="list" showInputMessage="1" showErrorMessage="1" sqref="U52 U227 U134 U455:U457 U30:U32 U37 U309 U79 U34 U240" xr:uid="{0F2A10AC-FEC9-3F43-8F9E-16B78A4F673E}">
      <formula1>$V$1:$V$7</formula1>
    </dataValidation>
    <dataValidation type="list" allowBlank="1" showInputMessage="1" showErrorMessage="1" sqref="S290 S293 S46" xr:uid="{F723ABE3-5691-DA44-81C0-BA91DB29BEF1}">
      <formula1>$S$1:$S$4</formula1>
    </dataValidation>
    <dataValidation type="list" showInputMessage="1" showErrorMessage="1" sqref="U46 U138:U146 U153:U154 U53:U54 U213:U220 U238 U73:U75 U228:U229 U232:U234 U26 U196 U99 U156:U158 U458:U492 U135:U136 U148 U64 U88 U94 U97 U90 U85 U298 U78 U60 U33 U48:U50 U124:U132 U56 U293 U42:U43 U340 U28 U39:U40 U247 U160:U161 U244:U245 U164:U168 U103:U104 U494:U520 U107:U121 U67:U71 U170:U191" xr:uid="{B4A33222-DB79-ED4B-BC27-AF63221EE810}">
      <formula1>$V$1:$V$10</formula1>
    </dataValidation>
    <dataValidation type="list" showInputMessage="1" showErrorMessage="1" sqref="U84 U303" xr:uid="{BA65E68F-564E-C74F-8BEB-96341B1A8D1B}">
      <formula1>$V$1:$V$9</formula1>
    </dataValidation>
    <dataValidation type="list" allowBlank="1" showInputMessage="1" showErrorMessage="1" sqref="T85 T138:T146 T153:T154 T124:T132 T213:T220 T238 T233 T196 T99 T156:T158 T470:T492 T135:T136 T42 T148 T67:T68 T88 T94 T97 T90 T50 T465 T70:T71 T340 T247 T40 T160:T161 T244:T245 T163:T168 T103:T104 T494:T520 T107:T121 T170:T191" xr:uid="{8DDE1040-0BB1-FF40-81AA-78A6836E6D77}">
      <formula1>$T$1:$T$5</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25EEE-FE21-8E49-B8DE-C430797BA2C8}">
  <sheetPr codeName="Hoja4">
    <tabColor theme="5" tint="0.39997558519241921"/>
  </sheetPr>
  <dimension ref="A1:Q290"/>
  <sheetViews>
    <sheetView workbookViewId="0">
      <pane xSplit="10" ySplit="21" topLeftCell="K60" activePane="bottomRight" state="frozen"/>
      <selection pane="topRight" activeCell="J1" sqref="J1"/>
      <selection pane="bottomLeft" activeCell="A19" sqref="A19"/>
      <selection pane="bottomRight" activeCell="E69" sqref="E69"/>
    </sheetView>
  </sheetViews>
  <sheetFormatPr baseColWidth="10" defaultColWidth="10.83203125" defaultRowHeight="16" x14ac:dyDescent="0.2"/>
  <cols>
    <col min="1" max="1" width="12.33203125" style="1" customWidth="1"/>
    <col min="2" max="2" width="22" style="1" bestFit="1" customWidth="1"/>
    <col min="3" max="3" width="10.6640625" style="1" customWidth="1"/>
    <col min="4" max="4" width="22" style="1" customWidth="1"/>
    <col min="5" max="6" width="12.5" style="1" customWidth="1"/>
    <col min="7" max="7" width="12.1640625" style="1" customWidth="1"/>
    <col min="8" max="9" width="10.83203125" style="5"/>
    <col min="10" max="10" width="11.6640625" style="1" bestFit="1" customWidth="1"/>
    <col min="11" max="11" width="17" style="1" customWidth="1"/>
    <col min="12" max="12" width="10.83203125" style="1"/>
    <col min="13" max="13" width="13.33203125" style="5" bestFit="1" customWidth="1"/>
    <col min="14" max="14" width="16" style="1" bestFit="1" customWidth="1"/>
    <col min="15" max="15" width="13.33203125" style="1" bestFit="1" customWidth="1"/>
    <col min="16" max="17" width="10.83203125" style="1"/>
    <col min="18" max="18" width="12" style="1" bestFit="1" customWidth="1"/>
    <col min="19" max="16384" width="10.83203125" style="1"/>
  </cols>
  <sheetData>
    <row r="1" spans="1:15" x14ac:dyDescent="0.2">
      <c r="M1" s="1"/>
      <c r="N1" s="7"/>
      <c r="O1" s="5"/>
    </row>
    <row r="2" spans="1:15" x14ac:dyDescent="0.2">
      <c r="M2" s="1"/>
      <c r="N2" s="7"/>
      <c r="O2" s="5"/>
    </row>
    <row r="3" spans="1:15" s="40" customFormat="1" x14ac:dyDescent="0.2">
      <c r="A3" s="40" t="s">
        <v>46</v>
      </c>
      <c r="B3" s="40" t="s">
        <v>69</v>
      </c>
      <c r="C3" s="40" t="s">
        <v>172</v>
      </c>
      <c r="D3" s="40" t="s">
        <v>71</v>
      </c>
      <c r="E3" s="40" t="s">
        <v>32</v>
      </c>
      <c r="F3" s="40" t="s">
        <v>33</v>
      </c>
      <c r="G3" s="40" t="s">
        <v>12</v>
      </c>
      <c r="H3" s="42" t="s">
        <v>47</v>
      </c>
      <c r="I3" s="42" t="s">
        <v>48</v>
      </c>
      <c r="J3" s="40" t="s">
        <v>51</v>
      </c>
      <c r="K3" s="40" t="s">
        <v>50</v>
      </c>
      <c r="L3" s="40" t="s">
        <v>68</v>
      </c>
      <c r="M3" s="40" t="s">
        <v>70</v>
      </c>
      <c r="N3" s="41" t="s">
        <v>334</v>
      </c>
      <c r="O3" s="42" t="s">
        <v>335</v>
      </c>
    </row>
    <row r="4" spans="1:15" x14ac:dyDescent="0.2">
      <c r="A4" s="43"/>
      <c r="B4" s="4"/>
      <c r="C4" s="4"/>
      <c r="D4" s="4"/>
      <c r="E4" s="44"/>
      <c r="F4" s="44"/>
      <c r="L4" s="14"/>
      <c r="M4" s="45"/>
    </row>
    <row r="5" spans="1:15" x14ac:dyDescent="0.2">
      <c r="A5" s="43">
        <v>45659</v>
      </c>
      <c r="B5" s="4" t="s">
        <v>348</v>
      </c>
      <c r="C5" s="4"/>
      <c r="D5" s="4" t="s">
        <v>26</v>
      </c>
      <c r="E5" s="44">
        <f ca="1">+H5/G5</f>
        <v>8.5555555555555558E-3</v>
      </c>
      <c r="F5" s="44">
        <f t="shared" ref="F5:F17" ca="1" si="0">+I5/G5</f>
        <v>5.8888888888888888E-3</v>
      </c>
      <c r="G5" s="15">
        <f ca="1">_xlfn.XLOOKUP(B5,'2026'!$D$5:$D$381,'2026'!$K$5:$K$381)</f>
        <v>180</v>
      </c>
      <c r="H5" s="5">
        <v>1.54</v>
      </c>
      <c r="I5" s="5">
        <v>1.06</v>
      </c>
      <c r="J5" s="1">
        <v>0.23</v>
      </c>
      <c r="K5" s="1">
        <v>0.25</v>
      </c>
      <c r="L5" s="14">
        <v>0.72</v>
      </c>
      <c r="M5" s="45">
        <f t="shared" ref="M5:M17" si="1">+(K5+J5)/H5*100</f>
        <v>31.168831168831169</v>
      </c>
    </row>
    <row r="6" spans="1:15" x14ac:dyDescent="0.2">
      <c r="A6" s="43">
        <v>45664</v>
      </c>
      <c r="B6" s="4" t="s">
        <v>347</v>
      </c>
      <c r="C6" s="4"/>
      <c r="D6" s="4" t="s">
        <v>184</v>
      </c>
      <c r="E6" s="44">
        <f ca="1">+H6/G6</f>
        <v>0.47000000000000003</v>
      </c>
      <c r="F6" s="44">
        <f t="shared" ca="1" si="0"/>
        <v>0.38070175438596493</v>
      </c>
      <c r="G6" s="15">
        <f ca="1">_xlfn.XLOOKUP(B6,'2026'!$D$5:$D$381,'2026'!$K$5:$K$381)</f>
        <v>399</v>
      </c>
      <c r="H6" s="5">
        <v>187.53</v>
      </c>
      <c r="I6" s="5">
        <v>151.9</v>
      </c>
      <c r="K6" s="1">
        <v>35.630000000000003</v>
      </c>
      <c r="L6" s="14"/>
      <c r="M6" s="45">
        <f t="shared" si="1"/>
        <v>18.999626726390446</v>
      </c>
    </row>
    <row r="7" spans="1:15" x14ac:dyDescent="0.2">
      <c r="A7" s="43">
        <v>45664</v>
      </c>
      <c r="B7" s="4" t="s">
        <v>331</v>
      </c>
      <c r="C7" s="4" t="s">
        <v>332</v>
      </c>
      <c r="D7" s="4" t="s">
        <v>199</v>
      </c>
      <c r="E7" s="44">
        <v>0.26</v>
      </c>
      <c r="F7" s="44">
        <f t="shared" si="0"/>
        <v>0.18912210144927535</v>
      </c>
      <c r="G7" s="1">
        <v>138</v>
      </c>
      <c r="H7" s="5">
        <f>35.88*N7</f>
        <v>30.702516000000003</v>
      </c>
      <c r="I7" s="5">
        <f>30.5*N7</f>
        <v>26.098849999999999</v>
      </c>
      <c r="J7" s="91">
        <f>5.38*N7</f>
        <v>4.6036659999999996</v>
      </c>
      <c r="L7" s="14"/>
      <c r="M7" s="45">
        <f t="shared" si="1"/>
        <v>14.994425863991079</v>
      </c>
      <c r="N7" s="1">
        <v>0.85570000000000002</v>
      </c>
    </row>
    <row r="8" spans="1:15" x14ac:dyDescent="0.2">
      <c r="A8" s="43">
        <v>45665</v>
      </c>
      <c r="B8" s="4" t="s">
        <v>336</v>
      </c>
      <c r="C8" s="4" t="s">
        <v>333</v>
      </c>
      <c r="D8" s="4" t="s">
        <v>199</v>
      </c>
      <c r="E8" s="44">
        <v>1.4</v>
      </c>
      <c r="F8" s="44">
        <f t="shared" ca="1" si="0"/>
        <v>1.0191160000000001</v>
      </c>
      <c r="G8" s="15">
        <f ca="1">_xlfn.XLOOKUP(B8,'2026'!$D$5:$D$381,'2026'!$K$5:$K$381)</f>
        <v>105</v>
      </c>
      <c r="H8" s="5">
        <f>147*N8</f>
        <v>125.89080000000001</v>
      </c>
      <c r="I8" s="5">
        <f>124.95*N8</f>
        <v>107.00718000000001</v>
      </c>
      <c r="J8" s="91">
        <f>22.05*N8</f>
        <v>18.883620000000001</v>
      </c>
      <c r="L8" s="14"/>
      <c r="M8" s="45">
        <f t="shared" si="1"/>
        <v>15</v>
      </c>
      <c r="N8" s="1">
        <v>0.85640000000000005</v>
      </c>
    </row>
    <row r="9" spans="1:15" x14ac:dyDescent="0.2">
      <c r="A9" s="43">
        <v>45669</v>
      </c>
      <c r="B9" s="4" t="s">
        <v>338</v>
      </c>
      <c r="C9" s="4"/>
      <c r="D9" s="4" t="s">
        <v>184</v>
      </c>
      <c r="E9" s="44">
        <f t="shared" ref="E9:E15" si="2">+H9/G9</f>
        <v>4.1000000000000002E-2</v>
      </c>
      <c r="F9" s="44">
        <f t="shared" si="0"/>
        <v>3.321031426269138E-2</v>
      </c>
      <c r="G9" s="1">
        <v>12410</v>
      </c>
      <c r="H9" s="5">
        <v>508.81</v>
      </c>
      <c r="I9" s="5">
        <v>412.14</v>
      </c>
      <c r="K9" s="1">
        <v>96.67</v>
      </c>
      <c r="L9" s="14"/>
      <c r="M9" s="45">
        <f t="shared" si="1"/>
        <v>18.999233505630787</v>
      </c>
    </row>
    <row r="10" spans="1:15" x14ac:dyDescent="0.2">
      <c r="A10" s="43">
        <v>45669</v>
      </c>
      <c r="B10" s="4" t="s">
        <v>338</v>
      </c>
      <c r="C10" s="4"/>
      <c r="D10" s="4" t="s">
        <v>26</v>
      </c>
      <c r="E10" s="44">
        <f t="shared" si="2"/>
        <v>4.09998020194021E-2</v>
      </c>
      <c r="F10" s="44">
        <f t="shared" si="0"/>
        <v>3.320926549198179E-2</v>
      </c>
      <c r="G10" s="1">
        <v>5051</v>
      </c>
      <c r="H10" s="5">
        <v>207.09</v>
      </c>
      <c r="I10" s="5">
        <v>167.74</v>
      </c>
      <c r="K10" s="1">
        <v>39.35</v>
      </c>
      <c r="L10" s="14">
        <v>0.19</v>
      </c>
      <c r="M10" s="45">
        <f t="shared" si="1"/>
        <v>19.001400357332564</v>
      </c>
    </row>
    <row r="11" spans="1:15" x14ac:dyDescent="0.2">
      <c r="A11" s="43">
        <v>45669</v>
      </c>
      <c r="B11" s="4" t="s">
        <v>346</v>
      </c>
      <c r="C11" s="4"/>
      <c r="D11" s="4" t="s">
        <v>26</v>
      </c>
      <c r="E11" s="44">
        <f t="shared" ca="1" si="2"/>
        <v>0.41167999999999999</v>
      </c>
      <c r="F11" s="44">
        <f t="shared" ca="1" si="0"/>
        <v>0.28344000000000003</v>
      </c>
      <c r="G11" s="15">
        <f ca="1">_xlfn.XLOOKUP(B11,'2026'!$D$5:$D$255,'2026'!$K$5:$K$255)</f>
        <v>125</v>
      </c>
      <c r="H11" s="5">
        <v>51.46</v>
      </c>
      <c r="I11" s="5">
        <v>35.43</v>
      </c>
      <c r="J11" s="1">
        <v>7.72</v>
      </c>
      <c r="K11" s="1">
        <v>8.31</v>
      </c>
      <c r="L11" s="14">
        <v>0.72</v>
      </c>
      <c r="M11" s="45">
        <f t="shared" si="1"/>
        <v>31.150408083948701</v>
      </c>
    </row>
    <row r="12" spans="1:15" x14ac:dyDescent="0.2">
      <c r="A12" s="43">
        <v>45671</v>
      </c>
      <c r="B12" s="4" t="s">
        <v>345</v>
      </c>
      <c r="C12" s="4"/>
      <c r="D12" s="4" t="s">
        <v>184</v>
      </c>
      <c r="E12" s="44">
        <f t="shared" si="2"/>
        <v>0.5</v>
      </c>
      <c r="F12" s="44">
        <f t="shared" si="0"/>
        <v>0.40500000000000003</v>
      </c>
      <c r="G12" s="1">
        <v>2374</v>
      </c>
      <c r="H12" s="5">
        <v>1187</v>
      </c>
      <c r="I12" s="5">
        <v>961.47</v>
      </c>
      <c r="K12" s="91">
        <f>+H12*19%</f>
        <v>225.53</v>
      </c>
      <c r="L12" s="14"/>
      <c r="M12" s="45">
        <f t="shared" si="1"/>
        <v>19</v>
      </c>
    </row>
    <row r="13" spans="1:15" x14ac:dyDescent="0.2">
      <c r="A13" s="43">
        <v>45671</v>
      </c>
      <c r="B13" s="4" t="s">
        <v>340</v>
      </c>
      <c r="C13" s="4"/>
      <c r="D13" s="4" t="s">
        <v>196</v>
      </c>
      <c r="E13" s="44">
        <f t="shared" si="2"/>
        <v>0.5</v>
      </c>
      <c r="F13" s="44">
        <f t="shared" si="0"/>
        <v>0.40374403056351482</v>
      </c>
      <c r="G13" s="1">
        <v>1047</v>
      </c>
      <c r="H13" s="5">
        <f>+G13*E12</f>
        <v>523.5</v>
      </c>
      <c r="I13" s="5">
        <v>422.72</v>
      </c>
      <c r="K13" s="91">
        <v>99.47</v>
      </c>
      <c r="L13" s="14">
        <v>1.31</v>
      </c>
      <c r="M13" s="45">
        <f t="shared" si="1"/>
        <v>19.00095510983763</v>
      </c>
    </row>
    <row r="14" spans="1:15" x14ac:dyDescent="0.2">
      <c r="A14" s="43">
        <v>45671</v>
      </c>
      <c r="B14" s="4" t="s">
        <v>341</v>
      </c>
      <c r="C14" s="4"/>
      <c r="D14" s="4" t="s">
        <v>184</v>
      </c>
      <c r="E14" s="44">
        <f t="shared" si="2"/>
        <v>3.909930715935335E-2</v>
      </c>
      <c r="F14" s="44">
        <f t="shared" si="0"/>
        <v>3.1672055427251732E-2</v>
      </c>
      <c r="G14" s="1">
        <v>2165</v>
      </c>
      <c r="H14" s="5">
        <v>84.65</v>
      </c>
      <c r="I14" s="5">
        <v>68.569999999999993</v>
      </c>
      <c r="K14" s="91">
        <v>16.079999999999998</v>
      </c>
      <c r="L14" s="14"/>
      <c r="M14" s="45">
        <f t="shared" si="1"/>
        <v>18.995865327820432</v>
      </c>
    </row>
    <row r="15" spans="1:15" x14ac:dyDescent="0.2">
      <c r="A15" s="43">
        <v>45673</v>
      </c>
      <c r="B15" s="4" t="s">
        <v>344</v>
      </c>
      <c r="C15" s="4" t="s">
        <v>155</v>
      </c>
      <c r="D15" s="4" t="s">
        <v>342</v>
      </c>
      <c r="E15" s="44">
        <f t="shared" ca="1" si="2"/>
        <v>0.61216199999999998</v>
      </c>
      <c r="F15" s="44">
        <f t="shared" ca="1" si="0"/>
        <v>0.45912149999999996</v>
      </c>
      <c r="G15" s="15">
        <f ca="1">_xlfn.XLOOKUP(B15,'2026'!$D$5:$D$255,'2026'!$K$5:$K$255)</f>
        <v>100</v>
      </c>
      <c r="H15" s="5">
        <f>71*N15</f>
        <v>61.216200000000001</v>
      </c>
      <c r="I15" s="5">
        <f>53.25*N15</f>
        <v>45.912149999999997</v>
      </c>
      <c r="J15" s="91">
        <f>17.75*N15</f>
        <v>15.30405</v>
      </c>
      <c r="K15" s="91"/>
      <c r="L15" s="14"/>
      <c r="M15" s="45">
        <f t="shared" si="1"/>
        <v>25</v>
      </c>
      <c r="N15" s="1">
        <v>0.86219999999999997</v>
      </c>
    </row>
    <row r="16" spans="1:15" x14ac:dyDescent="0.2">
      <c r="A16" s="43">
        <v>45673</v>
      </c>
      <c r="B16" s="4" t="s">
        <v>343</v>
      </c>
      <c r="C16" s="4" t="s">
        <v>155</v>
      </c>
      <c r="D16" s="4" t="s">
        <v>26</v>
      </c>
      <c r="E16" s="44">
        <f t="shared" ref="E16:E21" ca="1" si="3">+H16/G16</f>
        <v>1.0323076923076924</v>
      </c>
      <c r="F16" s="44">
        <f ca="1">+I16/G16</f>
        <v>0.71076923076923082</v>
      </c>
      <c r="G16" s="15">
        <f ca="1">_xlfn.XLOOKUP(B16,'2026'!$D$5:$D$255,'2026'!$K$5:$K$255)</f>
        <v>13</v>
      </c>
      <c r="H16" s="5">
        <v>13.42</v>
      </c>
      <c r="I16" s="5">
        <v>9.24</v>
      </c>
      <c r="J16" s="91">
        <v>2.0099999999999998</v>
      </c>
      <c r="K16" s="1">
        <v>2.17</v>
      </c>
      <c r="L16" s="14">
        <v>0.72</v>
      </c>
      <c r="M16" s="45">
        <f t="shared" si="1"/>
        <v>31.147540983606554</v>
      </c>
    </row>
    <row r="17" spans="1:16" x14ac:dyDescent="0.2">
      <c r="A17" s="43">
        <v>45672</v>
      </c>
      <c r="B17" s="4" t="s">
        <v>349</v>
      </c>
      <c r="C17" s="4"/>
      <c r="D17" s="4" t="s">
        <v>26</v>
      </c>
      <c r="E17" s="44">
        <f t="shared" ca="1" si="3"/>
        <v>0.59634703196347028</v>
      </c>
      <c r="F17" s="44">
        <f t="shared" ca="1" si="0"/>
        <v>0</v>
      </c>
      <c r="G17" s="15">
        <f ca="1">_xlfn.XLOOKUP(B17,'2026'!$D$5:$D$255,'2026'!$K$5:$K$255)</f>
        <v>219</v>
      </c>
      <c r="H17" s="5">
        <v>130.6</v>
      </c>
      <c r="I17" s="5">
        <v>0</v>
      </c>
      <c r="J17" s="91">
        <v>0</v>
      </c>
      <c r="L17" s="14">
        <v>0.12</v>
      </c>
      <c r="M17" s="45">
        <f t="shared" si="1"/>
        <v>0</v>
      </c>
    </row>
    <row r="18" spans="1:16" x14ac:dyDescent="0.2">
      <c r="A18" s="43">
        <v>45680</v>
      </c>
      <c r="B18" s="4" t="s">
        <v>353</v>
      </c>
      <c r="C18" s="4"/>
      <c r="D18" s="4" t="s">
        <v>184</v>
      </c>
      <c r="E18" s="44">
        <f t="shared" si="3"/>
        <v>0.31</v>
      </c>
      <c r="F18" s="44">
        <f>+I18/G18</f>
        <v>0.25109886837403217</v>
      </c>
      <c r="G18" s="15">
        <v>3358</v>
      </c>
      <c r="H18" s="5">
        <v>1040.98</v>
      </c>
      <c r="I18" s="5">
        <v>843.19</v>
      </c>
      <c r="K18" s="1">
        <v>197.79</v>
      </c>
      <c r="L18" s="14"/>
      <c r="M18" s="45">
        <f>+(K18+J18)/H18*100</f>
        <v>19.000365040634783</v>
      </c>
    </row>
    <row r="19" spans="1:16" x14ac:dyDescent="0.2">
      <c r="A19" s="43">
        <v>45686</v>
      </c>
      <c r="B19" s="4" t="s">
        <v>355</v>
      </c>
      <c r="C19" s="4"/>
      <c r="D19" s="4" t="s">
        <v>184</v>
      </c>
      <c r="E19" s="44">
        <f t="shared" si="3"/>
        <v>4.9000363504180293E-2</v>
      </c>
      <c r="F19" s="44">
        <f>+I19/G19</f>
        <v>3.9689809766145646E-2</v>
      </c>
      <c r="G19" s="15">
        <v>8253</v>
      </c>
      <c r="H19" s="5">
        <v>404.4</v>
      </c>
      <c r="I19" s="5">
        <v>327.56</v>
      </c>
      <c r="K19" s="1">
        <v>76.84</v>
      </c>
      <c r="L19" s="14"/>
      <c r="M19" s="45">
        <f>+(K19+J19)/H19*100</f>
        <v>19.000989119683485</v>
      </c>
    </row>
    <row r="20" spans="1:16" x14ac:dyDescent="0.2">
      <c r="A20" s="43">
        <v>45687</v>
      </c>
      <c r="B20" s="4" t="s">
        <v>358</v>
      </c>
      <c r="C20" s="4"/>
      <c r="D20" s="4" t="s">
        <v>26</v>
      </c>
      <c r="E20" s="44">
        <f t="shared" ca="1" si="3"/>
        <v>0.27</v>
      </c>
      <c r="F20" s="44">
        <f ca="1">+I20/G20</f>
        <v>0.18583333333333335</v>
      </c>
      <c r="G20" s="15">
        <f ca="1">_xlfn.XLOOKUP(B20,'2026'!$D$5:$D$255,'2026'!$K$5:$K$255)</f>
        <v>36</v>
      </c>
      <c r="H20" s="5">
        <v>9.7200000000000006</v>
      </c>
      <c r="I20" s="5">
        <v>6.69</v>
      </c>
      <c r="J20" s="1">
        <v>1.46</v>
      </c>
      <c r="K20" s="1">
        <v>1.57</v>
      </c>
      <c r="L20" s="14">
        <v>0.72</v>
      </c>
      <c r="M20" s="45">
        <f>+(K20+J20)/H20*100</f>
        <v>31.172839506172838</v>
      </c>
    </row>
    <row r="21" spans="1:16" x14ac:dyDescent="0.2">
      <c r="A21" s="43">
        <v>45687</v>
      </c>
      <c r="B21" s="4" t="s">
        <v>358</v>
      </c>
      <c r="C21" s="4"/>
      <c r="D21" s="4" t="s">
        <v>342</v>
      </c>
      <c r="E21" s="44">
        <f t="shared" si="3"/>
        <v>0.32</v>
      </c>
      <c r="F21" s="44">
        <f>+I21/G21</f>
        <v>0.27200000000000002</v>
      </c>
      <c r="G21" s="15">
        <v>25</v>
      </c>
      <c r="H21" s="5">
        <f>8</f>
        <v>8</v>
      </c>
      <c r="I21" s="5">
        <f>6.8</f>
        <v>6.8</v>
      </c>
      <c r="J21" s="91">
        <f>1.2</f>
        <v>1.2</v>
      </c>
      <c r="K21" s="91"/>
      <c r="L21" s="14"/>
      <c r="M21" s="45">
        <f>+(K21+J21)/H21*100</f>
        <v>15</v>
      </c>
    </row>
    <row r="22" spans="1:16" x14ac:dyDescent="0.2">
      <c r="A22" s="43"/>
      <c r="E22" s="44"/>
      <c r="F22" s="44"/>
      <c r="M22" s="45"/>
    </row>
    <row r="23" spans="1:16" s="36" customFormat="1" x14ac:dyDescent="0.2">
      <c r="A23" s="60" t="s">
        <v>95</v>
      </c>
      <c r="B23" s="61"/>
      <c r="C23" s="61"/>
      <c r="D23" s="61"/>
      <c r="E23" s="62"/>
      <c r="F23" s="62"/>
      <c r="G23" s="61"/>
      <c r="H23" s="63">
        <f>SUM(H4:H21)</f>
        <v>4576.5095159999992</v>
      </c>
      <c r="I23" s="63">
        <f>SUM(I4:I21)</f>
        <v>3593.5281800000002</v>
      </c>
      <c r="J23" s="114" t="s">
        <v>95</v>
      </c>
      <c r="K23" s="61"/>
      <c r="L23" s="61"/>
      <c r="M23" s="63">
        <f>AVERAGE(M4:M21)</f>
        <v>20.390145929051794</v>
      </c>
      <c r="N23" s="1"/>
      <c r="O23" s="372" t="s">
        <v>109</v>
      </c>
      <c r="P23" s="372"/>
    </row>
    <row r="24" spans="1:16" x14ac:dyDescent="0.2">
      <c r="A24" s="43"/>
      <c r="E24" s="44"/>
      <c r="F24" s="44"/>
      <c r="L24" s="14"/>
      <c r="M24" s="45"/>
    </row>
    <row r="25" spans="1:16" x14ac:dyDescent="0.2">
      <c r="A25" s="43">
        <v>45690</v>
      </c>
      <c r="B25" s="4" t="s">
        <v>354</v>
      </c>
      <c r="C25" s="4"/>
      <c r="D25" s="4" t="s">
        <v>184</v>
      </c>
      <c r="E25" s="44">
        <f t="shared" ref="E25:E30" ca="1" si="4">+H25/G25</f>
        <v>0.25299901671583086</v>
      </c>
      <c r="F25" s="44">
        <f t="shared" ref="F25:F30" ca="1" si="5">+I25/G25</f>
        <v>0.20492953130121272</v>
      </c>
      <c r="G25" s="15">
        <f ca="1">_xlfn.XLOOKUP(B25,'2026'!$D$5:$D$381,'2026'!$K$5:$K$381)</f>
        <v>3051</v>
      </c>
      <c r="H25" s="5">
        <v>771.9</v>
      </c>
      <c r="I25" s="5">
        <v>625.24</v>
      </c>
      <c r="K25" s="1">
        <v>146.66</v>
      </c>
      <c r="L25" s="14"/>
      <c r="M25" s="45">
        <f t="shared" ref="M25:M30" si="6">+(K25+J25)/H25*100</f>
        <v>18.999870449540097</v>
      </c>
    </row>
    <row r="26" spans="1:16" x14ac:dyDescent="0.2">
      <c r="A26" s="43">
        <v>46055</v>
      </c>
      <c r="B26" s="4" t="s">
        <v>359</v>
      </c>
      <c r="C26" s="4" t="s">
        <v>155</v>
      </c>
      <c r="D26" s="4" t="s">
        <v>88</v>
      </c>
      <c r="E26" s="44">
        <f t="shared" ca="1" si="4"/>
        <v>0.53430299999999997</v>
      </c>
      <c r="F26" s="44">
        <f t="shared" ca="1" si="5"/>
        <v>0.45415755000000002</v>
      </c>
      <c r="G26" s="15">
        <f ca="1">_xlfn.XLOOKUP(B26,'2026'!$D$5:$D$381,'2026'!$K$5:$K$381)</f>
        <v>300</v>
      </c>
      <c r="H26" s="5">
        <f>189*N26</f>
        <v>160.29089999999999</v>
      </c>
      <c r="I26" s="5">
        <f>160.65*N26</f>
        <v>136.247265</v>
      </c>
      <c r="J26" s="335">
        <f>28.35*N26</f>
        <v>24.043635000000002</v>
      </c>
      <c r="L26" s="14"/>
      <c r="M26" s="45">
        <f t="shared" si="6"/>
        <v>15.000000000000002</v>
      </c>
      <c r="N26" s="1">
        <v>0.84809999999999997</v>
      </c>
    </row>
    <row r="27" spans="1:16" x14ac:dyDescent="0.2">
      <c r="A27" s="43">
        <v>45698</v>
      </c>
      <c r="B27" s="4" t="s">
        <v>368</v>
      </c>
      <c r="C27" s="4"/>
      <c r="D27" s="4" t="s">
        <v>26</v>
      </c>
      <c r="E27" s="44">
        <f t="shared" ca="1" si="4"/>
        <v>1</v>
      </c>
      <c r="F27" s="44">
        <f t="shared" ca="1" si="5"/>
        <v>0.59633333333333338</v>
      </c>
      <c r="G27" s="15">
        <f ca="1">_xlfn.XLOOKUP(B27,'2026'!$D$5:$D$255,'2026'!$K$5:$K$255)</f>
        <v>180</v>
      </c>
      <c r="H27" s="5">
        <v>180</v>
      </c>
      <c r="I27" s="5">
        <v>107.34</v>
      </c>
      <c r="J27" s="91">
        <v>47.48</v>
      </c>
      <c r="K27" s="1">
        <v>25.18</v>
      </c>
      <c r="L27" s="14">
        <v>0.72</v>
      </c>
      <c r="M27" s="45">
        <f t="shared" si="6"/>
        <v>40.366666666666667</v>
      </c>
    </row>
    <row r="28" spans="1:16" x14ac:dyDescent="0.2">
      <c r="A28" s="43">
        <v>45705</v>
      </c>
      <c r="B28" s="4" t="s">
        <v>372</v>
      </c>
      <c r="C28" s="4" t="s">
        <v>155</v>
      </c>
      <c r="D28" s="4" t="s">
        <v>199</v>
      </c>
      <c r="E28" s="44" t="e">
        <f t="shared" ca="1" si="4"/>
        <v>#N/A</v>
      </c>
      <c r="F28" s="44" t="e">
        <f t="shared" ca="1" si="5"/>
        <v>#N/A</v>
      </c>
      <c r="G28" s="15" t="e">
        <f ca="1">_xlfn.XLOOKUP(B28,'2026'!$D$5:$D$255,'2026'!$K$5:$K$255)</f>
        <v>#N/A</v>
      </c>
      <c r="H28" s="5">
        <f>78*N28</f>
        <v>65.964600000000004</v>
      </c>
      <c r="I28" s="5">
        <f>66.3*N28</f>
        <v>56.06991</v>
      </c>
      <c r="J28" s="335">
        <f>11.7*N28</f>
        <v>9.8946899999999989</v>
      </c>
      <c r="L28" s="14"/>
      <c r="M28" s="45">
        <f t="shared" si="6"/>
        <v>14.999999999999996</v>
      </c>
      <c r="N28" s="1">
        <v>0.84570000000000001</v>
      </c>
    </row>
    <row r="29" spans="1:16" x14ac:dyDescent="0.2">
      <c r="A29" s="43">
        <v>45701</v>
      </c>
      <c r="B29" s="4" t="s">
        <v>373</v>
      </c>
      <c r="C29" s="4"/>
      <c r="D29" s="4" t="s">
        <v>26</v>
      </c>
      <c r="E29" s="44">
        <f t="shared" ca="1" si="4"/>
        <v>2.9550561797752808E-2</v>
      </c>
      <c r="F29" s="44">
        <f t="shared" ca="1" si="5"/>
        <v>2.0337078651685395E-2</v>
      </c>
      <c r="G29" s="15">
        <f ca="1">_xlfn.XLOOKUP(B29,'2026'!$D$5:$D$255,'2026'!$K$5:$K$255)</f>
        <v>89</v>
      </c>
      <c r="H29" s="5">
        <v>2.63</v>
      </c>
      <c r="I29" s="5">
        <v>1.81</v>
      </c>
      <c r="J29" s="91">
        <v>0.39</v>
      </c>
      <c r="K29" s="1">
        <v>0.43</v>
      </c>
      <c r="L29" s="14">
        <v>0.72</v>
      </c>
      <c r="M29" s="45">
        <f t="shared" si="6"/>
        <v>31.178707224334605</v>
      </c>
    </row>
    <row r="30" spans="1:16" x14ac:dyDescent="0.2">
      <c r="A30" s="43">
        <v>45704</v>
      </c>
      <c r="B30" s="4" t="s">
        <v>374</v>
      </c>
      <c r="C30" s="4"/>
      <c r="D30" s="4" t="s">
        <v>184</v>
      </c>
      <c r="E30" s="44">
        <f t="shared" ca="1" si="4"/>
        <v>0.1</v>
      </c>
      <c r="F30" s="44">
        <f t="shared" ca="1" si="5"/>
        <v>5.9639999999999999E-2</v>
      </c>
      <c r="G30" s="15">
        <f ca="1">_xlfn.XLOOKUP(B30,'2026'!$D$5:$D$255,'2026'!$K$5:$K$255)</f>
        <v>1500</v>
      </c>
      <c r="H30" s="5">
        <v>150</v>
      </c>
      <c r="I30" s="5">
        <v>89.46</v>
      </c>
      <c r="J30" s="1">
        <v>39.56</v>
      </c>
      <c r="K30" s="91">
        <v>20.98</v>
      </c>
      <c r="L30" s="14"/>
      <c r="M30" s="45">
        <f t="shared" si="6"/>
        <v>40.36</v>
      </c>
    </row>
    <row r="31" spans="1:16" x14ac:dyDescent="0.2">
      <c r="A31" s="43">
        <v>46078</v>
      </c>
      <c r="B31" s="4" t="s">
        <v>390</v>
      </c>
      <c r="C31" s="4" t="s">
        <v>155</v>
      </c>
      <c r="D31" s="4" t="s">
        <v>88</v>
      </c>
      <c r="E31" s="44">
        <f ca="1">+H31/G31</f>
        <v>0.10191600000000001</v>
      </c>
      <c r="F31" s="44">
        <f ca="1">+I31/G31</f>
        <v>8.6557258800000009E-2</v>
      </c>
      <c r="G31" s="15">
        <f ca="1">_xlfn.XLOOKUP(B31,'2026'!$D$5:$D$381,'2026'!$K$5:$K$381)</f>
        <v>300</v>
      </c>
      <c r="H31" s="5">
        <f>36*N31</f>
        <v>30.574800000000003</v>
      </c>
      <c r="I31" s="5">
        <f>+(H31-J31)*N31</f>
        <v>25.967177640000003</v>
      </c>
      <c r="J31" s="335"/>
      <c r="L31" s="14"/>
      <c r="M31" s="45">
        <f>+(K31+J31)/H31*100</f>
        <v>0</v>
      </c>
      <c r="N31" s="1">
        <v>0.84930000000000005</v>
      </c>
    </row>
    <row r="32" spans="1:16" x14ac:dyDescent="0.2">
      <c r="A32" s="43">
        <v>46078</v>
      </c>
      <c r="B32" s="4" t="s">
        <v>404</v>
      </c>
      <c r="C32" s="4" t="s">
        <v>155</v>
      </c>
      <c r="D32" s="4" t="s">
        <v>88</v>
      </c>
      <c r="E32" s="44">
        <f ca="1">+H32/G32</f>
        <v>0.17622975000000002</v>
      </c>
      <c r="F32" s="44">
        <f ca="1">+I32/G32</f>
        <v>0.12721512675300004</v>
      </c>
      <c r="G32" s="15">
        <f ca="1">_xlfn.XLOOKUP(B32,'2026'!$D$5:$D$381,'2026'!$K$5:$K$381)</f>
        <v>300</v>
      </c>
      <c r="H32" s="5">
        <f>62.25*N32</f>
        <v>52.868925000000004</v>
      </c>
      <c r="I32" s="5">
        <f>+(H32-J32)*N32</f>
        <v>38.164538025900008</v>
      </c>
      <c r="J32" s="335">
        <f>9.34*N32</f>
        <v>7.9324620000000001</v>
      </c>
      <c r="L32" s="14"/>
      <c r="M32" s="45">
        <f>+(K32+J32)/H32*100</f>
        <v>15.004016064257028</v>
      </c>
      <c r="N32" s="1">
        <v>0.84930000000000005</v>
      </c>
    </row>
    <row r="33" spans="1:16" x14ac:dyDescent="0.2">
      <c r="A33" s="43"/>
      <c r="E33" s="44"/>
      <c r="F33" s="44"/>
      <c r="L33" s="14"/>
      <c r="M33" s="45"/>
      <c r="P33" s="13"/>
    </row>
    <row r="34" spans="1:16" x14ac:dyDescent="0.2">
      <c r="A34" s="60" t="s">
        <v>96</v>
      </c>
      <c r="B34" s="61"/>
      <c r="C34" s="61"/>
      <c r="D34" s="61"/>
      <c r="E34" s="62"/>
      <c r="F34" s="62"/>
      <c r="G34" s="61"/>
      <c r="H34" s="63">
        <f>SUM(H24:H33)</f>
        <v>1414.2292250000003</v>
      </c>
      <c r="I34" s="63">
        <f>SUM(I24:I33)</f>
        <v>1080.2988906659</v>
      </c>
      <c r="J34" s="114" t="str">
        <f>+A34</f>
        <v>FEBRERO</v>
      </c>
      <c r="K34" s="61"/>
      <c r="L34" s="61"/>
      <c r="M34" s="63">
        <f>AVERAGE(M24:M33)</f>
        <v>21.988657550599797</v>
      </c>
      <c r="O34" s="1" t="s">
        <v>124</v>
      </c>
      <c r="P34" s="13">
        <f>+J276</f>
        <v>614.74462000000017</v>
      </c>
    </row>
    <row r="35" spans="1:16" x14ac:dyDescent="0.2">
      <c r="A35" s="43"/>
      <c r="E35" s="44"/>
      <c r="F35" s="44"/>
      <c r="L35" s="14"/>
      <c r="M35" s="45"/>
    </row>
    <row r="36" spans="1:16" x14ac:dyDescent="0.2">
      <c r="A36" s="43">
        <v>45719</v>
      </c>
      <c r="B36" s="4" t="s">
        <v>383</v>
      </c>
      <c r="C36" s="4" t="s">
        <v>155</v>
      </c>
      <c r="D36" s="4" t="s">
        <v>199</v>
      </c>
      <c r="E36" s="44">
        <f t="shared" ref="E36:E54" ca="1" si="7">+H36/G36</f>
        <v>0.19559199999999999</v>
      </c>
      <c r="F36" s="44">
        <f t="shared" ref="F36:F54" ca="1" si="8">+I36/G36</f>
        <v>0.16623471304347825</v>
      </c>
      <c r="G36" s="15">
        <f ca="1">_xlfn.XLOOKUP(B36,'2026'!$D$5:$D$255,'2026'!$K$5:$K$255)</f>
        <v>115</v>
      </c>
      <c r="H36" s="5">
        <f>26.45*N36</f>
        <v>22.493079999999999</v>
      </c>
      <c r="I36" s="5">
        <f>22.48*N36</f>
        <v>19.116992</v>
      </c>
      <c r="J36" s="335">
        <f>3.97*N36</f>
        <v>3.3760880000000002</v>
      </c>
      <c r="L36" s="14"/>
      <c r="M36" s="45">
        <f t="shared" ref="M36:M54" si="9">+(K36+J36)/H36*100</f>
        <v>15.009451795841212</v>
      </c>
      <c r="N36" s="1">
        <v>0.85040000000000004</v>
      </c>
    </row>
    <row r="37" spans="1:16" x14ac:dyDescent="0.2">
      <c r="A37" s="43">
        <v>46090</v>
      </c>
      <c r="B37" s="1" t="s">
        <v>387</v>
      </c>
      <c r="C37" s="4" t="s">
        <v>388</v>
      </c>
      <c r="D37" s="4" t="s">
        <v>26</v>
      </c>
      <c r="E37" s="44">
        <f t="shared" ca="1" si="7"/>
        <v>0.27500000000000002</v>
      </c>
      <c r="F37" s="44">
        <f t="shared" ca="1" si="8"/>
        <v>0.18933333333333333</v>
      </c>
      <c r="G37" s="15">
        <f ca="1">_xlfn.XLOOKUP(B37,'2026'!$D$5:$D$255,'2026'!$K$5:$K$255)</f>
        <v>120</v>
      </c>
      <c r="H37" s="5">
        <v>33</v>
      </c>
      <c r="I37" s="5">
        <v>22.72</v>
      </c>
      <c r="J37" s="335">
        <v>4.95</v>
      </c>
      <c r="K37" s="1">
        <v>5.33</v>
      </c>
      <c r="L37" s="14">
        <v>0.72</v>
      </c>
      <c r="M37" s="45">
        <f t="shared" si="9"/>
        <v>31.151515151515152</v>
      </c>
      <c r="O37" s="100"/>
    </row>
    <row r="38" spans="1:16" x14ac:dyDescent="0.2">
      <c r="A38" s="43">
        <v>46087</v>
      </c>
      <c r="B38" s="4" t="s">
        <v>389</v>
      </c>
      <c r="C38" s="4" t="s">
        <v>155</v>
      </c>
      <c r="D38" s="4" t="s">
        <v>88</v>
      </c>
      <c r="E38" s="44">
        <f t="shared" ca="1" si="7"/>
        <v>0.10338000000000001</v>
      </c>
      <c r="F38" s="44">
        <f t="shared" ca="1" si="8"/>
        <v>7.57025895E-2</v>
      </c>
      <c r="G38" s="15">
        <f ca="1">_xlfn.XLOOKUP(B38,'2026'!$D$5:$D$381,'2026'!$K$5:$K$381)</f>
        <v>50</v>
      </c>
      <c r="H38" s="5">
        <f>6*N38</f>
        <v>5.1690000000000005</v>
      </c>
      <c r="I38" s="5">
        <f>+(H38-J38)*N38</f>
        <v>3.7851294750000002</v>
      </c>
      <c r="J38" s="335">
        <f>0.9*N38</f>
        <v>0.77535000000000009</v>
      </c>
      <c r="L38" s="14"/>
      <c r="M38" s="45">
        <f t="shared" si="9"/>
        <v>15</v>
      </c>
      <c r="N38" s="1">
        <v>0.86150000000000004</v>
      </c>
    </row>
    <row r="39" spans="1:16" x14ac:dyDescent="0.2">
      <c r="A39" s="43">
        <v>46091</v>
      </c>
      <c r="B39" s="1" t="s">
        <v>392</v>
      </c>
      <c r="C39" s="4" t="s">
        <v>388</v>
      </c>
      <c r="D39" s="4" t="s">
        <v>26</v>
      </c>
      <c r="E39" s="44">
        <f t="shared" ca="1" si="7"/>
        <v>1.5304938271604938</v>
      </c>
      <c r="F39" s="44">
        <f t="shared" ca="1" si="8"/>
        <v>1.0537037037037036</v>
      </c>
      <c r="G39" s="15">
        <f ca="1">_xlfn.XLOOKUP(B39,'2026'!$D$5:$D$255,'2026'!$K$5:$K$255)</f>
        <v>81</v>
      </c>
      <c r="H39" s="5">
        <v>123.97</v>
      </c>
      <c r="I39" s="5">
        <v>85.35</v>
      </c>
      <c r="J39" s="335">
        <v>18.600000000000001</v>
      </c>
      <c r="K39" s="1">
        <v>20.02</v>
      </c>
      <c r="L39" s="14">
        <v>0.72</v>
      </c>
      <c r="M39" s="45">
        <f t="shared" si="9"/>
        <v>31.152698233443576</v>
      </c>
      <c r="O39" s="100"/>
    </row>
    <row r="40" spans="1:16" x14ac:dyDescent="0.2">
      <c r="A40" s="43">
        <v>46091</v>
      </c>
      <c r="B40" s="1" t="s">
        <v>393</v>
      </c>
      <c r="C40" s="4" t="s">
        <v>388</v>
      </c>
      <c r="D40" s="4" t="s">
        <v>26</v>
      </c>
      <c r="E40" s="44">
        <f t="shared" ca="1" si="7"/>
        <v>0.95</v>
      </c>
      <c r="F40" s="44">
        <f t="shared" ca="1" si="8"/>
        <v>0.577125</v>
      </c>
      <c r="G40" s="15">
        <f ca="1">_xlfn.XLOOKUP(B40,'2026'!$D$5:$D$255,'2026'!$K$5:$K$255)</f>
        <v>400</v>
      </c>
      <c r="H40" s="5">
        <v>380</v>
      </c>
      <c r="I40" s="5">
        <v>230.85</v>
      </c>
      <c r="J40" s="335">
        <v>95</v>
      </c>
      <c r="K40" s="1">
        <v>54.15</v>
      </c>
      <c r="L40" s="14">
        <v>0.72</v>
      </c>
      <c r="M40" s="45">
        <f t="shared" si="9"/>
        <v>39.25</v>
      </c>
      <c r="O40" s="100"/>
    </row>
    <row r="41" spans="1:16" x14ac:dyDescent="0.2">
      <c r="A41" s="43">
        <v>46093</v>
      </c>
      <c r="B41" s="1" t="s">
        <v>395</v>
      </c>
      <c r="C41" s="4" t="s">
        <v>388</v>
      </c>
      <c r="D41" s="4" t="s">
        <v>26</v>
      </c>
      <c r="E41" s="44">
        <f t="shared" si="7"/>
        <v>1.7442307692307694E-2</v>
      </c>
      <c r="F41" s="44">
        <f t="shared" si="8"/>
        <v>1.201923076923077E-2</v>
      </c>
      <c r="G41" s="15">
        <v>520</v>
      </c>
      <c r="H41" s="5">
        <v>9.07</v>
      </c>
      <c r="I41" s="5">
        <v>6.25</v>
      </c>
      <c r="J41" s="335">
        <v>1.36</v>
      </c>
      <c r="K41" s="1">
        <v>1.46</v>
      </c>
      <c r="L41" s="14">
        <v>0.72</v>
      </c>
      <c r="M41" s="45">
        <f t="shared" si="9"/>
        <v>31.091510474090413</v>
      </c>
      <c r="O41" s="100"/>
    </row>
    <row r="42" spans="1:16" x14ac:dyDescent="0.2">
      <c r="A42" s="43">
        <v>46093</v>
      </c>
      <c r="B42" s="1" t="s">
        <v>396</v>
      </c>
      <c r="C42" s="4" t="s">
        <v>388</v>
      </c>
      <c r="D42" s="4" t="s">
        <v>26</v>
      </c>
      <c r="E42" s="44">
        <f t="shared" si="7"/>
        <v>0.79391304347826097</v>
      </c>
      <c r="F42" s="44">
        <f t="shared" si="8"/>
        <v>0.54652173913043478</v>
      </c>
      <c r="G42" s="15">
        <v>23</v>
      </c>
      <c r="H42" s="5">
        <v>18.260000000000002</v>
      </c>
      <c r="I42" s="5">
        <v>12.57</v>
      </c>
      <c r="J42" s="335">
        <v>2.74</v>
      </c>
      <c r="K42" s="1">
        <v>2.95</v>
      </c>
      <c r="L42" s="14">
        <v>0.72</v>
      </c>
      <c r="M42" s="45">
        <f t="shared" si="9"/>
        <v>31.161007667031765</v>
      </c>
      <c r="O42" s="100"/>
    </row>
    <row r="43" spans="1:16" x14ac:dyDescent="0.2">
      <c r="A43" s="43">
        <v>46093</v>
      </c>
      <c r="B43" s="1" t="s">
        <v>397</v>
      </c>
      <c r="C43" s="4" t="s">
        <v>388</v>
      </c>
      <c r="D43" s="4" t="s">
        <v>26</v>
      </c>
      <c r="E43" s="44">
        <f t="shared" si="7"/>
        <v>0.88980000000000004</v>
      </c>
      <c r="F43" s="44">
        <f t="shared" si="8"/>
        <v>0.61260000000000003</v>
      </c>
      <c r="G43" s="15">
        <v>50</v>
      </c>
      <c r="H43" s="5">
        <v>44.49</v>
      </c>
      <c r="I43" s="5">
        <v>30.63</v>
      </c>
      <c r="J43" s="335">
        <v>6.67</v>
      </c>
      <c r="K43" s="1">
        <v>7.19</v>
      </c>
      <c r="L43" s="14">
        <v>0.72</v>
      </c>
      <c r="M43" s="45">
        <f t="shared" si="9"/>
        <v>31.153068105192176</v>
      </c>
      <c r="O43" s="100"/>
    </row>
    <row r="44" spans="1:16" x14ac:dyDescent="0.2">
      <c r="A44" s="43">
        <v>46100</v>
      </c>
      <c r="B44" s="4" t="s">
        <v>402</v>
      </c>
      <c r="C44" s="4" t="s">
        <v>155</v>
      </c>
      <c r="D44" s="4" t="s">
        <v>88</v>
      </c>
      <c r="E44" s="44">
        <f t="shared" ca="1" si="7"/>
        <v>6.1060999999999997E-2</v>
      </c>
      <c r="F44" s="44">
        <f t="shared" ca="1" si="8"/>
        <v>4.525395987894737E-2</v>
      </c>
      <c r="G44" s="15">
        <f ca="1">_xlfn.XLOOKUP(B44,'2026'!$D$5:$D$381,'2026'!$K$5:$K$381)</f>
        <v>133</v>
      </c>
      <c r="H44" s="5">
        <f>9.31*N44</f>
        <v>8.1211129999999994</v>
      </c>
      <c r="I44" s="5">
        <f>+(H44-J44)*N44</f>
        <v>6.0187766638999998</v>
      </c>
      <c r="J44" s="335">
        <f>1.4*N44</f>
        <v>1.22122</v>
      </c>
      <c r="L44" s="14"/>
      <c r="M44" s="45">
        <f t="shared" si="9"/>
        <v>15.037593984962408</v>
      </c>
      <c r="N44" s="1">
        <v>0.87229999999999996</v>
      </c>
    </row>
    <row r="45" spans="1:16" x14ac:dyDescent="0.2">
      <c r="A45" s="43">
        <v>46104</v>
      </c>
      <c r="B45" s="4" t="s">
        <v>403</v>
      </c>
      <c r="C45" s="4" t="s">
        <v>155</v>
      </c>
      <c r="D45" s="4" t="s">
        <v>88</v>
      </c>
      <c r="E45" s="44">
        <f t="shared" ca="1" si="7"/>
        <v>4.3254999999999995E-2</v>
      </c>
      <c r="F45" s="44">
        <f t="shared" ca="1" si="8"/>
        <v>3.1750218606060601E-2</v>
      </c>
      <c r="G45" s="15">
        <f ca="1">_xlfn.XLOOKUP(B45,'2026'!$D$5:$D$381,'2026'!$K$5:$K$381)</f>
        <v>33</v>
      </c>
      <c r="H45" s="5">
        <f>1.65*N45</f>
        <v>1.4274149999999999</v>
      </c>
      <c r="I45" s="5">
        <f>+(H45-J45)*N45</f>
        <v>1.0477572139999998</v>
      </c>
      <c r="J45" s="335">
        <f>0.25*N45</f>
        <v>0.216275</v>
      </c>
      <c r="L45" s="14"/>
      <c r="M45" s="45">
        <f t="shared" si="9"/>
        <v>15.151515151515152</v>
      </c>
      <c r="N45" s="1">
        <v>0.86509999999999998</v>
      </c>
    </row>
    <row r="46" spans="1:16" x14ac:dyDescent="0.2">
      <c r="A46" s="43">
        <v>46100</v>
      </c>
      <c r="B46" s="4" t="s">
        <v>405</v>
      </c>
      <c r="C46" s="4"/>
      <c r="D46" s="4" t="s">
        <v>184</v>
      </c>
      <c r="E46" s="44">
        <f t="shared" si="7"/>
        <v>0.12620081411126188</v>
      </c>
      <c r="F46" s="44">
        <f t="shared" si="8"/>
        <v>8.6892808683853462E-2</v>
      </c>
      <c r="G46" s="15">
        <v>737</v>
      </c>
      <c r="H46" s="5">
        <v>93.01</v>
      </c>
      <c r="I46" s="5">
        <v>64.040000000000006</v>
      </c>
      <c r="J46" s="1">
        <v>13.95</v>
      </c>
      <c r="K46" s="1">
        <v>15.02</v>
      </c>
      <c r="L46" s="14"/>
      <c r="M46" s="45">
        <f t="shared" si="9"/>
        <v>31.147188474357595</v>
      </c>
    </row>
    <row r="47" spans="1:16" x14ac:dyDescent="0.2">
      <c r="A47" s="43">
        <v>46107</v>
      </c>
      <c r="B47" s="4" t="s">
        <v>386</v>
      </c>
      <c r="C47" s="4"/>
      <c r="D47" s="4" t="s">
        <v>184</v>
      </c>
      <c r="E47" s="44">
        <f t="shared" ca="1" si="7"/>
        <v>0.26</v>
      </c>
      <c r="F47" s="44">
        <f t="shared" ca="1" si="8"/>
        <v>0.15584329349269588</v>
      </c>
      <c r="G47" s="15">
        <f ca="1">_xlfn.XLOOKUP(B47,'2026'!$D$5:$D$381,'2026'!$K$5:$K$381)</f>
        <v>753</v>
      </c>
      <c r="H47" s="5">
        <v>195.78</v>
      </c>
      <c r="I47" s="5">
        <v>117.35</v>
      </c>
      <c r="J47" s="1">
        <v>50.9</v>
      </c>
      <c r="K47" s="1">
        <v>27.53</v>
      </c>
      <c r="L47" s="14"/>
      <c r="M47" s="45">
        <f t="shared" si="9"/>
        <v>40.06027173357851</v>
      </c>
    </row>
    <row r="48" spans="1:16" x14ac:dyDescent="0.2">
      <c r="A48" s="43">
        <v>46105</v>
      </c>
      <c r="B48" s="1" t="s">
        <v>406</v>
      </c>
      <c r="C48" s="4"/>
      <c r="D48" s="4" t="s">
        <v>26</v>
      </c>
      <c r="E48" s="44">
        <f t="shared" ca="1" si="7"/>
        <v>0.17251428571428573</v>
      </c>
      <c r="F48" s="44">
        <f t="shared" ca="1" si="8"/>
        <v>0.11877142857142857</v>
      </c>
      <c r="G48" s="15">
        <f ca="1">_xlfn.XLOOKUP(B48,'2026'!$D$5:$D$381,'2026'!$K$5:$K$381)</f>
        <v>350</v>
      </c>
      <c r="H48" s="5">
        <v>60.38</v>
      </c>
      <c r="I48" s="5">
        <v>41.57</v>
      </c>
      <c r="J48" s="335">
        <v>9.06</v>
      </c>
      <c r="K48" s="1">
        <v>9.75</v>
      </c>
      <c r="L48" s="14">
        <v>0.72</v>
      </c>
      <c r="M48" s="45">
        <f t="shared" si="9"/>
        <v>31.152699569393842</v>
      </c>
      <c r="O48" s="100"/>
    </row>
    <row r="49" spans="1:17" x14ac:dyDescent="0.2">
      <c r="A49" s="43">
        <v>46105</v>
      </c>
      <c r="B49" s="4" t="s">
        <v>406</v>
      </c>
      <c r="C49" s="4"/>
      <c r="D49" s="4" t="s">
        <v>26</v>
      </c>
      <c r="E49" s="44">
        <f t="shared" ca="1" si="7"/>
        <v>0.12937142857142858</v>
      </c>
      <c r="F49" s="44">
        <f t="shared" ca="1" si="8"/>
        <v>8.9085714285714282E-2</v>
      </c>
      <c r="G49" s="15">
        <f ca="1">_xlfn.XLOOKUP(B49,'2026'!$D$5:$D$381,'2026'!$K$5:$K$381)</f>
        <v>350</v>
      </c>
      <c r="H49" s="5">
        <v>45.28</v>
      </c>
      <c r="I49" s="5">
        <v>31.18</v>
      </c>
      <c r="J49" s="1">
        <v>6.79</v>
      </c>
      <c r="K49" s="1">
        <v>7.31</v>
      </c>
      <c r="L49" s="14">
        <v>0.72</v>
      </c>
      <c r="M49" s="45">
        <f t="shared" si="9"/>
        <v>31.139575971731446</v>
      </c>
    </row>
    <row r="50" spans="1:17" x14ac:dyDescent="0.2">
      <c r="A50" s="43">
        <v>46106</v>
      </c>
      <c r="B50" s="1" t="s">
        <v>407</v>
      </c>
      <c r="C50" s="4"/>
      <c r="D50" s="4" t="s">
        <v>26</v>
      </c>
      <c r="E50" s="44">
        <f t="shared" si="7"/>
        <v>0.52805194805194799</v>
      </c>
      <c r="F50" s="44">
        <f t="shared" si="8"/>
        <v>0.3635064935064935</v>
      </c>
      <c r="G50" s="15">
        <v>77</v>
      </c>
      <c r="H50" s="5">
        <v>40.659999999999997</v>
      </c>
      <c r="I50" s="5">
        <v>27.99</v>
      </c>
      <c r="J50" s="335">
        <v>6.1</v>
      </c>
      <c r="K50" s="1">
        <v>6.57</v>
      </c>
      <c r="L50" s="14">
        <v>0.72</v>
      </c>
      <c r="M50" s="45">
        <f t="shared" si="9"/>
        <v>31.160846040334484</v>
      </c>
      <c r="O50" s="100"/>
    </row>
    <row r="51" spans="1:17" x14ac:dyDescent="0.2">
      <c r="A51" s="43">
        <v>46106</v>
      </c>
      <c r="B51" s="1" t="s">
        <v>408</v>
      </c>
      <c r="C51" s="4"/>
      <c r="D51" s="4" t="s">
        <v>26</v>
      </c>
      <c r="E51" s="44">
        <f t="shared" ca="1" si="7"/>
        <v>7.7899999999999997E-2</v>
      </c>
      <c r="F51" s="44">
        <f t="shared" ca="1" si="8"/>
        <v>5.3650000000000003E-2</v>
      </c>
      <c r="G51" s="15">
        <f ca="1">_xlfn.XLOOKUP(B51,'2026'!$D$5:$D$381,'2026'!$K$5:$K$381)</f>
        <v>400</v>
      </c>
      <c r="H51" s="5">
        <v>31.16</v>
      </c>
      <c r="I51" s="5">
        <v>21.46</v>
      </c>
      <c r="J51" s="335">
        <v>4.67</v>
      </c>
      <c r="K51" s="1">
        <v>5.03</v>
      </c>
      <c r="L51" s="14">
        <v>0.72</v>
      </c>
      <c r="M51" s="45">
        <f t="shared" si="9"/>
        <v>31.129653401797174</v>
      </c>
      <c r="O51" s="100"/>
    </row>
    <row r="52" spans="1:17" x14ac:dyDescent="0.2">
      <c r="A52" s="43">
        <v>46107</v>
      </c>
      <c r="B52" s="1" t="s">
        <v>409</v>
      </c>
      <c r="C52" s="4"/>
      <c r="D52" s="4" t="s">
        <v>26</v>
      </c>
      <c r="E52" s="44">
        <f t="shared" ca="1" si="7"/>
        <v>1.0848</v>
      </c>
      <c r="F52" s="44">
        <f t="shared" ca="1" si="8"/>
        <v>0.74680000000000002</v>
      </c>
      <c r="G52" s="15">
        <f ca="1">_xlfn.XLOOKUP(B52,'2026'!$D$5:$D$381,'2026'!$K$5:$K$381)</f>
        <v>25</v>
      </c>
      <c r="H52" s="5">
        <v>27.12</v>
      </c>
      <c r="I52" s="5">
        <v>18.670000000000002</v>
      </c>
      <c r="J52" s="335">
        <v>4.07</v>
      </c>
      <c r="K52" s="1">
        <v>4.38</v>
      </c>
      <c r="L52" s="14">
        <v>0.72</v>
      </c>
      <c r="M52" s="45">
        <f t="shared" si="9"/>
        <v>31.157817109144538</v>
      </c>
      <c r="O52" s="100"/>
    </row>
    <row r="53" spans="1:17" x14ac:dyDescent="0.2">
      <c r="A53" s="43">
        <v>46107</v>
      </c>
      <c r="B53" s="4" t="s">
        <v>282</v>
      </c>
      <c r="C53" s="4"/>
      <c r="D53" s="4" t="s">
        <v>26</v>
      </c>
      <c r="E53" s="44">
        <f t="shared" ca="1" si="7"/>
        <v>5.4375E-2</v>
      </c>
      <c r="F53" s="44">
        <f t="shared" ca="1" si="8"/>
        <v>3.7499999999999999E-2</v>
      </c>
      <c r="G53" s="15">
        <f ca="1">_xlfn.XLOOKUP(B53,'2026'!$D$5:$D$381,'2026'!$K$5:$K$381)</f>
        <v>32</v>
      </c>
      <c r="H53" s="5">
        <v>1.74</v>
      </c>
      <c r="I53" s="5">
        <v>1.2</v>
      </c>
      <c r="J53" s="1">
        <v>0.26</v>
      </c>
      <c r="K53" s="1">
        <v>0.28000000000000003</v>
      </c>
      <c r="L53" s="14">
        <v>0.72</v>
      </c>
      <c r="M53" s="45">
        <f t="shared" si="9"/>
        <v>31.03448275862069</v>
      </c>
    </row>
    <row r="54" spans="1:17" x14ac:dyDescent="0.2">
      <c r="A54" s="43">
        <v>46107</v>
      </c>
      <c r="B54" s="4" t="s">
        <v>415</v>
      </c>
      <c r="C54" s="4"/>
      <c r="D54" s="4" t="s">
        <v>26</v>
      </c>
      <c r="E54" s="44">
        <f t="shared" ca="1" si="7"/>
        <v>7.8240223463687156E-2</v>
      </c>
      <c r="F54" s="44">
        <f t="shared" ca="1" si="8"/>
        <v>5.3882681564245805E-2</v>
      </c>
      <c r="G54" s="15">
        <f ca="1">_xlfn.XLOOKUP(B54,'2026'!$D$5:$D$381,'2026'!$K$5:$K$381)</f>
        <v>358</v>
      </c>
      <c r="H54" s="5">
        <v>28.01</v>
      </c>
      <c r="I54" s="5">
        <v>19.29</v>
      </c>
      <c r="J54" s="1">
        <v>4.2</v>
      </c>
      <c r="K54" s="1">
        <v>4.5199999999999996</v>
      </c>
      <c r="L54" s="14">
        <v>0.72</v>
      </c>
      <c r="M54" s="45">
        <f t="shared" si="9"/>
        <v>31.131738664762583</v>
      </c>
    </row>
    <row r="55" spans="1:17" x14ac:dyDescent="0.2">
      <c r="A55" s="43"/>
      <c r="E55" s="44"/>
      <c r="F55" s="44"/>
      <c r="L55" s="14"/>
      <c r="M55" s="45"/>
      <c r="P55" s="5"/>
      <c r="Q55" s="48"/>
    </row>
    <row r="56" spans="1:17" x14ac:dyDescent="0.2">
      <c r="A56" s="43"/>
      <c r="E56" s="44"/>
      <c r="F56" s="44"/>
      <c r="L56" s="14"/>
      <c r="M56" s="45"/>
      <c r="P56" s="5"/>
      <c r="Q56" s="48"/>
    </row>
    <row r="57" spans="1:17" x14ac:dyDescent="0.2">
      <c r="A57" s="60" t="s">
        <v>98</v>
      </c>
      <c r="B57" s="61"/>
      <c r="C57" s="61"/>
      <c r="D57" s="61"/>
      <c r="E57" s="62"/>
      <c r="F57" s="62"/>
      <c r="G57" s="61"/>
      <c r="H57" s="63">
        <f>SUM(H35:H56)</f>
        <v>1169.1406080000002</v>
      </c>
      <c r="I57" s="63">
        <f>SUM(I35:I56)</f>
        <v>761.08865535289999</v>
      </c>
      <c r="J57" s="114" t="str">
        <f>+A57</f>
        <v>MARZO</v>
      </c>
      <c r="K57" s="61"/>
      <c r="L57" s="61"/>
      <c r="M57" s="63">
        <f>AVERAGE(M35:M40)</f>
        <v>26.31273303615999</v>
      </c>
      <c r="P57" s="5"/>
    </row>
    <row r="58" spans="1:17" x14ac:dyDescent="0.2">
      <c r="A58" s="43"/>
      <c r="E58" s="92"/>
      <c r="F58" s="92"/>
      <c r="K58" s="91"/>
      <c r="L58" s="14"/>
      <c r="M58" s="45"/>
      <c r="O58" s="101"/>
      <c r="P58" s="5"/>
    </row>
    <row r="59" spans="1:17" x14ac:dyDescent="0.2">
      <c r="A59" s="43">
        <v>46113</v>
      </c>
      <c r="B59" s="1" t="s">
        <v>429</v>
      </c>
      <c r="C59" s="4"/>
      <c r="D59" s="4" t="s">
        <v>26</v>
      </c>
      <c r="E59" s="44">
        <f>+H59/G59</f>
        <v>4.7676923076923075E-2</v>
      </c>
      <c r="F59" s="44">
        <f>+I59/G59</f>
        <v>3.2823076923076927E-2</v>
      </c>
      <c r="G59" s="15">
        <v>1300</v>
      </c>
      <c r="H59" s="5">
        <v>61.98</v>
      </c>
      <c r="I59" s="5">
        <v>42.67</v>
      </c>
      <c r="J59" s="335">
        <v>9.3000000000000007</v>
      </c>
      <c r="K59" s="1">
        <v>10</v>
      </c>
      <c r="L59" s="14">
        <v>0.72</v>
      </c>
      <c r="M59" s="45">
        <f>+(K59+J59)/H59*100</f>
        <v>31.139077121652146</v>
      </c>
      <c r="O59" s="100"/>
    </row>
    <row r="60" spans="1:17" x14ac:dyDescent="0.2">
      <c r="A60" s="43">
        <v>46114</v>
      </c>
      <c r="B60" s="1" t="s">
        <v>430</v>
      </c>
      <c r="C60" s="4"/>
      <c r="D60" s="4" t="s">
        <v>26</v>
      </c>
      <c r="E60" s="44">
        <f>+H60/G60</f>
        <v>8.6666666666666663E-3</v>
      </c>
      <c r="F60" s="44">
        <f>+I60/G60</f>
        <v>6.0000000000000001E-3</v>
      </c>
      <c r="G60" s="15">
        <v>180</v>
      </c>
      <c r="H60" s="5">
        <v>1.56</v>
      </c>
      <c r="I60" s="5">
        <v>1.08</v>
      </c>
      <c r="J60" s="335">
        <v>0.23</v>
      </c>
      <c r="K60" s="1">
        <v>0.25</v>
      </c>
      <c r="L60" s="14">
        <v>0.72</v>
      </c>
      <c r="M60" s="45">
        <f>+(K60+J60)/H60*100</f>
        <v>30.769230769230766</v>
      </c>
      <c r="O60" s="100"/>
    </row>
    <row r="61" spans="1:17" x14ac:dyDescent="0.2">
      <c r="A61" s="43">
        <v>46121</v>
      </c>
      <c r="B61" s="4" t="s">
        <v>428</v>
      </c>
      <c r="C61" s="4"/>
      <c r="D61" s="4" t="s">
        <v>26</v>
      </c>
      <c r="E61" s="44">
        <f>+H61/G61</f>
        <v>0.33209981740718197</v>
      </c>
      <c r="F61" s="44">
        <f>+I61/G61</f>
        <v>0.26900182592818017</v>
      </c>
      <c r="G61" s="15">
        <v>1643</v>
      </c>
      <c r="H61" s="5">
        <v>545.64</v>
      </c>
      <c r="I61" s="5">
        <v>441.97</v>
      </c>
      <c r="J61" s="1">
        <v>0</v>
      </c>
      <c r="K61" s="1">
        <v>103.67</v>
      </c>
      <c r="L61" s="14">
        <v>0.5</v>
      </c>
      <c r="M61" s="45">
        <f>+(K61+J61)/H61*100</f>
        <v>18.999706766366103</v>
      </c>
    </row>
    <row r="62" spans="1:17" x14ac:dyDescent="0.2">
      <c r="A62" s="43">
        <v>46121</v>
      </c>
      <c r="B62" s="4" t="s">
        <v>428</v>
      </c>
      <c r="C62" s="4"/>
      <c r="D62" s="4" t="s">
        <v>115</v>
      </c>
      <c r="E62" s="44">
        <f>+H62/G62</f>
        <v>0.3321002494896802</v>
      </c>
      <c r="F62" s="44">
        <f>+I62/G62</f>
        <v>0.26900204127920163</v>
      </c>
      <c r="G62" s="15">
        <v>4409</v>
      </c>
      <c r="H62" s="5">
        <v>1464.23</v>
      </c>
      <c r="I62" s="5">
        <v>1186.03</v>
      </c>
      <c r="J62" s="1">
        <v>0</v>
      </c>
      <c r="K62" s="1">
        <v>278.2</v>
      </c>
      <c r="L62" s="14">
        <v>0</v>
      </c>
      <c r="M62" s="45">
        <f>+(K62+J62)/H62*100</f>
        <v>18.999747307458527</v>
      </c>
    </row>
    <row r="63" spans="1:17" x14ac:dyDescent="0.2">
      <c r="A63" s="43">
        <v>46129</v>
      </c>
      <c r="B63" s="1" t="s">
        <v>440</v>
      </c>
      <c r="C63" s="4"/>
      <c r="D63" s="4" t="s">
        <v>26</v>
      </c>
      <c r="E63" s="44">
        <f t="shared" ref="E63:E66" si="10">+H63/G63</f>
        <v>1.1058333333333332</v>
      </c>
      <c r="F63" s="44">
        <f>+I63/G63</f>
        <v>0.76166666666666671</v>
      </c>
      <c r="G63" s="15">
        <v>12</v>
      </c>
      <c r="H63" s="5">
        <v>13.27</v>
      </c>
      <c r="I63" s="5">
        <v>9.14</v>
      </c>
      <c r="J63" s="335">
        <v>1.99</v>
      </c>
      <c r="K63" s="1">
        <v>2.14</v>
      </c>
      <c r="L63" s="14">
        <v>0.72</v>
      </c>
      <c r="M63" s="45">
        <f>+(K63+J63)/H63*100</f>
        <v>31.122833458929914</v>
      </c>
      <c r="O63" s="100"/>
    </row>
    <row r="64" spans="1:17" x14ac:dyDescent="0.2">
      <c r="A64" s="43">
        <v>45763</v>
      </c>
      <c r="B64" s="4" t="s">
        <v>441</v>
      </c>
      <c r="C64" s="4" t="s">
        <v>333</v>
      </c>
      <c r="D64" s="4" t="s">
        <v>199</v>
      </c>
      <c r="E64" s="44">
        <f t="shared" si="10"/>
        <v>0.32185999999999998</v>
      </c>
      <c r="F64" s="44">
        <f t="shared" ref="F64" si="11">+I64/G64</f>
        <v>0.27354962962962964</v>
      </c>
      <c r="G64" s="15">
        <v>135</v>
      </c>
      <c r="H64" s="5">
        <f>51.3*N64</f>
        <v>43.451099999999997</v>
      </c>
      <c r="I64" s="5">
        <f>43.6*N64</f>
        <v>36.929200000000002</v>
      </c>
      <c r="J64" s="91">
        <f>7.7*N64</f>
        <v>6.5218999999999996</v>
      </c>
      <c r="L64" s="14"/>
      <c r="M64" s="45">
        <f>+(K64+J64)/H64*100</f>
        <v>15.009746588693956</v>
      </c>
      <c r="N64" s="1">
        <v>0.84699999999999998</v>
      </c>
    </row>
    <row r="65" spans="1:17" x14ac:dyDescent="0.2">
      <c r="A65" s="43">
        <v>46134</v>
      </c>
      <c r="B65" s="4" t="s">
        <v>442</v>
      </c>
      <c r="C65" s="4"/>
      <c r="D65" s="4" t="s">
        <v>115</v>
      </c>
      <c r="E65" s="44">
        <f t="shared" si="10"/>
        <v>1.3791418861512321E-2</v>
      </c>
      <c r="F65" s="44">
        <f>+I65/G65</f>
        <v>1.117034834324554E-2</v>
      </c>
      <c r="G65" s="15">
        <v>9416</v>
      </c>
      <c r="H65" s="5">
        <v>129.86000000000001</v>
      </c>
      <c r="I65" s="5">
        <v>105.18</v>
      </c>
      <c r="J65" s="1">
        <v>0</v>
      </c>
      <c r="K65" s="1">
        <v>24.68</v>
      </c>
      <c r="L65" s="14">
        <v>0</v>
      </c>
      <c r="M65" s="45">
        <f>+(K65+J65)/H65*100</f>
        <v>19.005082396426921</v>
      </c>
    </row>
    <row r="66" spans="1:17" x14ac:dyDescent="0.2">
      <c r="A66" s="43">
        <v>46136</v>
      </c>
      <c r="B66" s="4" t="s">
        <v>443</v>
      </c>
      <c r="C66" s="4"/>
      <c r="D66" s="4" t="s">
        <v>115</v>
      </c>
      <c r="E66" s="44">
        <f t="shared" si="10"/>
        <v>3.95</v>
      </c>
      <c r="F66" s="44">
        <f>+I66/G66</f>
        <v>2.399591836734694</v>
      </c>
      <c r="G66" s="15">
        <v>98</v>
      </c>
      <c r="H66" s="5">
        <v>387.1</v>
      </c>
      <c r="I66" s="5">
        <v>235.16</v>
      </c>
      <c r="J66" s="1">
        <v>96.78</v>
      </c>
      <c r="K66" s="1">
        <v>55.16</v>
      </c>
      <c r="L66" s="14">
        <v>0</v>
      </c>
      <c r="M66" s="45">
        <f>+(K66+J66)/H66*100</f>
        <v>39.250839576336858</v>
      </c>
    </row>
    <row r="67" spans="1:17" x14ac:dyDescent="0.2">
      <c r="A67" s="43">
        <v>45771</v>
      </c>
      <c r="B67" s="4" t="s">
        <v>358</v>
      </c>
      <c r="C67" s="4" t="s">
        <v>333</v>
      </c>
      <c r="D67" s="4" t="s">
        <v>199</v>
      </c>
      <c r="E67" s="44">
        <f>+H67/G67</f>
        <v>0.34236</v>
      </c>
      <c r="F67" s="44">
        <f>+I67/G67</f>
        <v>0.29100600000000004</v>
      </c>
      <c r="G67" s="15">
        <v>16</v>
      </c>
      <c r="H67" s="5">
        <f>6.4*N67</f>
        <v>5.47776</v>
      </c>
      <c r="I67" s="5">
        <f>5.44*N67</f>
        <v>4.6560960000000007</v>
      </c>
      <c r="J67" s="91">
        <f>0.96*N67</f>
        <v>0.82166399999999995</v>
      </c>
      <c r="L67" s="14"/>
      <c r="M67" s="45">
        <f>+(K67+J67)/H67*100</f>
        <v>15</v>
      </c>
      <c r="N67" s="1">
        <v>0.85589999999999999</v>
      </c>
    </row>
    <row r="68" spans="1:17" x14ac:dyDescent="0.2">
      <c r="A68" s="43">
        <v>46136</v>
      </c>
      <c r="B68" s="1" t="s">
        <v>358</v>
      </c>
      <c r="C68" s="4"/>
      <c r="D68" s="4" t="s">
        <v>26</v>
      </c>
      <c r="E68" s="44">
        <f>+H68/G68</f>
        <v>0.34083333333333332</v>
      </c>
      <c r="F68" s="44">
        <f>+I68/G68</f>
        <v>0.23472222222222219</v>
      </c>
      <c r="G68" s="15">
        <v>36</v>
      </c>
      <c r="H68" s="5">
        <v>12.27</v>
      </c>
      <c r="I68" s="5">
        <v>8.4499999999999993</v>
      </c>
      <c r="J68" s="335">
        <v>1.84</v>
      </c>
      <c r="K68" s="1">
        <v>1.98</v>
      </c>
      <c r="L68" s="14">
        <v>0.72</v>
      </c>
      <c r="M68" s="45">
        <f>+(K68+J68)/H68*100</f>
        <v>31.132844335778326</v>
      </c>
      <c r="O68" s="100"/>
    </row>
    <row r="69" spans="1:17" x14ac:dyDescent="0.2">
      <c r="A69" s="43">
        <v>46133</v>
      </c>
      <c r="B69" s="1" t="s">
        <v>447</v>
      </c>
      <c r="C69" s="4"/>
      <c r="D69" s="4" t="s">
        <v>26</v>
      </c>
      <c r="E69" s="44">
        <f>+H69/G69</f>
        <v>0.75</v>
      </c>
      <c r="F69" s="44">
        <f>+I69/G69</f>
        <v>0.39485530546623793</v>
      </c>
      <c r="G69" s="15">
        <v>311</v>
      </c>
      <c r="H69" s="5">
        <v>233.25</v>
      </c>
      <c r="I69" s="5">
        <v>122.8</v>
      </c>
      <c r="J69" s="335">
        <v>81.64</v>
      </c>
      <c r="K69" s="1">
        <v>28.81</v>
      </c>
      <c r="L69" s="14">
        <v>0.72</v>
      </c>
      <c r="M69" s="45">
        <f>+(K69+J69)/H69*100</f>
        <v>47.352625937834944</v>
      </c>
      <c r="O69" s="100"/>
    </row>
    <row r="70" spans="1:17" x14ac:dyDescent="0.2">
      <c r="A70" s="43"/>
      <c r="E70" s="44"/>
      <c r="F70" s="44"/>
      <c r="L70" s="14"/>
      <c r="M70" s="45"/>
      <c r="P70" s="5"/>
      <c r="Q70" s="48"/>
    </row>
    <row r="71" spans="1:17" x14ac:dyDescent="0.2">
      <c r="A71" s="43"/>
      <c r="E71" s="44"/>
      <c r="F71" s="44"/>
      <c r="M71" s="45"/>
    </row>
    <row r="72" spans="1:17" x14ac:dyDescent="0.2">
      <c r="A72" s="60" t="s">
        <v>104</v>
      </c>
      <c r="B72" s="61"/>
      <c r="C72" s="61"/>
      <c r="D72" s="61"/>
      <c r="E72" s="62"/>
      <c r="F72" s="62"/>
      <c r="G72" s="61"/>
      <c r="H72" s="63">
        <f>SUM(H58:H71)</f>
        <v>2898.0888599999998</v>
      </c>
      <c r="I72" s="63">
        <f>SUM(I58:I71)</f>
        <v>2194.0652960000002</v>
      </c>
      <c r="J72" s="114" t="str">
        <f>+A72</f>
        <v>ABRIL</v>
      </c>
      <c r="K72" s="61"/>
      <c r="L72" s="61"/>
      <c r="M72" s="63">
        <f>AVERAGE(M58:M71)</f>
        <v>27.071066750791672</v>
      </c>
    </row>
    <row r="73" spans="1:17" x14ac:dyDescent="0.2">
      <c r="A73" s="43"/>
      <c r="E73" s="44"/>
      <c r="F73" s="44"/>
      <c r="M73" s="45"/>
    </row>
    <row r="74" spans="1:17" x14ac:dyDescent="0.2">
      <c r="A74" s="43"/>
      <c r="E74" s="44"/>
      <c r="F74" s="44"/>
      <c r="L74" s="14"/>
      <c r="M74" s="45"/>
      <c r="P74" s="5"/>
      <c r="Q74" s="48"/>
    </row>
    <row r="75" spans="1:17" x14ac:dyDescent="0.2">
      <c r="A75" s="43"/>
      <c r="E75" s="44"/>
      <c r="F75" s="44"/>
      <c r="L75" s="14"/>
      <c r="M75" s="45"/>
      <c r="P75" s="5"/>
      <c r="Q75" s="48"/>
    </row>
    <row r="76" spans="1:17" x14ac:dyDescent="0.2">
      <c r="A76" s="43"/>
      <c r="E76" s="44"/>
      <c r="F76" s="44"/>
      <c r="L76" s="14"/>
      <c r="M76" s="45"/>
      <c r="P76" s="5"/>
      <c r="Q76" s="48"/>
    </row>
    <row r="77" spans="1:17" x14ac:dyDescent="0.2">
      <c r="A77" s="43"/>
      <c r="E77" s="44"/>
      <c r="F77" s="44"/>
      <c r="L77" s="14"/>
      <c r="M77" s="45"/>
    </row>
    <row r="78" spans="1:17" x14ac:dyDescent="0.2">
      <c r="A78" s="43"/>
      <c r="E78" s="44"/>
      <c r="F78" s="44"/>
      <c r="L78" s="14"/>
      <c r="M78" s="45"/>
    </row>
    <row r="79" spans="1:17" x14ac:dyDescent="0.2">
      <c r="A79" s="43"/>
      <c r="E79" s="44"/>
      <c r="F79" s="92"/>
      <c r="L79" s="14"/>
      <c r="M79" s="45"/>
    </row>
    <row r="80" spans="1:17" x14ac:dyDescent="0.2">
      <c r="A80" s="43"/>
      <c r="E80" s="44"/>
      <c r="F80" s="92"/>
      <c r="L80" s="14"/>
      <c r="M80" s="45"/>
    </row>
    <row r="81" spans="1:13" x14ac:dyDescent="0.2">
      <c r="A81" s="43"/>
      <c r="E81" s="44"/>
      <c r="F81" s="92"/>
      <c r="L81" s="14"/>
      <c r="M81" s="45"/>
    </row>
    <row r="82" spans="1:13" x14ac:dyDescent="0.2">
      <c r="A82" s="43"/>
      <c r="E82" s="44"/>
      <c r="F82" s="92"/>
      <c r="L82" s="14"/>
      <c r="M82" s="45"/>
    </row>
    <row r="83" spans="1:13" x14ac:dyDescent="0.2">
      <c r="A83" s="43"/>
      <c r="E83" s="44"/>
      <c r="F83" s="92"/>
      <c r="L83" s="14"/>
      <c r="M83" s="45"/>
    </row>
    <row r="84" spans="1:13" x14ac:dyDescent="0.2">
      <c r="A84" s="43"/>
      <c r="E84" s="44"/>
      <c r="F84" s="92"/>
      <c r="L84" s="14"/>
      <c r="M84" s="45"/>
    </row>
    <row r="85" spans="1:13" x14ac:dyDescent="0.2">
      <c r="A85" s="43"/>
      <c r="E85" s="44"/>
      <c r="F85" s="92"/>
      <c r="L85" s="14"/>
      <c r="M85" s="45"/>
    </row>
    <row r="86" spans="1:13" x14ac:dyDescent="0.2">
      <c r="A86" s="43"/>
      <c r="E86" s="44"/>
      <c r="F86" s="92"/>
      <c r="L86" s="14"/>
      <c r="M86" s="45"/>
    </row>
    <row r="87" spans="1:13" x14ac:dyDescent="0.2">
      <c r="A87" s="43"/>
      <c r="E87" s="44"/>
      <c r="F87" s="92"/>
      <c r="L87" s="14"/>
      <c r="M87" s="45"/>
    </row>
    <row r="88" spans="1:13" x14ac:dyDescent="0.2">
      <c r="A88" s="43"/>
      <c r="E88" s="44"/>
      <c r="F88" s="92"/>
      <c r="L88" s="14"/>
      <c r="M88" s="45"/>
    </row>
    <row r="89" spans="1:13" x14ac:dyDescent="0.2">
      <c r="A89" s="43"/>
      <c r="E89" s="44"/>
      <c r="F89" s="92"/>
      <c r="L89" s="14"/>
      <c r="M89" s="45"/>
    </row>
    <row r="90" spans="1:13" x14ac:dyDescent="0.2">
      <c r="A90" s="43"/>
      <c r="E90" s="44"/>
      <c r="F90" s="92"/>
      <c r="L90" s="14"/>
      <c r="M90" s="45"/>
    </row>
    <row r="91" spans="1:13" x14ac:dyDescent="0.2">
      <c r="A91" s="43"/>
      <c r="E91" s="44"/>
      <c r="F91" s="92"/>
      <c r="L91" s="14"/>
      <c r="M91" s="45"/>
    </row>
    <row r="92" spans="1:13" x14ac:dyDescent="0.2">
      <c r="A92" s="43"/>
      <c r="E92" s="44"/>
      <c r="F92" s="92"/>
      <c r="L92" s="14"/>
      <c r="M92" s="45"/>
    </row>
    <row r="93" spans="1:13" x14ac:dyDescent="0.2">
      <c r="A93" s="43"/>
      <c r="E93" s="44"/>
      <c r="F93" s="92"/>
      <c r="L93" s="14"/>
      <c r="M93" s="45"/>
    </row>
    <row r="94" spans="1:13" x14ac:dyDescent="0.2">
      <c r="A94" s="43"/>
      <c r="E94" s="44"/>
      <c r="F94" s="92"/>
      <c r="L94" s="14"/>
      <c r="M94" s="45"/>
    </row>
    <row r="95" spans="1:13" x14ac:dyDescent="0.2">
      <c r="A95" s="43"/>
      <c r="E95" s="44"/>
      <c r="F95" s="92"/>
      <c r="L95" s="14"/>
      <c r="M95" s="45"/>
    </row>
    <row r="96" spans="1:13" x14ac:dyDescent="0.2">
      <c r="A96" s="43"/>
      <c r="E96" s="44"/>
      <c r="F96" s="92"/>
      <c r="L96" s="14"/>
      <c r="M96" s="45"/>
    </row>
    <row r="97" spans="1:13" x14ac:dyDescent="0.2">
      <c r="A97" s="43"/>
      <c r="E97" s="44"/>
      <c r="F97" s="92"/>
      <c r="L97" s="14"/>
      <c r="M97" s="45"/>
    </row>
    <row r="98" spans="1:13" x14ac:dyDescent="0.2">
      <c r="A98" s="43"/>
      <c r="E98" s="44"/>
      <c r="F98" s="92"/>
      <c r="L98" s="14"/>
      <c r="M98" s="45"/>
    </row>
    <row r="99" spans="1:13" x14ac:dyDescent="0.2">
      <c r="A99" s="43"/>
      <c r="E99" s="44"/>
      <c r="F99" s="92"/>
      <c r="L99" s="14"/>
      <c r="M99" s="45"/>
    </row>
    <row r="100" spans="1:13" x14ac:dyDescent="0.2">
      <c r="A100" s="43"/>
      <c r="E100" s="44"/>
      <c r="F100" s="92"/>
      <c r="L100" s="14"/>
      <c r="M100" s="45"/>
    </row>
    <row r="101" spans="1:13" x14ac:dyDescent="0.2">
      <c r="A101" s="43"/>
      <c r="E101" s="44"/>
      <c r="F101" s="44"/>
      <c r="L101" s="14"/>
      <c r="M101" s="45"/>
    </row>
    <row r="102" spans="1:13" x14ac:dyDescent="0.2">
      <c r="A102" s="43"/>
      <c r="E102" s="44"/>
      <c r="F102" s="44"/>
      <c r="L102" s="14"/>
      <c r="M102" s="45"/>
    </row>
    <row r="103" spans="1:13" x14ac:dyDescent="0.2">
      <c r="A103" s="43"/>
      <c r="E103" s="44"/>
      <c r="F103" s="44"/>
      <c r="L103" s="14"/>
      <c r="M103" s="45"/>
    </row>
    <row r="104" spans="1:13" x14ac:dyDescent="0.2">
      <c r="A104" s="43"/>
      <c r="E104" s="44"/>
      <c r="F104" s="44"/>
      <c r="L104" s="14"/>
      <c r="M104" s="45"/>
    </row>
    <row r="105" spans="1:13" x14ac:dyDescent="0.2">
      <c r="A105" s="43"/>
      <c r="E105" s="44"/>
      <c r="F105" s="44"/>
      <c r="L105" s="14"/>
      <c r="M105" s="45"/>
    </row>
    <row r="106" spans="1:13" x14ac:dyDescent="0.2">
      <c r="A106" s="43"/>
      <c r="E106" s="44"/>
      <c r="F106" s="44"/>
      <c r="L106" s="14"/>
      <c r="M106" s="45"/>
    </row>
    <row r="107" spans="1:13" x14ac:dyDescent="0.2">
      <c r="A107" s="43"/>
      <c r="E107" s="44"/>
      <c r="F107" s="44"/>
      <c r="L107" s="14"/>
      <c r="M107" s="45"/>
    </row>
    <row r="108" spans="1:13" x14ac:dyDescent="0.2">
      <c r="A108" s="43"/>
      <c r="E108" s="44"/>
      <c r="F108" s="44"/>
      <c r="L108" s="14"/>
      <c r="M108" s="45"/>
    </row>
    <row r="109" spans="1:13" x14ac:dyDescent="0.2">
      <c r="A109" s="43"/>
      <c r="E109" s="44"/>
      <c r="F109" s="44"/>
      <c r="L109" s="14"/>
      <c r="M109" s="45"/>
    </row>
    <row r="110" spans="1:13" x14ac:dyDescent="0.2">
      <c r="A110" s="43"/>
      <c r="E110" s="44"/>
      <c r="F110" s="44"/>
      <c r="M110" s="45"/>
    </row>
    <row r="111" spans="1:13" x14ac:dyDescent="0.2">
      <c r="A111" s="60" t="s">
        <v>106</v>
      </c>
      <c r="B111" s="61"/>
      <c r="C111" s="61"/>
      <c r="D111" s="61"/>
      <c r="E111" s="62"/>
      <c r="F111" s="62"/>
      <c r="G111" s="61"/>
      <c r="H111" s="63">
        <f>SUM(H73:H109)</f>
        <v>0</v>
      </c>
      <c r="I111" s="63">
        <f>SUM(I73:I109)</f>
        <v>0</v>
      </c>
      <c r="J111" s="114" t="str">
        <f>+A111</f>
        <v>MAYO</v>
      </c>
      <c r="K111" s="61"/>
      <c r="L111" s="61"/>
      <c r="M111" s="63" t="e">
        <f>AVERAGE(M73:M91)</f>
        <v>#DIV/0!</v>
      </c>
    </row>
    <row r="112" spans="1:13" x14ac:dyDescent="0.2">
      <c r="A112" s="43"/>
      <c r="E112" s="44"/>
      <c r="F112" s="44"/>
      <c r="M112" s="45"/>
    </row>
    <row r="113" spans="1:13" x14ac:dyDescent="0.2">
      <c r="A113" s="43"/>
      <c r="E113" s="44"/>
      <c r="F113" s="44"/>
      <c r="L113" s="14"/>
      <c r="M113" s="45"/>
    </row>
    <row r="114" spans="1:13" x14ac:dyDescent="0.2">
      <c r="A114" s="43"/>
      <c r="E114" s="44"/>
      <c r="F114" s="44"/>
      <c r="L114" s="14"/>
      <c r="M114" s="45"/>
    </row>
    <row r="115" spans="1:13" x14ac:dyDescent="0.2">
      <c r="A115" s="43"/>
      <c r="E115" s="44"/>
      <c r="F115" s="44"/>
      <c r="L115" s="14"/>
      <c r="M115" s="45"/>
    </row>
    <row r="116" spans="1:13" x14ac:dyDescent="0.2">
      <c r="A116" s="43"/>
      <c r="E116" s="44"/>
      <c r="F116" s="44"/>
      <c r="L116" s="14"/>
      <c r="M116" s="45"/>
    </row>
    <row r="117" spans="1:13" x14ac:dyDescent="0.2">
      <c r="A117" s="43"/>
      <c r="E117" s="44"/>
      <c r="F117" s="44"/>
      <c r="L117" s="14"/>
      <c r="M117" s="45"/>
    </row>
    <row r="118" spans="1:13" x14ac:dyDescent="0.2">
      <c r="A118" s="43"/>
      <c r="E118" s="44"/>
      <c r="F118" s="44"/>
      <c r="L118" s="14"/>
      <c r="M118" s="45"/>
    </row>
    <row r="119" spans="1:13" x14ac:dyDescent="0.2">
      <c r="A119" s="43"/>
      <c r="E119" s="44"/>
      <c r="F119" s="44"/>
      <c r="L119" s="14"/>
      <c r="M119" s="45"/>
    </row>
    <row r="120" spans="1:13" x14ac:dyDescent="0.2">
      <c r="A120" s="43"/>
      <c r="E120" s="44"/>
      <c r="F120" s="44"/>
      <c r="L120" s="14"/>
      <c r="M120" s="45"/>
    </row>
    <row r="121" spans="1:13" x14ac:dyDescent="0.2">
      <c r="A121" s="43"/>
      <c r="E121" s="44"/>
      <c r="F121" s="44"/>
      <c r="L121" s="14"/>
      <c r="M121" s="45"/>
    </row>
    <row r="122" spans="1:13" x14ac:dyDescent="0.2">
      <c r="A122" s="43"/>
      <c r="E122" s="44"/>
      <c r="F122" s="44"/>
      <c r="L122" s="14"/>
      <c r="M122" s="45"/>
    </row>
    <row r="123" spans="1:13" x14ac:dyDescent="0.2">
      <c r="A123" s="43"/>
      <c r="E123" s="44"/>
      <c r="F123" s="44"/>
      <c r="L123" s="14"/>
      <c r="M123" s="45"/>
    </row>
    <row r="124" spans="1:13" x14ac:dyDescent="0.2">
      <c r="A124" s="43"/>
      <c r="E124" s="44"/>
      <c r="F124" s="44"/>
      <c r="L124" s="14"/>
      <c r="M124" s="45"/>
    </row>
    <row r="125" spans="1:13" x14ac:dyDescent="0.2">
      <c r="A125" s="43"/>
      <c r="E125" s="44"/>
      <c r="F125" s="44"/>
      <c r="L125" s="14"/>
      <c r="M125" s="45"/>
    </row>
    <row r="126" spans="1:13" x14ac:dyDescent="0.2">
      <c r="A126" s="43"/>
      <c r="E126" s="44"/>
      <c r="F126" s="44"/>
      <c r="L126" s="14"/>
      <c r="M126" s="45"/>
    </row>
    <row r="127" spans="1:13" x14ac:dyDescent="0.2">
      <c r="A127" s="43"/>
      <c r="E127" s="44"/>
      <c r="F127" s="44"/>
      <c r="L127" s="14"/>
      <c r="M127" s="45"/>
    </row>
    <row r="128" spans="1:13" x14ac:dyDescent="0.2">
      <c r="A128" s="43"/>
      <c r="E128" s="44"/>
      <c r="F128" s="44"/>
      <c r="L128" s="14"/>
      <c r="M128" s="45"/>
    </row>
    <row r="129" spans="1:13" x14ac:dyDescent="0.2">
      <c r="A129" s="43"/>
      <c r="E129" s="44"/>
      <c r="F129" s="44"/>
      <c r="L129" s="14"/>
      <c r="M129" s="45"/>
    </row>
    <row r="130" spans="1:13" x14ac:dyDescent="0.2">
      <c r="A130" s="43"/>
      <c r="E130" s="44"/>
      <c r="F130" s="44"/>
      <c r="L130" s="14"/>
      <c r="M130" s="45"/>
    </row>
    <row r="131" spans="1:13" x14ac:dyDescent="0.2">
      <c r="A131" s="43"/>
      <c r="E131" s="44"/>
      <c r="F131" s="44"/>
      <c r="L131" s="14"/>
      <c r="M131" s="45"/>
    </row>
    <row r="132" spans="1:13" x14ac:dyDescent="0.2">
      <c r="A132" s="43"/>
      <c r="E132" s="44"/>
      <c r="F132" s="44"/>
      <c r="L132" s="14"/>
      <c r="M132" s="45"/>
    </row>
    <row r="133" spans="1:13" x14ac:dyDescent="0.2">
      <c r="A133" s="43"/>
      <c r="E133" s="44"/>
      <c r="F133" s="44"/>
      <c r="L133" s="14"/>
      <c r="M133" s="45"/>
    </row>
    <row r="134" spans="1:13" x14ac:dyDescent="0.2">
      <c r="A134" s="43"/>
      <c r="E134" s="44"/>
      <c r="F134" s="44"/>
      <c r="L134" s="14"/>
      <c r="M134" s="45"/>
    </row>
    <row r="135" spans="1:13" x14ac:dyDescent="0.2">
      <c r="A135" s="43"/>
      <c r="E135" s="44"/>
      <c r="F135" s="44"/>
      <c r="L135" s="14"/>
      <c r="M135" s="45"/>
    </row>
    <row r="136" spans="1:13" x14ac:dyDescent="0.2">
      <c r="A136" s="43"/>
      <c r="E136" s="44"/>
      <c r="F136" s="44"/>
      <c r="L136" s="14"/>
      <c r="M136" s="45"/>
    </row>
    <row r="137" spans="1:13" x14ac:dyDescent="0.2">
      <c r="A137" s="43"/>
      <c r="E137" s="44"/>
      <c r="F137" s="44"/>
      <c r="L137" s="14"/>
      <c r="M137" s="45"/>
    </row>
    <row r="138" spans="1:13" x14ac:dyDescent="0.2">
      <c r="A138" s="43"/>
      <c r="E138" s="44"/>
      <c r="F138" s="44"/>
      <c r="L138" s="14"/>
      <c r="M138" s="45"/>
    </row>
    <row r="139" spans="1:13" ht="17" customHeight="1" x14ac:dyDescent="0.2">
      <c r="A139" s="43"/>
      <c r="E139" s="44"/>
      <c r="F139" s="44"/>
      <c r="L139" s="14"/>
      <c r="M139" s="45"/>
    </row>
    <row r="140" spans="1:13" ht="17" customHeight="1" x14ac:dyDescent="0.2">
      <c r="A140" s="43"/>
      <c r="E140" s="44"/>
      <c r="F140" s="44"/>
      <c r="L140" s="14"/>
      <c r="M140" s="45"/>
    </row>
    <row r="141" spans="1:13" ht="17" customHeight="1" x14ac:dyDescent="0.2">
      <c r="A141" s="43"/>
      <c r="E141" s="44"/>
      <c r="F141" s="44"/>
      <c r="L141" s="14"/>
      <c r="M141" s="45"/>
    </row>
    <row r="142" spans="1:13" ht="17" customHeight="1" x14ac:dyDescent="0.2">
      <c r="A142" s="43"/>
      <c r="E142" s="44"/>
      <c r="F142" s="44"/>
      <c r="L142" s="14"/>
      <c r="M142" s="45"/>
    </row>
    <row r="143" spans="1:13" ht="17" customHeight="1" x14ac:dyDescent="0.2">
      <c r="A143" s="43"/>
      <c r="E143" s="44"/>
      <c r="F143" s="44"/>
      <c r="L143" s="14"/>
      <c r="M143" s="45"/>
    </row>
    <row r="144" spans="1:13" x14ac:dyDescent="0.2">
      <c r="A144" s="43"/>
      <c r="E144" s="44"/>
      <c r="F144" s="44"/>
      <c r="L144" s="14"/>
      <c r="M144" s="45"/>
    </row>
    <row r="145" spans="1:17" x14ac:dyDescent="0.2">
      <c r="A145" s="43"/>
      <c r="E145" s="44"/>
      <c r="F145" s="44"/>
      <c r="L145" s="14"/>
      <c r="M145" s="45"/>
    </row>
    <row r="146" spans="1:17" x14ac:dyDescent="0.2">
      <c r="A146" s="43"/>
      <c r="E146" s="44"/>
      <c r="F146" s="44"/>
      <c r="L146" s="14"/>
      <c r="M146" s="45"/>
    </row>
    <row r="147" spans="1:17" x14ac:dyDescent="0.2">
      <c r="A147" s="43"/>
      <c r="E147" s="44"/>
      <c r="F147" s="44"/>
      <c r="L147" s="14"/>
      <c r="M147" s="45"/>
    </row>
    <row r="148" spans="1:17" x14ac:dyDescent="0.2">
      <c r="A148" s="43"/>
      <c r="E148" s="44"/>
      <c r="F148" s="44"/>
      <c r="L148" s="14"/>
      <c r="M148" s="45"/>
      <c r="P148" s="5"/>
      <c r="Q148" s="48"/>
    </row>
    <row r="149" spans="1:17" ht="17" customHeight="1" x14ac:dyDescent="0.2">
      <c r="A149" s="43"/>
      <c r="E149" s="44"/>
      <c r="F149" s="44"/>
      <c r="L149" s="14"/>
      <c r="M149" s="45"/>
    </row>
    <row r="150" spans="1:17" ht="17" customHeight="1" x14ac:dyDescent="0.2">
      <c r="A150" s="43"/>
      <c r="E150" s="44"/>
      <c r="F150" s="44"/>
      <c r="L150" s="14"/>
      <c r="M150" s="45"/>
    </row>
    <row r="151" spans="1:17" ht="17" customHeight="1" x14ac:dyDescent="0.2">
      <c r="A151" s="43"/>
      <c r="E151" s="44"/>
      <c r="F151" s="44"/>
      <c r="L151" s="14"/>
      <c r="M151" s="45"/>
    </row>
    <row r="152" spans="1:17" ht="17" customHeight="1" x14ac:dyDescent="0.2">
      <c r="A152" s="43"/>
      <c r="E152" s="44"/>
      <c r="F152" s="44"/>
      <c r="K152" s="91"/>
      <c r="L152" s="14"/>
      <c r="M152" s="45"/>
    </row>
    <row r="153" spans="1:17" x14ac:dyDescent="0.2">
      <c r="A153" s="43"/>
      <c r="E153" s="44"/>
      <c r="F153" s="44"/>
      <c r="M153" s="45"/>
    </row>
    <row r="154" spans="1:17" x14ac:dyDescent="0.2">
      <c r="A154" s="60" t="s">
        <v>114</v>
      </c>
      <c r="B154" s="61"/>
      <c r="C154" s="61"/>
      <c r="D154" s="61"/>
      <c r="E154" s="62"/>
      <c r="F154" s="62"/>
      <c r="G154" s="61"/>
      <c r="H154" s="63">
        <f>SUM(H112:H152)</f>
        <v>0</v>
      </c>
      <c r="I154" s="63">
        <f>SUM(I112:I152)</f>
        <v>0</v>
      </c>
      <c r="J154" s="114" t="str">
        <f>+A154</f>
        <v>JUNIO</v>
      </c>
      <c r="K154" s="61"/>
      <c r="L154" s="61"/>
      <c r="M154" s="63" t="e">
        <f>AVERAGE(M112:M140)</f>
        <v>#DIV/0!</v>
      </c>
    </row>
    <row r="155" spans="1:17" x14ac:dyDescent="0.2">
      <c r="A155" s="43"/>
      <c r="E155" s="44"/>
      <c r="F155" s="44"/>
      <c r="M155" s="45"/>
    </row>
    <row r="156" spans="1:17" ht="17" customHeight="1" x14ac:dyDescent="0.2">
      <c r="A156" s="43"/>
      <c r="E156" s="44"/>
      <c r="F156" s="44"/>
      <c r="L156" s="14"/>
      <c r="M156" s="45"/>
    </row>
    <row r="157" spans="1:17" ht="17" customHeight="1" x14ac:dyDescent="0.2">
      <c r="A157" s="43"/>
      <c r="E157" s="44"/>
      <c r="F157" s="44"/>
      <c r="L157" s="14"/>
      <c r="M157" s="45"/>
    </row>
    <row r="158" spans="1:17" ht="17" customHeight="1" x14ac:dyDescent="0.2">
      <c r="A158" s="43"/>
      <c r="E158" s="44"/>
      <c r="F158" s="44"/>
      <c r="L158" s="14"/>
      <c r="M158" s="45"/>
    </row>
    <row r="159" spans="1:17" ht="17" customHeight="1" x14ac:dyDescent="0.2">
      <c r="A159" s="43"/>
      <c r="E159" s="44"/>
      <c r="F159" s="44"/>
      <c r="L159" s="14"/>
      <c r="M159" s="45"/>
    </row>
    <row r="160" spans="1:17" ht="17" customHeight="1" x14ac:dyDescent="0.2">
      <c r="A160" s="43"/>
      <c r="E160" s="44"/>
      <c r="F160" s="44"/>
      <c r="L160" s="14"/>
      <c r="M160" s="45"/>
    </row>
    <row r="161" spans="1:17" x14ac:dyDescent="0.2">
      <c r="A161" s="43"/>
      <c r="E161" s="44"/>
      <c r="F161" s="44"/>
      <c r="L161" s="14"/>
      <c r="M161" s="45"/>
    </row>
    <row r="162" spans="1:17" x14ac:dyDescent="0.2">
      <c r="A162" s="43"/>
      <c r="E162" s="44"/>
      <c r="F162" s="44"/>
      <c r="L162" s="14"/>
      <c r="M162" s="45"/>
    </row>
    <row r="163" spans="1:17" ht="17" customHeight="1" x14ac:dyDescent="0.2">
      <c r="A163" s="43"/>
      <c r="E163" s="44"/>
      <c r="F163" s="44"/>
      <c r="L163" s="14"/>
      <c r="M163" s="45"/>
    </row>
    <row r="164" spans="1:17" ht="17" customHeight="1" x14ac:dyDescent="0.2">
      <c r="A164" s="43"/>
      <c r="E164" s="44"/>
      <c r="F164" s="44"/>
      <c r="L164" s="14"/>
      <c r="M164" s="45"/>
    </row>
    <row r="165" spans="1:17" x14ac:dyDescent="0.2">
      <c r="A165" s="43"/>
      <c r="B165" s="4"/>
      <c r="C165" s="4"/>
      <c r="D165" s="4"/>
      <c r="E165" s="44"/>
      <c r="F165" s="44"/>
      <c r="K165" s="91"/>
      <c r="L165" s="14"/>
      <c r="M165" s="45"/>
      <c r="N165" s="24"/>
    </row>
    <row r="166" spans="1:17" ht="17" customHeight="1" x14ac:dyDescent="0.2">
      <c r="A166" s="43"/>
      <c r="E166" s="44"/>
      <c r="F166" s="44"/>
      <c r="L166" s="14"/>
      <c r="M166" s="45"/>
    </row>
    <row r="167" spans="1:17" x14ac:dyDescent="0.2">
      <c r="A167" s="43"/>
      <c r="B167" s="4"/>
      <c r="C167" s="4"/>
      <c r="D167" s="4"/>
      <c r="E167" s="44"/>
      <c r="F167" s="44"/>
      <c r="K167" s="91"/>
      <c r="L167" s="14"/>
      <c r="M167" s="45"/>
      <c r="N167" s="24"/>
    </row>
    <row r="168" spans="1:17" ht="17" customHeight="1" x14ac:dyDescent="0.2">
      <c r="A168" s="43"/>
      <c r="E168" s="44"/>
      <c r="F168" s="44"/>
      <c r="L168" s="14"/>
      <c r="M168" s="45"/>
    </row>
    <row r="169" spans="1:17" ht="17" customHeight="1" x14ac:dyDescent="0.2">
      <c r="A169" s="43"/>
      <c r="E169" s="44"/>
      <c r="F169" s="44"/>
      <c r="L169" s="14"/>
      <c r="M169" s="45"/>
    </row>
    <row r="170" spans="1:17" x14ac:dyDescent="0.2">
      <c r="A170" s="43"/>
      <c r="E170" s="44"/>
      <c r="F170" s="44"/>
      <c r="L170" s="14"/>
      <c r="M170" s="45"/>
    </row>
    <row r="171" spans="1:17" x14ac:dyDescent="0.2">
      <c r="A171" s="43"/>
      <c r="E171" s="44"/>
      <c r="F171" s="44"/>
      <c r="L171" s="14"/>
      <c r="M171" s="45"/>
    </row>
    <row r="172" spans="1:17" x14ac:dyDescent="0.2">
      <c r="A172" s="43"/>
      <c r="E172" s="44"/>
      <c r="F172" s="44"/>
      <c r="L172" s="14"/>
      <c r="M172" s="45"/>
    </row>
    <row r="173" spans="1:17" x14ac:dyDescent="0.2">
      <c r="A173" s="43"/>
      <c r="E173" s="44"/>
      <c r="F173" s="44"/>
      <c r="L173" s="14"/>
      <c r="M173" s="45"/>
    </row>
    <row r="174" spans="1:17" x14ac:dyDescent="0.2">
      <c r="A174" s="43"/>
      <c r="E174" s="44"/>
      <c r="F174" s="44"/>
      <c r="L174" s="14"/>
      <c r="M174" s="45"/>
    </row>
    <row r="175" spans="1:17" x14ac:dyDescent="0.2">
      <c r="A175" s="43"/>
      <c r="E175" s="44"/>
      <c r="F175" s="44"/>
      <c r="L175" s="14"/>
      <c r="M175" s="45"/>
      <c r="P175" s="5"/>
      <c r="Q175" s="48"/>
    </row>
    <row r="176" spans="1:17" x14ac:dyDescent="0.2">
      <c r="A176" s="43"/>
      <c r="E176" s="44"/>
      <c r="F176" s="44"/>
      <c r="L176" s="14"/>
      <c r="M176" s="45"/>
      <c r="P176" s="5"/>
      <c r="Q176" s="48"/>
    </row>
    <row r="177" spans="1:13" x14ac:dyDescent="0.2">
      <c r="A177" s="43"/>
      <c r="E177" s="44"/>
      <c r="F177" s="44"/>
      <c r="L177" s="14"/>
      <c r="M177" s="45"/>
    </row>
    <row r="178" spans="1:13" x14ac:dyDescent="0.2">
      <c r="A178" s="43"/>
      <c r="E178" s="44"/>
      <c r="F178" s="44"/>
      <c r="L178" s="14"/>
      <c r="M178" s="45"/>
    </row>
    <row r="179" spans="1:13" x14ac:dyDescent="0.2">
      <c r="A179" s="43"/>
      <c r="E179" s="44"/>
      <c r="F179" s="44"/>
      <c r="L179" s="14"/>
      <c r="M179" s="45"/>
    </row>
    <row r="180" spans="1:13" x14ac:dyDescent="0.2">
      <c r="A180" s="43"/>
      <c r="E180" s="44"/>
      <c r="F180" s="44"/>
      <c r="L180" s="14"/>
      <c r="M180" s="45"/>
    </row>
    <row r="181" spans="1:13" x14ac:dyDescent="0.2">
      <c r="A181" s="43"/>
      <c r="E181" s="44"/>
      <c r="F181" s="44"/>
      <c r="L181" s="14"/>
      <c r="M181" s="45"/>
    </row>
    <row r="182" spans="1:13" x14ac:dyDescent="0.2">
      <c r="A182" s="43"/>
      <c r="E182" s="44"/>
      <c r="F182" s="44"/>
      <c r="M182" s="45"/>
    </row>
    <row r="183" spans="1:13" x14ac:dyDescent="0.2">
      <c r="A183" s="60" t="s">
        <v>123</v>
      </c>
      <c r="B183" s="61"/>
      <c r="C183" s="61"/>
      <c r="D183" s="61"/>
      <c r="E183" s="62"/>
      <c r="F183" s="62"/>
      <c r="G183" s="61"/>
      <c r="H183" s="63">
        <f>SUM(H155:H178)</f>
        <v>0</v>
      </c>
      <c r="I183" s="63">
        <f>SUM(I155:I178)</f>
        <v>0</v>
      </c>
      <c r="J183" s="114" t="str">
        <f>+A183</f>
        <v>JULIO</v>
      </c>
      <c r="K183" s="61"/>
      <c r="L183" s="61"/>
      <c r="M183" s="63" t="e">
        <f>AVERAGE(M155:M178)</f>
        <v>#DIV/0!</v>
      </c>
    </row>
    <row r="184" spans="1:13" x14ac:dyDescent="0.2">
      <c r="A184" s="43"/>
      <c r="E184" s="44"/>
      <c r="F184" s="44"/>
      <c r="K184" s="91"/>
      <c r="M184" s="45"/>
    </row>
    <row r="185" spans="1:13" x14ac:dyDescent="0.2">
      <c r="A185" s="43"/>
      <c r="B185" s="4"/>
      <c r="C185" s="4"/>
      <c r="D185" s="4"/>
      <c r="E185" s="44"/>
      <c r="F185" s="44"/>
      <c r="L185" s="14"/>
      <c r="M185" s="45"/>
    </row>
    <row r="186" spans="1:13" x14ac:dyDescent="0.2">
      <c r="A186" s="43"/>
      <c r="B186" s="4"/>
      <c r="C186" s="4"/>
      <c r="D186" s="4"/>
      <c r="E186" s="44"/>
      <c r="F186" s="44"/>
      <c r="L186" s="14"/>
      <c r="M186" s="45"/>
    </row>
    <row r="187" spans="1:13" x14ac:dyDescent="0.2">
      <c r="A187" s="43"/>
      <c r="B187" s="4"/>
      <c r="C187" s="4"/>
      <c r="D187" s="4"/>
      <c r="E187" s="44"/>
      <c r="F187" s="44"/>
      <c r="L187" s="14"/>
      <c r="M187" s="45"/>
    </row>
    <row r="188" spans="1:13" x14ac:dyDescent="0.2">
      <c r="A188" s="43"/>
      <c r="B188" s="4"/>
      <c r="C188" s="4"/>
      <c r="D188" s="4"/>
      <c r="E188" s="44"/>
      <c r="F188" s="44"/>
      <c r="L188" s="14"/>
      <c r="M188" s="45"/>
    </row>
    <row r="189" spans="1:13" x14ac:dyDescent="0.2">
      <c r="A189" s="43"/>
      <c r="B189" s="4"/>
      <c r="C189" s="4"/>
      <c r="D189" s="4"/>
      <c r="E189" s="44"/>
      <c r="F189" s="44"/>
      <c r="L189" s="14"/>
      <c r="M189" s="45"/>
    </row>
    <row r="190" spans="1:13" x14ac:dyDescent="0.2">
      <c r="A190" s="43"/>
      <c r="E190" s="44"/>
      <c r="F190" s="44"/>
      <c r="M190" s="45"/>
    </row>
    <row r="191" spans="1:13" x14ac:dyDescent="0.2">
      <c r="A191" s="60" t="s">
        <v>132</v>
      </c>
      <c r="B191" s="61"/>
      <c r="C191" s="61"/>
      <c r="D191" s="61"/>
      <c r="E191" s="62"/>
      <c r="F191" s="62"/>
      <c r="G191" s="61"/>
      <c r="H191" s="63">
        <f>SUM(H184:H190)</f>
        <v>0</v>
      </c>
      <c r="I191" s="63">
        <f>SUM(I184:I190)</f>
        <v>0</v>
      </c>
      <c r="J191" s="114" t="str">
        <f>+A191</f>
        <v>AGOSTO</v>
      </c>
      <c r="K191" s="61"/>
      <c r="L191" s="61"/>
      <c r="M191" s="63" t="e">
        <f>AVERAGE(M184:M189)</f>
        <v>#DIV/0!</v>
      </c>
    </row>
    <row r="192" spans="1:13" x14ac:dyDescent="0.2">
      <c r="A192" s="43"/>
      <c r="E192" s="44"/>
      <c r="F192" s="44"/>
      <c r="K192" s="91"/>
      <c r="M192" s="45"/>
    </row>
    <row r="193" spans="1:13" x14ac:dyDescent="0.2">
      <c r="A193" s="43"/>
      <c r="B193" s="4"/>
      <c r="C193" s="4"/>
      <c r="D193" s="4"/>
      <c r="E193" s="44"/>
      <c r="F193" s="44"/>
      <c r="L193" s="14"/>
      <c r="M193" s="45"/>
    </row>
    <row r="194" spans="1:13" x14ac:dyDescent="0.2">
      <c r="A194" s="43"/>
      <c r="B194" s="4"/>
      <c r="C194" s="4"/>
      <c r="D194" s="4"/>
      <c r="E194" s="44"/>
      <c r="F194" s="44"/>
      <c r="L194" s="14"/>
      <c r="M194" s="45"/>
    </row>
    <row r="195" spans="1:13" x14ac:dyDescent="0.2">
      <c r="A195" s="43"/>
      <c r="E195" s="44"/>
      <c r="F195" s="44"/>
      <c r="L195" s="14"/>
      <c r="M195" s="45"/>
    </row>
    <row r="196" spans="1:13" x14ac:dyDescent="0.2">
      <c r="A196" s="43"/>
      <c r="B196" s="4"/>
      <c r="C196" s="4"/>
      <c r="D196" s="4"/>
      <c r="E196" s="44"/>
      <c r="F196" s="44"/>
      <c r="L196" s="14"/>
      <c r="M196" s="45"/>
    </row>
    <row r="197" spans="1:13" x14ac:dyDescent="0.2">
      <c r="A197" s="43"/>
      <c r="B197" s="4"/>
      <c r="C197" s="4"/>
      <c r="D197" s="4"/>
      <c r="E197" s="44"/>
      <c r="F197" s="44"/>
      <c r="L197" s="14"/>
      <c r="M197" s="45"/>
    </row>
    <row r="198" spans="1:13" x14ac:dyDescent="0.2">
      <c r="A198" s="43"/>
      <c r="B198" s="4"/>
      <c r="C198" s="4"/>
      <c r="D198" s="4"/>
      <c r="E198" s="44"/>
      <c r="F198" s="44"/>
      <c r="L198" s="14"/>
      <c r="M198" s="45"/>
    </row>
    <row r="199" spans="1:13" x14ac:dyDescent="0.2">
      <c r="A199" s="43"/>
      <c r="B199" s="4"/>
      <c r="C199" s="4"/>
      <c r="D199" s="4"/>
      <c r="E199" s="44"/>
      <c r="F199" s="44"/>
      <c r="L199" s="14"/>
      <c r="M199" s="45"/>
    </row>
    <row r="200" spans="1:13" x14ac:dyDescent="0.2">
      <c r="A200" s="43"/>
      <c r="B200" s="4"/>
      <c r="C200" s="4"/>
      <c r="D200" s="4"/>
      <c r="E200" s="44"/>
      <c r="F200" s="44"/>
      <c r="L200" s="14"/>
      <c r="M200" s="45"/>
    </row>
    <row r="201" spans="1:13" x14ac:dyDescent="0.2">
      <c r="A201" s="43"/>
      <c r="B201" s="4"/>
      <c r="C201" s="4"/>
      <c r="D201" s="4"/>
      <c r="E201" s="44"/>
      <c r="F201" s="44"/>
      <c r="L201" s="14"/>
      <c r="M201" s="45"/>
    </row>
    <row r="202" spans="1:13" x14ac:dyDescent="0.2">
      <c r="A202" s="43"/>
      <c r="B202" s="4"/>
      <c r="C202" s="4"/>
      <c r="D202" s="4"/>
      <c r="E202" s="44"/>
      <c r="F202" s="44"/>
      <c r="L202" s="14"/>
      <c r="M202" s="45"/>
    </row>
    <row r="203" spans="1:13" x14ac:dyDescent="0.2">
      <c r="A203" s="43"/>
      <c r="B203" s="4"/>
      <c r="C203" s="4"/>
      <c r="D203" s="4"/>
      <c r="E203" s="44"/>
      <c r="F203" s="44"/>
      <c r="L203" s="14"/>
      <c r="M203" s="45"/>
    </row>
    <row r="204" spans="1:13" x14ac:dyDescent="0.2">
      <c r="A204" s="43"/>
      <c r="E204" s="44"/>
      <c r="F204" s="44"/>
      <c r="L204" s="14"/>
      <c r="M204" s="45"/>
    </row>
    <row r="205" spans="1:13" x14ac:dyDescent="0.2">
      <c r="A205" s="43"/>
      <c r="E205" s="44"/>
      <c r="F205" s="44"/>
      <c r="L205" s="14"/>
      <c r="M205" s="45"/>
    </row>
    <row r="206" spans="1:13" x14ac:dyDescent="0.2">
      <c r="A206" s="43"/>
      <c r="E206" s="44"/>
      <c r="F206" s="44"/>
      <c r="L206" s="14"/>
      <c r="M206" s="45"/>
    </row>
    <row r="207" spans="1:13" x14ac:dyDescent="0.2">
      <c r="A207" s="43"/>
      <c r="E207" s="44"/>
      <c r="F207" s="44"/>
      <c r="L207" s="14"/>
      <c r="M207" s="45"/>
    </row>
    <row r="208" spans="1:13" x14ac:dyDescent="0.2">
      <c r="A208" s="43"/>
      <c r="E208" s="44"/>
      <c r="F208" s="44"/>
      <c r="L208" s="14"/>
      <c r="M208" s="45"/>
    </row>
    <row r="209" spans="1:13" x14ac:dyDescent="0.2">
      <c r="A209" s="43"/>
      <c r="E209" s="44"/>
      <c r="F209" s="44"/>
      <c r="L209" s="14"/>
      <c r="M209" s="45"/>
    </row>
    <row r="210" spans="1:13" x14ac:dyDescent="0.2">
      <c r="A210" s="43"/>
      <c r="E210" s="44"/>
      <c r="F210" s="44"/>
      <c r="L210" s="14"/>
      <c r="M210" s="45"/>
    </row>
    <row r="211" spans="1:13" x14ac:dyDescent="0.2">
      <c r="A211" s="43"/>
      <c r="E211" s="44"/>
      <c r="F211" s="44"/>
      <c r="L211" s="14"/>
      <c r="M211" s="45"/>
    </row>
    <row r="212" spans="1:13" x14ac:dyDescent="0.2">
      <c r="A212" s="43"/>
      <c r="E212" s="44"/>
      <c r="F212" s="44"/>
      <c r="L212" s="14"/>
      <c r="M212" s="45"/>
    </row>
    <row r="213" spans="1:13" x14ac:dyDescent="0.2">
      <c r="A213" s="43"/>
      <c r="E213" s="44"/>
      <c r="F213" s="44"/>
      <c r="L213" s="14"/>
      <c r="M213" s="45"/>
    </row>
    <row r="214" spans="1:13" x14ac:dyDescent="0.2">
      <c r="A214" s="43"/>
      <c r="E214" s="44"/>
      <c r="F214" s="44"/>
      <c r="L214" s="14"/>
      <c r="M214" s="45"/>
    </row>
    <row r="215" spans="1:13" x14ac:dyDescent="0.2">
      <c r="A215" s="43"/>
      <c r="E215" s="44"/>
      <c r="F215" s="44"/>
      <c r="M215" s="45"/>
    </row>
    <row r="216" spans="1:13" x14ac:dyDescent="0.2">
      <c r="A216" s="60" t="s">
        <v>135</v>
      </c>
      <c r="B216" s="61"/>
      <c r="C216" s="61"/>
      <c r="D216" s="61"/>
      <c r="E216" s="62"/>
      <c r="F216" s="62"/>
      <c r="G216" s="61"/>
      <c r="H216" s="63">
        <f>SUM(H192:H214)</f>
        <v>0</v>
      </c>
      <c r="I216" s="63">
        <f>SUM(I192:I214)</f>
        <v>0</v>
      </c>
      <c r="J216" s="114" t="str">
        <f>+A216</f>
        <v>SEPTIEMBRE</v>
      </c>
      <c r="K216" s="61"/>
      <c r="L216" s="61"/>
      <c r="M216" s="63" t="e">
        <f>AVERAGE(M192:M214)</f>
        <v>#DIV/0!</v>
      </c>
    </row>
    <row r="218" spans="1:13" x14ac:dyDescent="0.2">
      <c r="A218" s="43"/>
      <c r="E218" s="44"/>
      <c r="F218" s="44"/>
      <c r="L218" s="14"/>
      <c r="M218" s="45"/>
    </row>
    <row r="219" spans="1:13" x14ac:dyDescent="0.2">
      <c r="A219" s="43"/>
      <c r="E219" s="44"/>
      <c r="F219" s="44"/>
      <c r="L219" s="14"/>
      <c r="M219" s="45"/>
    </row>
    <row r="220" spans="1:13" x14ac:dyDescent="0.2">
      <c r="A220" s="43"/>
      <c r="E220" s="44"/>
      <c r="F220" s="44"/>
      <c r="L220" s="14"/>
      <c r="M220" s="45"/>
    </row>
    <row r="221" spans="1:13" x14ac:dyDescent="0.2">
      <c r="A221" s="43"/>
      <c r="E221" s="44"/>
      <c r="F221" s="44"/>
      <c r="L221" s="14"/>
      <c r="M221" s="45"/>
    </row>
    <row r="222" spans="1:13" x14ac:dyDescent="0.2">
      <c r="A222" s="43"/>
      <c r="E222" s="44"/>
      <c r="F222" s="44"/>
      <c r="L222" s="14"/>
      <c r="M222" s="45"/>
    </row>
    <row r="223" spans="1:13" x14ac:dyDescent="0.2">
      <c r="A223" s="43"/>
      <c r="E223" s="44"/>
      <c r="F223" s="44"/>
      <c r="L223" s="14"/>
      <c r="M223" s="45"/>
    </row>
    <row r="224" spans="1:13" x14ac:dyDescent="0.2">
      <c r="A224" s="43"/>
      <c r="E224" s="44"/>
      <c r="F224" s="44"/>
      <c r="L224" s="14"/>
      <c r="M224" s="45"/>
    </row>
    <row r="225" spans="1:13" x14ac:dyDescent="0.2">
      <c r="A225" s="43"/>
      <c r="E225" s="44"/>
      <c r="F225" s="44"/>
      <c r="L225" s="14"/>
      <c r="M225" s="45"/>
    </row>
    <row r="226" spans="1:13" x14ac:dyDescent="0.2">
      <c r="A226" s="43"/>
      <c r="E226" s="44"/>
      <c r="F226" s="44"/>
      <c r="L226" s="14"/>
      <c r="M226" s="45"/>
    </row>
    <row r="227" spans="1:13" x14ac:dyDescent="0.2">
      <c r="A227" s="43"/>
      <c r="E227" s="44"/>
      <c r="F227" s="44"/>
      <c r="M227" s="45"/>
    </row>
    <row r="228" spans="1:13" x14ac:dyDescent="0.2">
      <c r="A228" s="43"/>
      <c r="E228" s="44"/>
      <c r="F228" s="44"/>
      <c r="M228" s="45"/>
    </row>
    <row r="229" spans="1:13" x14ac:dyDescent="0.2">
      <c r="A229" s="60" t="s">
        <v>147</v>
      </c>
      <c r="B229" s="61"/>
      <c r="C229" s="61"/>
      <c r="D229" s="61"/>
      <c r="E229" s="62"/>
      <c r="F229" s="62"/>
      <c r="G229" s="61"/>
      <c r="H229" s="63">
        <f>SUM(H218:H228)</f>
        <v>0</v>
      </c>
      <c r="I229" s="63">
        <f>SUM(I218:I228)</f>
        <v>0</v>
      </c>
      <c r="J229" s="114" t="s">
        <v>147</v>
      </c>
      <c r="K229" s="61"/>
      <c r="L229" s="61"/>
      <c r="M229" s="63" t="e">
        <f>AVERAGE(M197:M228)</f>
        <v>#DIV/0!</v>
      </c>
    </row>
    <row r="230" spans="1:13" x14ac:dyDescent="0.2">
      <c r="A230" s="43"/>
      <c r="E230" s="44"/>
      <c r="F230" s="44"/>
      <c r="M230" s="45"/>
    </row>
    <row r="231" spans="1:13" x14ac:dyDescent="0.2">
      <c r="A231" s="43"/>
      <c r="E231" s="44"/>
      <c r="F231" s="44"/>
      <c r="L231" s="14"/>
      <c r="M231" s="45"/>
    </row>
    <row r="232" spans="1:13" x14ac:dyDescent="0.2">
      <c r="A232" s="43"/>
      <c r="E232" s="44"/>
      <c r="F232" s="44"/>
      <c r="L232" s="14"/>
      <c r="M232" s="45"/>
    </row>
    <row r="233" spans="1:13" x14ac:dyDescent="0.2">
      <c r="A233" s="43"/>
      <c r="E233" s="44"/>
      <c r="F233" s="44"/>
      <c r="L233" s="14"/>
      <c r="M233" s="45"/>
    </row>
    <row r="234" spans="1:13" x14ac:dyDescent="0.2">
      <c r="A234" s="43"/>
      <c r="E234" s="44"/>
      <c r="F234" s="44"/>
      <c r="L234" s="14"/>
      <c r="M234" s="45"/>
    </row>
    <row r="235" spans="1:13" x14ac:dyDescent="0.2">
      <c r="A235" s="43"/>
      <c r="E235" s="44"/>
      <c r="F235" s="44"/>
      <c r="L235" s="14"/>
      <c r="M235" s="45"/>
    </row>
    <row r="236" spans="1:13" x14ac:dyDescent="0.2">
      <c r="A236" s="43"/>
      <c r="E236" s="44"/>
      <c r="F236" s="44"/>
      <c r="L236" s="14"/>
      <c r="M236" s="45"/>
    </row>
    <row r="237" spans="1:13" x14ac:dyDescent="0.2">
      <c r="A237" s="43"/>
      <c r="E237" s="44"/>
      <c r="F237" s="44"/>
      <c r="L237" s="14"/>
      <c r="M237" s="45"/>
    </row>
    <row r="238" spans="1:13" x14ac:dyDescent="0.2">
      <c r="A238" s="43"/>
      <c r="E238" s="44"/>
      <c r="F238" s="44"/>
      <c r="L238" s="14"/>
      <c r="M238" s="45"/>
    </row>
    <row r="239" spans="1:13" x14ac:dyDescent="0.2">
      <c r="A239" s="43"/>
      <c r="E239" s="44"/>
      <c r="F239" s="44"/>
      <c r="L239" s="14"/>
      <c r="M239" s="45"/>
    </row>
    <row r="240" spans="1:13" x14ac:dyDescent="0.2">
      <c r="A240" s="43"/>
      <c r="E240" s="44"/>
      <c r="F240" s="44"/>
      <c r="L240" s="14"/>
      <c r="M240" s="45"/>
    </row>
    <row r="241" spans="1:13" x14ac:dyDescent="0.2">
      <c r="A241" s="43"/>
      <c r="E241" s="44"/>
      <c r="F241" s="44"/>
      <c r="L241" s="14"/>
      <c r="M241" s="45"/>
    </row>
    <row r="242" spans="1:13" x14ac:dyDescent="0.2">
      <c r="A242" s="43"/>
      <c r="E242" s="44"/>
      <c r="F242" s="44"/>
      <c r="L242" s="14"/>
      <c r="M242" s="45"/>
    </row>
    <row r="243" spans="1:13" x14ac:dyDescent="0.2">
      <c r="A243" s="43"/>
      <c r="E243" s="44"/>
      <c r="F243" s="44"/>
      <c r="L243" s="14"/>
      <c r="M243" s="45"/>
    </row>
    <row r="244" spans="1:13" x14ac:dyDescent="0.2">
      <c r="A244" s="43"/>
      <c r="E244" s="44"/>
      <c r="F244" s="44"/>
      <c r="L244" s="14"/>
      <c r="M244" s="45"/>
    </row>
    <row r="245" spans="1:13" x14ac:dyDescent="0.2">
      <c r="A245" s="43"/>
      <c r="E245" s="44"/>
      <c r="F245" s="44"/>
      <c r="L245" s="14"/>
      <c r="M245" s="45"/>
    </row>
    <row r="246" spans="1:13" x14ac:dyDescent="0.2">
      <c r="A246" s="43"/>
      <c r="E246" s="44"/>
      <c r="F246" s="44"/>
      <c r="M246" s="45"/>
    </row>
    <row r="247" spans="1:13" x14ac:dyDescent="0.2">
      <c r="A247" s="60" t="s">
        <v>153</v>
      </c>
      <c r="B247" s="61"/>
      <c r="C247" s="61"/>
      <c r="D247" s="61"/>
      <c r="E247" s="62"/>
      <c r="F247" s="62"/>
      <c r="G247" s="61"/>
      <c r="H247" s="63">
        <f>SUM(H230:H245)</f>
        <v>0</v>
      </c>
      <c r="I247" s="63">
        <f>SUM(I230:I245)</f>
        <v>0</v>
      </c>
      <c r="J247" s="114" t="s">
        <v>153</v>
      </c>
      <c r="K247" s="61"/>
      <c r="L247" s="61"/>
      <c r="M247" s="63" t="e">
        <f>AVERAGE(M230:M245)</f>
        <v>#DIV/0!</v>
      </c>
    </row>
    <row r="249" spans="1:13" x14ac:dyDescent="0.2">
      <c r="A249" s="43"/>
      <c r="E249" s="44"/>
      <c r="F249" s="44"/>
      <c r="L249" s="14"/>
      <c r="M249" s="45"/>
    </row>
    <row r="250" spans="1:13" x14ac:dyDescent="0.2">
      <c r="A250" s="43"/>
      <c r="E250" s="44"/>
      <c r="F250" s="44"/>
      <c r="L250" s="14"/>
      <c r="M250" s="45"/>
    </row>
    <row r="251" spans="1:13" x14ac:dyDescent="0.2">
      <c r="A251" s="43"/>
      <c r="E251" s="44"/>
      <c r="F251" s="44"/>
      <c r="L251" s="14"/>
      <c r="M251" s="45"/>
    </row>
    <row r="252" spans="1:13" x14ac:dyDescent="0.2">
      <c r="A252" s="43"/>
      <c r="E252" s="44"/>
      <c r="F252" s="44"/>
      <c r="L252" s="14"/>
      <c r="M252" s="45"/>
    </row>
    <row r="253" spans="1:13" x14ac:dyDescent="0.2">
      <c r="A253" s="43"/>
      <c r="E253" s="44"/>
      <c r="F253" s="44"/>
      <c r="L253" s="14"/>
      <c r="M253" s="45"/>
    </row>
    <row r="254" spans="1:13" x14ac:dyDescent="0.2">
      <c r="A254" s="43"/>
      <c r="E254" s="44"/>
      <c r="F254" s="44"/>
      <c r="L254" s="14"/>
      <c r="M254" s="45"/>
    </row>
    <row r="255" spans="1:13" x14ac:dyDescent="0.2">
      <c r="A255" s="43"/>
      <c r="E255" s="44"/>
      <c r="F255" s="44"/>
      <c r="L255" s="14"/>
      <c r="M255" s="45"/>
    </row>
    <row r="256" spans="1:13" x14ac:dyDescent="0.2">
      <c r="A256" s="43"/>
      <c r="E256" s="44"/>
      <c r="F256" s="44"/>
      <c r="L256" s="14"/>
      <c r="M256" s="45"/>
    </row>
    <row r="257" spans="1:13" x14ac:dyDescent="0.2">
      <c r="A257" s="43"/>
      <c r="E257" s="44"/>
      <c r="F257" s="44"/>
      <c r="L257" s="14"/>
      <c r="M257" s="45"/>
    </row>
    <row r="258" spans="1:13" x14ac:dyDescent="0.2">
      <c r="A258" s="43"/>
      <c r="E258" s="44"/>
      <c r="F258" s="44"/>
      <c r="L258" s="14"/>
      <c r="M258" s="45"/>
    </row>
    <row r="259" spans="1:13" x14ac:dyDescent="0.2">
      <c r="A259" s="43"/>
      <c r="E259" s="44"/>
      <c r="F259" s="44"/>
      <c r="L259" s="14"/>
      <c r="M259" s="45"/>
    </row>
    <row r="260" spans="1:13" x14ac:dyDescent="0.2">
      <c r="A260" s="43"/>
      <c r="E260" s="44"/>
      <c r="F260" s="44"/>
      <c r="L260" s="14"/>
      <c r="M260" s="45"/>
    </row>
    <row r="261" spans="1:13" x14ac:dyDescent="0.2">
      <c r="A261" s="43"/>
      <c r="E261" s="44"/>
      <c r="F261" s="44"/>
      <c r="L261" s="14"/>
      <c r="M261" s="45"/>
    </row>
    <row r="262" spans="1:13" x14ac:dyDescent="0.2">
      <c r="A262" s="43"/>
      <c r="E262" s="44"/>
      <c r="F262" s="44"/>
      <c r="L262" s="14"/>
      <c r="M262" s="45"/>
    </row>
    <row r="263" spans="1:13" x14ac:dyDescent="0.2">
      <c r="A263" s="43"/>
      <c r="E263" s="44"/>
      <c r="F263" s="44"/>
      <c r="L263" s="14"/>
      <c r="M263" s="45"/>
    </row>
    <row r="264" spans="1:13" x14ac:dyDescent="0.2">
      <c r="A264" s="43"/>
      <c r="E264" s="44"/>
      <c r="F264" s="44"/>
      <c r="L264" s="14"/>
      <c r="M264" s="45"/>
    </row>
    <row r="265" spans="1:13" x14ac:dyDescent="0.2">
      <c r="A265" s="43"/>
      <c r="E265" s="44"/>
      <c r="F265" s="44"/>
      <c r="L265" s="14"/>
      <c r="M265" s="45"/>
    </row>
    <row r="266" spans="1:13" x14ac:dyDescent="0.2">
      <c r="A266" s="43"/>
      <c r="E266" s="44"/>
      <c r="F266" s="44"/>
      <c r="L266" s="14"/>
      <c r="M266" s="45"/>
    </row>
    <row r="267" spans="1:13" x14ac:dyDescent="0.2">
      <c r="A267" s="43"/>
      <c r="E267" s="44"/>
      <c r="F267" s="44"/>
      <c r="L267" s="14"/>
      <c r="M267" s="45"/>
    </row>
    <row r="268" spans="1:13" x14ac:dyDescent="0.2">
      <c r="A268" s="43"/>
      <c r="E268" s="44"/>
      <c r="F268" s="44"/>
      <c r="L268" s="14"/>
      <c r="M268" s="45"/>
    </row>
    <row r="269" spans="1:13" x14ac:dyDescent="0.2">
      <c r="A269" s="43"/>
      <c r="E269" s="44"/>
      <c r="F269" s="44"/>
      <c r="M269" s="45"/>
    </row>
    <row r="270" spans="1:13" x14ac:dyDescent="0.2">
      <c r="A270" s="43"/>
      <c r="E270" s="44"/>
      <c r="F270" s="44"/>
      <c r="M270" s="45"/>
    </row>
    <row r="271" spans="1:13" x14ac:dyDescent="0.2">
      <c r="A271" s="43"/>
      <c r="E271" s="44"/>
      <c r="F271" s="44"/>
      <c r="M271" s="45"/>
    </row>
    <row r="272" spans="1:13" x14ac:dyDescent="0.2">
      <c r="A272" s="43"/>
      <c r="E272" s="44"/>
      <c r="F272" s="44"/>
      <c r="M272" s="45"/>
    </row>
    <row r="274" spans="1:15" x14ac:dyDescent="0.2">
      <c r="A274" s="60" t="s">
        <v>161</v>
      </c>
      <c r="B274" s="61"/>
      <c r="C274" s="61"/>
      <c r="D274" s="61"/>
      <c r="E274" s="62"/>
      <c r="F274" s="62"/>
      <c r="G274" s="61"/>
      <c r="H274" s="63">
        <f>SUM(H249:H271)</f>
        <v>0</v>
      </c>
      <c r="I274" s="63">
        <f>SUM(I249:I271)</f>
        <v>0</v>
      </c>
      <c r="J274" s="114" t="s">
        <v>161</v>
      </c>
      <c r="K274" s="61"/>
      <c r="L274" s="61"/>
      <c r="M274" s="63" t="e">
        <f>AVERAGE(M256:M267)</f>
        <v>#DIV/0!</v>
      </c>
    </row>
    <row r="276" spans="1:15" x14ac:dyDescent="0.2">
      <c r="E276" s="100"/>
      <c r="F276" s="33" t="s">
        <v>49</v>
      </c>
      <c r="G276" s="33"/>
      <c r="H276" s="21">
        <f>+H23+H34+H57+H72+H111+H154+H183+H191+H216+H229+H247+H274</f>
        <v>10057.968208999999</v>
      </c>
      <c r="I276" s="21">
        <f>+I23+I34+I57+I72+I111+I154+I183+I191+I216+I229+I247+I274</f>
        <v>7628.981022018801</v>
      </c>
      <c r="J276" s="21">
        <f>SUM(J4:J275)</f>
        <v>614.74462000000017</v>
      </c>
      <c r="K276" s="21">
        <f>SUM(K4:K275)</f>
        <v>1669.2900000000004</v>
      </c>
      <c r="L276" s="21">
        <f>SUM(L4:L275)</f>
        <v>19.400000000000002</v>
      </c>
      <c r="M276" s="21" t="e">
        <f>AVERAGE(M23,M34,M72,M57,M111,M154,M183,M191,M216,M229,M247,M274)</f>
        <v>#DIV/0!</v>
      </c>
    </row>
    <row r="278" spans="1:15" x14ac:dyDescent="0.2">
      <c r="F278" s="1" t="s">
        <v>270</v>
      </c>
    </row>
    <row r="280" spans="1:15" x14ac:dyDescent="0.2">
      <c r="A280" s="373" t="s">
        <v>309</v>
      </c>
      <c r="B280" s="373"/>
      <c r="C280" s="326"/>
    </row>
    <row r="281" spans="1:15" x14ac:dyDescent="0.2">
      <c r="H281" s="5" t="s">
        <v>310</v>
      </c>
      <c r="I281" s="5" t="s">
        <v>311</v>
      </c>
    </row>
    <row r="282" spans="1:15" x14ac:dyDescent="0.2">
      <c r="A282" s="4">
        <v>45610</v>
      </c>
      <c r="B282" s="4" t="s">
        <v>198</v>
      </c>
      <c r="C282" s="4"/>
      <c r="D282" s="4" t="s">
        <v>26</v>
      </c>
      <c r="E282" s="44">
        <f>+H282/G282</f>
        <v>14.498823529411764</v>
      </c>
      <c r="F282" s="44">
        <f>+I282/G282</f>
        <v>3.4114878892733562E-2</v>
      </c>
      <c r="G282" s="1">
        <v>425</v>
      </c>
      <c r="H282" s="5">
        <v>6162</v>
      </c>
      <c r="I282" s="5">
        <f>+H282/G282</f>
        <v>14.498823529411764</v>
      </c>
      <c r="L282" s="14">
        <v>0.72</v>
      </c>
      <c r="M282" s="45">
        <f>+(K282+J282)/H282*100</f>
        <v>0</v>
      </c>
    </row>
    <row r="283" spans="1:15" x14ac:dyDescent="0.2">
      <c r="A283" s="4">
        <v>45786</v>
      </c>
      <c r="B283" s="4" t="s">
        <v>198</v>
      </c>
      <c r="C283" s="4"/>
      <c r="D283" s="4" t="s">
        <v>26</v>
      </c>
      <c r="E283" s="44">
        <f>+H283/G283</f>
        <v>4.2236705882352936</v>
      </c>
      <c r="F283" s="44">
        <f>+I283/G283</f>
        <v>9.9380484429065739E-3</v>
      </c>
      <c r="G283" s="1">
        <v>425</v>
      </c>
      <c r="H283" s="5">
        <v>1795.06</v>
      </c>
      <c r="I283" s="5">
        <f>+H283/G283</f>
        <v>4.2236705882352936</v>
      </c>
      <c r="L283" s="14">
        <f>+L282</f>
        <v>0.72</v>
      </c>
      <c r="M283" s="45">
        <f>+(K283+J283)/H283*100</f>
        <v>0</v>
      </c>
      <c r="O283" s="1">
        <v>27.45</v>
      </c>
    </row>
    <row r="284" spans="1:15" x14ac:dyDescent="0.2">
      <c r="A284" s="4">
        <v>45905</v>
      </c>
      <c r="B284" s="4" t="s">
        <v>198</v>
      </c>
      <c r="C284" s="4"/>
      <c r="D284" s="4" t="s">
        <v>26</v>
      </c>
      <c r="E284" s="44">
        <f>+H284/G284</f>
        <v>2.202141176470588</v>
      </c>
      <c r="F284" s="44">
        <f>+I284/G284</f>
        <v>5.1815086505190306E-3</v>
      </c>
      <c r="G284" s="1">
        <v>425</v>
      </c>
      <c r="H284" s="5">
        <v>935.91</v>
      </c>
      <c r="I284" s="5">
        <f>+H284/G284</f>
        <v>2.202141176470588</v>
      </c>
      <c r="L284" s="14">
        <f>+L283</f>
        <v>0.72</v>
      </c>
      <c r="M284" s="45">
        <f>+(K284+J284)/H284*100</f>
        <v>0</v>
      </c>
    </row>
    <row r="285" spans="1:15" x14ac:dyDescent="0.2">
      <c r="I285" s="5">
        <f>SUM(I282:I284)</f>
        <v>20.924635294117646</v>
      </c>
    </row>
    <row r="287" spans="1:15" x14ac:dyDescent="0.2">
      <c r="A287" s="4">
        <v>45905</v>
      </c>
      <c r="B287" s="1" t="s">
        <v>306</v>
      </c>
      <c r="D287" s="4" t="s">
        <v>26</v>
      </c>
      <c r="E287" s="44">
        <f>+H287/G287</f>
        <v>0.2147</v>
      </c>
      <c r="F287" s="44">
        <f>+I287/G287</f>
        <v>2.1470000000000001E-4</v>
      </c>
      <c r="G287" s="1">
        <v>1000</v>
      </c>
      <c r="H287" s="5">
        <v>214.7</v>
      </c>
      <c r="I287" s="5">
        <f>+H287/G287</f>
        <v>0.2147</v>
      </c>
      <c r="L287" s="14">
        <f>+L283</f>
        <v>0.72</v>
      </c>
      <c r="M287" s="45">
        <f>+(K287+J287)/H287*100</f>
        <v>0</v>
      </c>
    </row>
    <row r="290" spans="1:13" x14ac:dyDescent="0.2">
      <c r="A290" s="4">
        <v>45905</v>
      </c>
      <c r="B290" s="1" t="s">
        <v>230</v>
      </c>
      <c r="D290" s="4" t="s">
        <v>26</v>
      </c>
      <c r="E290" s="44">
        <f>+H290/G290</f>
        <v>0.38</v>
      </c>
      <c r="F290" s="44">
        <f>+I290/G290</f>
        <v>9.0909090909090909E-4</v>
      </c>
      <c r="G290" s="1">
        <v>418</v>
      </c>
      <c r="H290" s="5">
        <v>158.84</v>
      </c>
      <c r="I290" s="5">
        <f>+H290/G290</f>
        <v>0.38</v>
      </c>
      <c r="L290" s="14">
        <f>+L283</f>
        <v>0.72</v>
      </c>
      <c r="M290" s="45">
        <f>+(K290+J290)/H290*100</f>
        <v>0</v>
      </c>
    </row>
  </sheetData>
  <autoFilter ref="A3:R20" xr:uid="{74A25EEE-FE21-8E49-B8DE-C430797BA2C8}"/>
  <mergeCells count="2">
    <mergeCell ref="O23:P23"/>
    <mergeCell ref="A280:B280"/>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16BF0-3EF8-8E4B-993B-AC9A5950BB52}">
  <sheetPr codeName="Hoja3">
    <tabColor theme="9"/>
  </sheetPr>
  <dimension ref="A1:T34"/>
  <sheetViews>
    <sheetView topLeftCell="G3" zoomScale="125" zoomScaleNormal="120" workbookViewId="0">
      <selection activeCell="R18" sqref="R18"/>
    </sheetView>
  </sheetViews>
  <sheetFormatPr baseColWidth="10" defaultColWidth="10.83203125" defaultRowHeight="16" x14ac:dyDescent="0.2"/>
  <cols>
    <col min="1" max="1" width="15.33203125" customWidth="1"/>
    <col min="3" max="3" width="12.33203125" customWidth="1"/>
    <col min="4" max="14" width="12" bestFit="1" customWidth="1"/>
    <col min="15" max="15" width="15.6640625" bestFit="1" customWidth="1"/>
    <col min="17" max="17" width="13" bestFit="1" customWidth="1"/>
    <col min="18" max="18" width="26" bestFit="1" customWidth="1"/>
    <col min="19" max="19" width="26.1640625" bestFit="1" customWidth="1"/>
  </cols>
  <sheetData>
    <row r="1" spans="1:20" s="1" customFormat="1" x14ac:dyDescent="0.2">
      <c r="C1" s="1">
        <v>1</v>
      </c>
      <c r="D1" s="1">
        <v>2</v>
      </c>
      <c r="E1" s="1">
        <v>3</v>
      </c>
      <c r="F1" s="1">
        <v>4</v>
      </c>
      <c r="G1" s="1">
        <v>5</v>
      </c>
      <c r="H1" s="1">
        <v>6</v>
      </c>
      <c r="I1" s="1">
        <v>7</v>
      </c>
      <c r="J1" s="1">
        <v>8</v>
      </c>
      <c r="K1" s="1">
        <v>9</v>
      </c>
      <c r="L1" s="1">
        <v>10</v>
      </c>
      <c r="M1" s="1">
        <v>11</v>
      </c>
      <c r="N1" s="1">
        <v>12</v>
      </c>
    </row>
    <row r="2" spans="1:20" s="36" customFormat="1" x14ac:dyDescent="0.2">
      <c r="C2" s="53" t="s">
        <v>52</v>
      </c>
      <c r="D2" s="53" t="s">
        <v>53</v>
      </c>
      <c r="E2" s="53" t="s">
        <v>54</v>
      </c>
      <c r="F2" s="53" t="s">
        <v>55</v>
      </c>
      <c r="G2" s="53" t="s">
        <v>56</v>
      </c>
      <c r="H2" s="53" t="s">
        <v>57</v>
      </c>
      <c r="I2" s="53" t="s">
        <v>58</v>
      </c>
      <c r="J2" s="53" t="s">
        <v>59</v>
      </c>
      <c r="K2" s="53" t="s">
        <v>60</v>
      </c>
      <c r="L2" s="53" t="s">
        <v>61</v>
      </c>
      <c r="M2" s="53" t="s">
        <v>62</v>
      </c>
      <c r="N2" s="53" t="s">
        <v>63</v>
      </c>
      <c r="Q2" s="35" t="str">
        <f ca="1">TEXT(TODAY(),"mmmm")</f>
        <v>abril</v>
      </c>
    </row>
    <row r="4" spans="1:20" x14ac:dyDescent="0.2">
      <c r="A4" s="39" t="s">
        <v>64</v>
      </c>
    </row>
    <row r="5" spans="1:20" x14ac:dyDescent="0.2">
      <c r="A5" s="37" t="s">
        <v>32</v>
      </c>
      <c r="C5" s="51">
        <f ca="1">+'2026'!Y261</f>
        <v>19793.335473900002</v>
      </c>
      <c r="D5" s="51">
        <f ca="1">+'2026'!Y271</f>
        <v>29908.234931999999</v>
      </c>
      <c r="E5" s="51">
        <f ca="1">+'2026'!Y287</f>
        <v>14263.371755</v>
      </c>
      <c r="F5" s="51">
        <f ca="1">+'2026'!Y297</f>
        <v>23622.941348</v>
      </c>
      <c r="G5" s="51">
        <f>+'2026'!Y308</f>
        <v>0</v>
      </c>
      <c r="H5" s="51">
        <f>+'2026'!Y324</f>
        <v>0</v>
      </c>
      <c r="I5" s="51">
        <f>+'2026'!Y334</f>
        <v>0</v>
      </c>
      <c r="J5" s="51">
        <f>+'2026'!Y346</f>
        <v>0</v>
      </c>
      <c r="K5" s="51">
        <f>+'2026'!Y355</f>
        <v>0</v>
      </c>
      <c r="L5" s="51">
        <f>+'2026'!Y363</f>
        <v>0</v>
      </c>
      <c r="M5" s="51">
        <f>+'2026'!Y373</f>
        <v>0</v>
      </c>
      <c r="N5" s="51">
        <f>+'2026'!Y380</f>
        <v>0</v>
      </c>
      <c r="O5" s="54">
        <f ca="1">SUM(C5:N5)</f>
        <v>87587.883508900006</v>
      </c>
      <c r="Q5" s="74"/>
    </row>
    <row r="6" spans="1:20" x14ac:dyDescent="0.2">
      <c r="A6" s="37" t="s">
        <v>33</v>
      </c>
      <c r="C6" s="64">
        <f ca="1">+'2026'!Z261</f>
        <v>15640.148354526104</v>
      </c>
      <c r="D6" s="64">
        <f ca="1">+'2026'!Z271</f>
        <v>23632.663225221055</v>
      </c>
      <c r="E6" s="64">
        <f ca="1">+'2026'!Z287</f>
        <v>11270.523382889052</v>
      </c>
      <c r="F6" s="64">
        <f ca="1">+'2026'!Z297</f>
        <v>18666.197404685863</v>
      </c>
      <c r="G6" s="64">
        <f>+'2026'!Z308</f>
        <v>0</v>
      </c>
      <c r="H6" s="64">
        <f>+'2026'!Z324</f>
        <v>0</v>
      </c>
      <c r="I6" s="64">
        <f>+'2026'!Z334</f>
        <v>0</v>
      </c>
      <c r="J6" s="64">
        <f>+'2026'!Z346</f>
        <v>0</v>
      </c>
      <c r="K6" s="64">
        <f>+'2026'!Z355</f>
        <v>0</v>
      </c>
      <c r="L6" s="64">
        <f>+'2026'!Z363</f>
        <v>0</v>
      </c>
      <c r="M6" s="64">
        <f>+'2026'!Z373</f>
        <v>0</v>
      </c>
      <c r="N6" s="64">
        <f>+'2026'!Z380</f>
        <v>0</v>
      </c>
      <c r="O6" s="54">
        <f ca="1">SUM(C6:N6)</f>
        <v>69209.53236732207</v>
      </c>
      <c r="Q6" s="74"/>
    </row>
    <row r="7" spans="1:20" x14ac:dyDescent="0.2">
      <c r="A7" s="39" t="s">
        <v>65</v>
      </c>
    </row>
    <row r="8" spans="1:20" x14ac:dyDescent="0.2">
      <c r="A8" s="37" t="s">
        <v>32</v>
      </c>
      <c r="C8" s="51">
        <f>+'dividendos 26'!H23</f>
        <v>4576.5095159999992</v>
      </c>
      <c r="D8" s="51">
        <f>+'dividendos 26'!H34</f>
        <v>1414.2292250000003</v>
      </c>
      <c r="E8" s="51">
        <f>+'dividendos 26'!H57</f>
        <v>1169.1406080000002</v>
      </c>
      <c r="F8" s="51">
        <f>+'dividendos 26'!H72</f>
        <v>2898.0888599999998</v>
      </c>
      <c r="G8" s="51">
        <f>+'dividendos 26'!H111</f>
        <v>0</v>
      </c>
      <c r="H8" s="51">
        <f>+'dividendos 26'!H154</f>
        <v>0</v>
      </c>
      <c r="I8" s="51">
        <f>+'dividendos 26'!H183</f>
        <v>0</v>
      </c>
      <c r="J8" s="51">
        <f>+'dividendos 26'!H191</f>
        <v>0</v>
      </c>
      <c r="K8" s="51">
        <f>+'dividendos 26'!H216</f>
        <v>0</v>
      </c>
      <c r="L8" s="51">
        <f>+'dividendos 26'!H229</f>
        <v>0</v>
      </c>
      <c r="M8" s="51">
        <f>+'dividendos 26'!H247</f>
        <v>0</v>
      </c>
      <c r="N8" s="51">
        <f>+'dividendos 26'!H274</f>
        <v>0</v>
      </c>
      <c r="O8" s="54">
        <f>SUM(C8:N8)</f>
        <v>10057.968208999999</v>
      </c>
    </row>
    <row r="9" spans="1:20" x14ac:dyDescent="0.2">
      <c r="A9" s="37" t="s">
        <v>33</v>
      </c>
      <c r="C9" s="64">
        <f>+'dividendos 26'!I23</f>
        <v>3593.5281800000002</v>
      </c>
      <c r="D9" s="64">
        <f>+'dividendos 26'!I34</f>
        <v>1080.2988906659</v>
      </c>
      <c r="E9" s="64">
        <f>+'dividendos 26'!I57</f>
        <v>761.08865535289999</v>
      </c>
      <c r="F9" s="64">
        <f>+'dividendos 26'!I72</f>
        <v>2194.0652960000002</v>
      </c>
      <c r="G9" s="64">
        <f>+'dividendos 26'!I111</f>
        <v>0</v>
      </c>
      <c r="H9" s="64">
        <f>+'dividendos 26'!I154</f>
        <v>0</v>
      </c>
      <c r="I9" s="64">
        <f>+'dividendos 26'!I183</f>
        <v>0</v>
      </c>
      <c r="J9" s="64">
        <f>+'dividendos 26'!I191</f>
        <v>0</v>
      </c>
      <c r="K9" s="64">
        <f>+'dividendos 26'!I216</f>
        <v>0</v>
      </c>
      <c r="L9" s="64">
        <f>+'dividendos 26'!I229</f>
        <v>0</v>
      </c>
      <c r="M9" s="64">
        <f>+'dividendos 26'!I247</f>
        <v>0</v>
      </c>
      <c r="N9" s="64">
        <f>+'dividendos 26'!I274</f>
        <v>0</v>
      </c>
      <c r="O9" s="54">
        <f>SUM(C9:N9)</f>
        <v>7628.981022018801</v>
      </c>
      <c r="Q9" s="74"/>
    </row>
    <row r="11" spans="1:20" ht="22" thickBot="1" x14ac:dyDescent="0.3">
      <c r="J11" s="385"/>
      <c r="K11" s="385"/>
      <c r="L11" s="385"/>
      <c r="N11" s="385"/>
      <c r="O11" s="385"/>
      <c r="R11" s="383" t="s">
        <v>117</v>
      </c>
      <c r="S11" s="383"/>
    </row>
    <row r="12" spans="1:20" ht="21" customHeight="1" thickBot="1" x14ac:dyDescent="0.35">
      <c r="I12" s="374" t="s">
        <v>272</v>
      </c>
      <c r="J12" s="381" t="s">
        <v>330</v>
      </c>
      <c r="K12" s="381"/>
      <c r="L12" s="384"/>
      <c r="M12" s="374" t="s">
        <v>273</v>
      </c>
      <c r="N12" s="381" t="s">
        <v>271</v>
      </c>
      <c r="O12" s="382"/>
      <c r="R12" s="127" t="s">
        <v>118</v>
      </c>
      <c r="S12" s="128" t="s">
        <v>119</v>
      </c>
    </row>
    <row r="13" spans="1:20" ht="25" customHeight="1" thickBot="1" x14ac:dyDescent="0.25">
      <c r="I13" s="375"/>
      <c r="J13" s="378">
        <f ca="1">+O19/14</f>
        <v>5488.4652420957773</v>
      </c>
      <c r="K13" s="378"/>
      <c r="L13" s="379"/>
      <c r="M13" s="375"/>
      <c r="N13" s="378">
        <f ca="1">_xlfn.XLOOKUP(TEXT(TODAY(),"mmmm"),C27:N27,C29:N29)</f>
        <v>19209.62834733522</v>
      </c>
      <c r="O13" s="380"/>
      <c r="R13" s="317">
        <f ca="1">+O18</f>
        <v>97645.85171789999</v>
      </c>
      <c r="S13" s="318">
        <f ca="1">+R13-S19-S20</f>
        <v>78826.35173352198</v>
      </c>
    </row>
    <row r="14" spans="1:20" ht="21" x14ac:dyDescent="0.25">
      <c r="A14" s="38" t="s">
        <v>66</v>
      </c>
      <c r="I14" s="374" t="s">
        <v>272</v>
      </c>
      <c r="J14" s="376" t="s">
        <v>329</v>
      </c>
      <c r="K14" s="376"/>
      <c r="L14" s="377"/>
      <c r="M14" s="374" t="s">
        <v>273</v>
      </c>
      <c r="N14" s="376" t="s">
        <v>329</v>
      </c>
      <c r="O14" s="376"/>
      <c r="S14" s="74"/>
    </row>
    <row r="15" spans="1:20" ht="25" thickBot="1" x14ac:dyDescent="0.25">
      <c r="A15" s="38"/>
      <c r="I15" s="375"/>
      <c r="J15" s="378">
        <f ca="1">+Histórico!F30</f>
        <v>12106.332199545226</v>
      </c>
      <c r="K15" s="378"/>
      <c r="L15" s="379"/>
      <c r="M15" s="375"/>
      <c r="N15" s="378">
        <f ca="1">+Histórico!J30</f>
        <v>14124.054232802764</v>
      </c>
      <c r="O15" s="380"/>
      <c r="R15" s="39" t="s">
        <v>418</v>
      </c>
      <c r="S15" s="354">
        <v>120800</v>
      </c>
      <c r="T15" s="39" t="s">
        <v>419</v>
      </c>
    </row>
    <row r="16" spans="1:20" x14ac:dyDescent="0.2">
      <c r="A16" s="38"/>
    </row>
    <row r="17" spans="1:20" x14ac:dyDescent="0.2">
      <c r="R17" s="97" t="s">
        <v>100</v>
      </c>
      <c r="S17" s="97" t="s">
        <v>100</v>
      </c>
    </row>
    <row r="18" spans="1:20" x14ac:dyDescent="0.2">
      <c r="A18" s="37" t="s">
        <v>32</v>
      </c>
      <c r="C18" s="105">
        <f ca="1">+C5+C8</f>
        <v>24369.844989900001</v>
      </c>
      <c r="D18" s="105">
        <f t="shared" ref="D18:J18" ca="1" si="0">+D5+D8</f>
        <v>31322.464156999999</v>
      </c>
      <c r="E18" s="105">
        <f t="shared" ca="1" si="0"/>
        <v>15432.512363</v>
      </c>
      <c r="F18" s="105">
        <f t="shared" ca="1" si="0"/>
        <v>26521.030208</v>
      </c>
      <c r="G18" s="105">
        <f t="shared" si="0"/>
        <v>0</v>
      </c>
      <c r="H18" s="105">
        <f t="shared" si="0"/>
        <v>0</v>
      </c>
      <c r="I18" s="105">
        <f t="shared" si="0"/>
        <v>0</v>
      </c>
      <c r="J18" s="105">
        <f t="shared" si="0"/>
        <v>0</v>
      </c>
      <c r="K18" s="105">
        <f>+K5+K8</f>
        <v>0</v>
      </c>
      <c r="L18" s="105">
        <f>+L5+L8</f>
        <v>0</v>
      </c>
      <c r="M18" s="105">
        <f>+M5+M8</f>
        <v>0</v>
      </c>
      <c r="N18" s="105">
        <f>+N5+N8</f>
        <v>0</v>
      </c>
      <c r="O18" s="125">
        <f ca="1">SUM(C18:N18)</f>
        <v>97645.85171789999</v>
      </c>
    </row>
    <row r="19" spans="1:20" x14ac:dyDescent="0.2">
      <c r="A19" s="37" t="s">
        <v>33</v>
      </c>
      <c r="C19" s="64">
        <f ca="1">+C6+C9</f>
        <v>19233.676534526105</v>
      </c>
      <c r="D19" s="64">
        <f ca="1">+D6+D9</f>
        <v>24712.962115886956</v>
      </c>
      <c r="E19" s="64">
        <f t="shared" ref="E19:K19" ca="1" si="1">+E6+E9</f>
        <v>12031.612038241952</v>
      </c>
      <c r="F19" s="64">
        <f t="shared" ca="1" si="1"/>
        <v>20860.262700685864</v>
      </c>
      <c r="G19" s="64">
        <f>+G6+G9</f>
        <v>0</v>
      </c>
      <c r="H19" s="64">
        <f t="shared" si="1"/>
        <v>0</v>
      </c>
      <c r="I19" s="64">
        <f t="shared" si="1"/>
        <v>0</v>
      </c>
      <c r="J19" s="64">
        <f t="shared" si="1"/>
        <v>0</v>
      </c>
      <c r="K19" s="64">
        <f t="shared" si="1"/>
        <v>0</v>
      </c>
      <c r="L19" s="64">
        <f>+L6+L9</f>
        <v>0</v>
      </c>
      <c r="M19" s="64">
        <f>+M6+M9</f>
        <v>0</v>
      </c>
      <c r="N19" s="64">
        <f>+N6+N9</f>
        <v>0</v>
      </c>
      <c r="O19" s="124">
        <f ca="1">SUM(C19:N19)</f>
        <v>76838.513389340878</v>
      </c>
      <c r="R19" s="115">
        <f>+N33</f>
        <v>0</v>
      </c>
      <c r="S19" s="115">
        <f ca="1">+IRPF!D35</f>
        <v>20488.789984378</v>
      </c>
      <c r="T19" t="s">
        <v>217</v>
      </c>
    </row>
    <row r="20" spans="1:20" x14ac:dyDescent="0.2">
      <c r="C20" s="51"/>
      <c r="D20" s="51"/>
      <c r="E20" s="51"/>
      <c r="F20" s="51"/>
      <c r="G20" s="51"/>
      <c r="H20" s="51"/>
      <c r="I20" s="51"/>
      <c r="J20" s="51"/>
      <c r="K20" s="51"/>
      <c r="L20" s="51"/>
      <c r="M20" s="51"/>
      <c r="N20" s="51"/>
      <c r="S20" s="315">
        <f>+IRPF!D36</f>
        <v>-1669.2900000000004</v>
      </c>
      <c r="T20" t="s">
        <v>264</v>
      </c>
    </row>
    <row r="21" spans="1:20" x14ac:dyDescent="0.2">
      <c r="A21" s="38" t="s">
        <v>67</v>
      </c>
      <c r="C21" s="51"/>
      <c r="D21" s="51"/>
      <c r="E21" s="51"/>
      <c r="F21" s="51"/>
      <c r="G21" s="51"/>
      <c r="H21" s="51"/>
      <c r="I21" s="51"/>
      <c r="J21" s="51"/>
      <c r="K21" s="51"/>
      <c r="L21" s="51"/>
      <c r="M21" s="51"/>
      <c r="N21" s="51"/>
      <c r="S21" s="74"/>
    </row>
    <row r="22" spans="1:20" x14ac:dyDescent="0.2">
      <c r="C22" s="51"/>
      <c r="D22" s="51"/>
      <c r="E22" s="51"/>
      <c r="F22" s="51"/>
      <c r="G22" s="51"/>
      <c r="H22" s="51"/>
      <c r="I22" s="51"/>
      <c r="J22" s="51"/>
      <c r="K22" s="51"/>
      <c r="L22" s="51"/>
      <c r="M22" s="51"/>
      <c r="N22" s="51"/>
      <c r="S22" s="315">
        <f ca="1">+S19+S20</f>
        <v>18819.499984377999</v>
      </c>
      <c r="T22" t="s">
        <v>265</v>
      </c>
    </row>
    <row r="23" spans="1:20" x14ac:dyDescent="0.2">
      <c r="A23" s="37" t="s">
        <v>32</v>
      </c>
      <c r="C23" s="51">
        <f ca="1">+C18</f>
        <v>24369.844989900001</v>
      </c>
      <c r="D23" s="51">
        <f t="shared" ref="D23:N23" ca="1" si="2">+D18+C23</f>
        <v>55692.309146899999</v>
      </c>
      <c r="E23" s="51">
        <f t="shared" ca="1" si="2"/>
        <v>71124.821509899994</v>
      </c>
      <c r="F23" s="51">
        <f ca="1">+F18+E23</f>
        <v>97645.85171789999</v>
      </c>
      <c r="G23" s="51">
        <f t="shared" ca="1" si="2"/>
        <v>97645.85171789999</v>
      </c>
      <c r="H23" s="51">
        <f t="shared" ca="1" si="2"/>
        <v>97645.85171789999</v>
      </c>
      <c r="I23" s="51">
        <f t="shared" ca="1" si="2"/>
        <v>97645.85171789999</v>
      </c>
      <c r="J23" s="51">
        <f t="shared" ca="1" si="2"/>
        <v>97645.85171789999</v>
      </c>
      <c r="K23" s="51">
        <f ca="1">+K18+J23</f>
        <v>97645.85171789999</v>
      </c>
      <c r="L23" s="51">
        <f t="shared" ca="1" si="2"/>
        <v>97645.85171789999</v>
      </c>
      <c r="M23" s="51">
        <f t="shared" ca="1" si="2"/>
        <v>97645.85171789999</v>
      </c>
      <c r="N23" s="51">
        <f t="shared" ca="1" si="2"/>
        <v>97645.85171789999</v>
      </c>
    </row>
    <row r="24" spans="1:20" x14ac:dyDescent="0.2">
      <c r="A24" s="37" t="s">
        <v>33</v>
      </c>
      <c r="C24" s="51">
        <f ca="1">+C19</f>
        <v>19233.676534526105</v>
      </c>
      <c r="D24" s="51">
        <f ca="1">+D19+C24</f>
        <v>43946.638650413064</v>
      </c>
      <c r="E24" s="51">
        <f t="shared" ref="E24:M24" ca="1" si="3">+E19+D24</f>
        <v>55978.250688655018</v>
      </c>
      <c r="F24" s="51">
        <f t="shared" ca="1" si="3"/>
        <v>76838.513389340878</v>
      </c>
      <c r="G24" s="51">
        <f t="shared" ca="1" si="3"/>
        <v>76838.513389340878</v>
      </c>
      <c r="H24" s="51">
        <f ca="1">+H19+G24</f>
        <v>76838.513389340878</v>
      </c>
      <c r="I24" s="51">
        <f t="shared" ca="1" si="3"/>
        <v>76838.513389340878</v>
      </c>
      <c r="J24" s="51">
        <f t="shared" ca="1" si="3"/>
        <v>76838.513389340878</v>
      </c>
      <c r="K24" s="51">
        <f ca="1">+K19+J24</f>
        <v>76838.513389340878</v>
      </c>
      <c r="L24" s="51">
        <f t="shared" ca="1" si="3"/>
        <v>76838.513389340878</v>
      </c>
      <c r="M24" s="51">
        <f t="shared" ca="1" si="3"/>
        <v>76838.513389340878</v>
      </c>
      <c r="N24" s="51">
        <f ca="1">+N19+M24</f>
        <v>76838.513389340878</v>
      </c>
      <c r="O24" s="74"/>
      <c r="P24" s="74"/>
      <c r="R24" s="51"/>
      <c r="S24" s="51"/>
    </row>
    <row r="26" spans="1:20" x14ac:dyDescent="0.2">
      <c r="A26" s="38" t="s">
        <v>86</v>
      </c>
      <c r="S26" s="74"/>
    </row>
    <row r="27" spans="1:20" x14ac:dyDescent="0.2">
      <c r="C27" s="52" t="s">
        <v>52</v>
      </c>
      <c r="D27" s="52" t="s">
        <v>120</v>
      </c>
      <c r="E27" s="52" t="s">
        <v>54</v>
      </c>
      <c r="F27" s="52" t="s">
        <v>55</v>
      </c>
      <c r="G27" s="52" t="s">
        <v>56</v>
      </c>
      <c r="H27" s="52" t="s">
        <v>57</v>
      </c>
      <c r="I27" s="52" t="s">
        <v>58</v>
      </c>
      <c r="J27" s="52" t="s">
        <v>59</v>
      </c>
      <c r="K27" s="52" t="s">
        <v>60</v>
      </c>
      <c r="L27" s="52" t="s">
        <v>61</v>
      </c>
      <c r="M27" s="52" t="s">
        <v>62</v>
      </c>
      <c r="N27" s="52" t="s">
        <v>63</v>
      </c>
    </row>
    <row r="28" spans="1:20" x14ac:dyDescent="0.2">
      <c r="A28" s="37" t="s">
        <v>32</v>
      </c>
      <c r="C28" s="52">
        <f t="shared" ref="C28:N28" ca="1" si="4">+C23/C1</f>
        <v>24369.844989900001</v>
      </c>
      <c r="D28" s="52">
        <f t="shared" ca="1" si="4"/>
        <v>27846.15457345</v>
      </c>
      <c r="E28" s="52">
        <f t="shared" ca="1" si="4"/>
        <v>23708.273836633332</v>
      </c>
      <c r="F28" s="52">
        <f t="shared" ca="1" si="4"/>
        <v>24411.462929474998</v>
      </c>
      <c r="G28" s="52">
        <f t="shared" ca="1" si="4"/>
        <v>19529.170343579997</v>
      </c>
      <c r="H28" s="52">
        <f t="shared" ca="1" si="4"/>
        <v>16274.308619649999</v>
      </c>
      <c r="I28" s="52">
        <f t="shared" ca="1" si="4"/>
        <v>13949.407388271427</v>
      </c>
      <c r="J28" s="52">
        <f t="shared" ca="1" si="4"/>
        <v>12205.731464737499</v>
      </c>
      <c r="K28" s="52">
        <f t="shared" ca="1" si="4"/>
        <v>10849.539079766666</v>
      </c>
      <c r="L28" s="52">
        <f t="shared" ca="1" si="4"/>
        <v>9764.5851717899986</v>
      </c>
      <c r="M28" s="52">
        <f t="shared" ca="1" si="4"/>
        <v>8876.8956107181803</v>
      </c>
      <c r="N28" s="52">
        <f t="shared" ca="1" si="4"/>
        <v>8137.1543098249995</v>
      </c>
    </row>
    <row r="29" spans="1:20" x14ac:dyDescent="0.2">
      <c r="A29" s="37" t="s">
        <v>33</v>
      </c>
      <c r="C29" s="248">
        <f ca="1">+C24/C1</f>
        <v>19233.676534526105</v>
      </c>
      <c r="D29" s="248">
        <f ca="1">+D24/D1</f>
        <v>21973.319325206532</v>
      </c>
      <c r="E29" s="248">
        <f t="shared" ref="E29:N29" ca="1" si="5">+E24/E1</f>
        <v>18659.416896218339</v>
      </c>
      <c r="F29" s="248">
        <f t="shared" ca="1" si="5"/>
        <v>19209.62834733522</v>
      </c>
      <c r="G29" s="248">
        <f t="shared" ca="1" si="5"/>
        <v>15367.702677868176</v>
      </c>
      <c r="H29" s="248">
        <f t="shared" ca="1" si="5"/>
        <v>12806.418898223479</v>
      </c>
      <c r="I29" s="248">
        <f t="shared" ca="1" si="5"/>
        <v>10976.930484191555</v>
      </c>
      <c r="J29" s="248">
        <f t="shared" ca="1" si="5"/>
        <v>9604.8141736676098</v>
      </c>
      <c r="K29" s="248">
        <f t="shared" ca="1" si="5"/>
        <v>8537.6125988156527</v>
      </c>
      <c r="L29" s="248">
        <f t="shared" ca="1" si="5"/>
        <v>7683.8513389340878</v>
      </c>
      <c r="M29" s="248">
        <f t="shared" ca="1" si="5"/>
        <v>6985.3193990309892</v>
      </c>
      <c r="N29" s="248">
        <f t="shared" ca="1" si="5"/>
        <v>6403.2094491117396</v>
      </c>
    </row>
    <row r="31" spans="1:20" x14ac:dyDescent="0.2">
      <c r="A31" s="38" t="s">
        <v>100</v>
      </c>
      <c r="E31" s="74"/>
    </row>
    <row r="33" spans="1:18" ht="21" x14ac:dyDescent="0.25">
      <c r="A33" t="s">
        <v>101</v>
      </c>
      <c r="C33" s="74">
        <f ca="1">+C5-C6</f>
        <v>4153.1871193738989</v>
      </c>
      <c r="D33" s="74">
        <f t="shared" ref="D33:N33" ca="1" si="6">+D5-D6</f>
        <v>6275.5717067789446</v>
      </c>
      <c r="E33" s="74">
        <f t="shared" ca="1" si="6"/>
        <v>2992.8483721109478</v>
      </c>
      <c r="F33" s="74">
        <f t="shared" ca="1" si="6"/>
        <v>4956.7439433141371</v>
      </c>
      <c r="G33" s="74">
        <f t="shared" si="6"/>
        <v>0</v>
      </c>
      <c r="H33" s="74">
        <f t="shared" si="6"/>
        <v>0</v>
      </c>
      <c r="I33" s="74">
        <f t="shared" si="6"/>
        <v>0</v>
      </c>
      <c r="J33" s="74">
        <f t="shared" si="6"/>
        <v>0</v>
      </c>
      <c r="K33" s="74">
        <f t="shared" si="6"/>
        <v>0</v>
      </c>
      <c r="L33" s="74">
        <f t="shared" si="6"/>
        <v>0</v>
      </c>
      <c r="M33" s="74">
        <f t="shared" si="6"/>
        <v>0</v>
      </c>
      <c r="N33" s="74">
        <f t="shared" si="6"/>
        <v>0</v>
      </c>
      <c r="O33" s="142">
        <f ca="1">+IRPF!D37</f>
        <v>18819.499984377999</v>
      </c>
      <c r="P33" s="142" t="s">
        <v>100</v>
      </c>
      <c r="Q33" s="353">
        <f ca="1">+O33-'2026'!Z403</f>
        <v>0</v>
      </c>
      <c r="R33" t="s">
        <v>417</v>
      </c>
    </row>
    <row r="34" spans="1:18" x14ac:dyDescent="0.2">
      <c r="A34" t="s">
        <v>67</v>
      </c>
      <c r="C34" s="74">
        <f ca="1">+C33</f>
        <v>4153.1871193738989</v>
      </c>
      <c r="D34" s="74">
        <f ca="1">+C34+D33</f>
        <v>10428.758826152844</v>
      </c>
      <c r="E34" s="74">
        <f t="shared" ref="E34:N34" ca="1" si="7">+D34+E33</f>
        <v>13421.607198263791</v>
      </c>
      <c r="F34" s="74">
        <f t="shared" ca="1" si="7"/>
        <v>18378.351141577929</v>
      </c>
      <c r="G34" s="74">
        <f t="shared" ca="1" si="7"/>
        <v>18378.351141577929</v>
      </c>
      <c r="H34" s="74">
        <f t="shared" ca="1" si="7"/>
        <v>18378.351141577929</v>
      </c>
      <c r="I34" s="74">
        <f t="shared" ca="1" si="7"/>
        <v>18378.351141577929</v>
      </c>
      <c r="J34" s="74">
        <f t="shared" ca="1" si="7"/>
        <v>18378.351141577929</v>
      </c>
      <c r="K34" s="74">
        <f t="shared" ca="1" si="7"/>
        <v>18378.351141577929</v>
      </c>
      <c r="L34" s="74">
        <f t="shared" ca="1" si="7"/>
        <v>18378.351141577929</v>
      </c>
      <c r="M34" s="74">
        <f t="shared" ca="1" si="7"/>
        <v>18378.351141577929</v>
      </c>
      <c r="N34" s="74">
        <f t="shared" ca="1" si="7"/>
        <v>18378.351141577929</v>
      </c>
      <c r="O34" s="74"/>
    </row>
  </sheetData>
  <mergeCells count="15">
    <mergeCell ref="I12:I13"/>
    <mergeCell ref="M12:M13"/>
    <mergeCell ref="N12:O12"/>
    <mergeCell ref="N13:O13"/>
    <mergeCell ref="R11:S11"/>
    <mergeCell ref="J12:L12"/>
    <mergeCell ref="J13:L13"/>
    <mergeCell ref="J11:L11"/>
    <mergeCell ref="N11:O11"/>
    <mergeCell ref="I14:I15"/>
    <mergeCell ref="J14:L14"/>
    <mergeCell ref="M14:M15"/>
    <mergeCell ref="N14:O14"/>
    <mergeCell ref="J15:L15"/>
    <mergeCell ref="N15:O15"/>
  </mergeCells>
  <phoneticPr fontId="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4065E-62F9-BD4D-8C57-29BD7EFA067C}">
  <sheetPr>
    <tabColor theme="5" tint="0.39997558519241921"/>
  </sheetPr>
  <dimension ref="A2:Q43"/>
  <sheetViews>
    <sheetView topLeftCell="A19" zoomScale="121" workbookViewId="0">
      <selection activeCell="J30" sqref="J30:L30"/>
    </sheetView>
  </sheetViews>
  <sheetFormatPr baseColWidth="10" defaultRowHeight="16" x14ac:dyDescent="0.2"/>
  <cols>
    <col min="3" max="4" width="12.1640625" bestFit="1" customWidth="1"/>
    <col min="5" max="5" width="12.5" bestFit="1" customWidth="1"/>
    <col min="6" max="8" width="12.1640625" bestFit="1" customWidth="1"/>
    <col min="9" max="9" width="12.5" bestFit="1" customWidth="1"/>
    <col min="10" max="12" width="12.1640625" bestFit="1" customWidth="1"/>
    <col min="13" max="13" width="13.1640625" bestFit="1" customWidth="1"/>
    <col min="14" max="14" width="13.33203125" bestFit="1" customWidth="1"/>
    <col min="15" max="15" width="3" customWidth="1"/>
    <col min="16" max="16" width="12.33203125" bestFit="1" customWidth="1"/>
  </cols>
  <sheetData>
    <row r="2" spans="1:17" s="36" customFormat="1" x14ac:dyDescent="0.2">
      <c r="A2" s="36" t="s">
        <v>250</v>
      </c>
      <c r="C2" s="36">
        <v>1</v>
      </c>
      <c r="D2" s="36">
        <v>2</v>
      </c>
      <c r="E2" s="36">
        <v>3</v>
      </c>
      <c r="F2" s="36">
        <v>4</v>
      </c>
      <c r="G2" s="36">
        <v>5</v>
      </c>
      <c r="H2" s="36">
        <v>6</v>
      </c>
      <c r="I2" s="36">
        <v>7</v>
      </c>
      <c r="J2" s="36">
        <v>8</v>
      </c>
      <c r="K2" s="36">
        <v>9</v>
      </c>
      <c r="L2" s="36">
        <v>10</v>
      </c>
      <c r="M2" s="36">
        <v>11</v>
      </c>
      <c r="N2" s="36">
        <v>12</v>
      </c>
      <c r="P2" s="36" t="s">
        <v>251</v>
      </c>
    </row>
    <row r="3" spans="1:17" s="36" customFormat="1" x14ac:dyDescent="0.2">
      <c r="C3" s="53" t="s">
        <v>52</v>
      </c>
      <c r="D3" s="53" t="s">
        <v>53</v>
      </c>
      <c r="E3" s="53" t="s">
        <v>54</v>
      </c>
      <c r="F3" s="53" t="s">
        <v>55</v>
      </c>
      <c r="G3" s="53" t="s">
        <v>56</v>
      </c>
      <c r="H3" s="53" t="s">
        <v>57</v>
      </c>
      <c r="I3" s="53" t="s">
        <v>58</v>
      </c>
      <c r="J3" s="53" t="s">
        <v>59</v>
      </c>
      <c r="K3" s="53" t="s">
        <v>60</v>
      </c>
      <c r="L3" s="53" t="s">
        <v>61</v>
      </c>
      <c r="M3" s="53" t="s">
        <v>62</v>
      </c>
      <c r="N3" s="53" t="s">
        <v>63</v>
      </c>
      <c r="Q3" s="35"/>
    </row>
    <row r="5" spans="1:17" x14ac:dyDescent="0.2">
      <c r="A5" s="36">
        <v>2024</v>
      </c>
      <c r="C5" s="161">
        <v>9716.0952894030015</v>
      </c>
      <c r="D5" s="161">
        <v>4470.7179352640005</v>
      </c>
      <c r="E5" s="161">
        <v>7279.6335275171195</v>
      </c>
      <c r="F5" s="161">
        <v>10175.482998757996</v>
      </c>
      <c r="G5" s="161">
        <v>18133.012342938</v>
      </c>
      <c r="H5" s="161">
        <v>148819.05828439997</v>
      </c>
      <c r="I5" s="161">
        <v>16324.325538249999</v>
      </c>
      <c r="J5" s="161">
        <v>5375.3864080164003</v>
      </c>
      <c r="K5" s="161">
        <v>10338.175045295002</v>
      </c>
      <c r="L5" s="161">
        <v>2848.9009869500005</v>
      </c>
      <c r="M5" s="161">
        <v>12557.822934884</v>
      </c>
      <c r="N5" s="161">
        <v>-34039.310452910009</v>
      </c>
      <c r="P5" s="51">
        <f>SUM(C5:O5)</f>
        <v>211999.30083876551</v>
      </c>
    </row>
    <row r="6" spans="1:17" x14ac:dyDescent="0.2">
      <c r="A6" s="36"/>
      <c r="C6" s="161"/>
      <c r="D6" s="161"/>
      <c r="E6" s="161"/>
      <c r="F6" s="161"/>
      <c r="G6" s="161"/>
      <c r="H6" s="161"/>
      <c r="I6" s="161"/>
      <c r="J6" s="161"/>
      <c r="K6" s="161"/>
      <c r="L6" s="161"/>
      <c r="M6" s="161"/>
      <c r="N6" s="161"/>
    </row>
    <row r="7" spans="1:17" x14ac:dyDescent="0.2">
      <c r="A7" s="36">
        <v>2025</v>
      </c>
      <c r="C7" s="161">
        <v>33423.050563438606</v>
      </c>
      <c r="D7" s="161">
        <v>13768.642264471619</v>
      </c>
      <c r="E7" s="161">
        <v>10974.252583836285</v>
      </c>
      <c r="F7" s="161">
        <v>5388.5775084130773</v>
      </c>
      <c r="G7" s="161">
        <v>37052.066753284322</v>
      </c>
      <c r="H7" s="161">
        <v>12824.079481436354</v>
      </c>
      <c r="I7" s="161">
        <v>29390.147982296541</v>
      </c>
      <c r="J7" s="161">
        <v>9616.4685090156672</v>
      </c>
      <c r="K7" s="161">
        <v>10239.210763183362</v>
      </c>
      <c r="L7" s="161">
        <v>39952.330325651528</v>
      </c>
      <c r="M7" s="161">
        <v>7596.4198458521523</v>
      </c>
      <c r="N7" s="161">
        <v>9402.8915719136057</v>
      </c>
      <c r="P7" s="51">
        <f>SUM(C7:O7)</f>
        <v>219628.13815279314</v>
      </c>
    </row>
    <row r="8" spans="1:17" x14ac:dyDescent="0.2">
      <c r="A8" s="36"/>
      <c r="C8" s="161"/>
      <c r="D8" s="161"/>
      <c r="E8" s="161"/>
      <c r="F8" s="161"/>
      <c r="G8" s="161"/>
      <c r="H8" s="161"/>
      <c r="I8" s="161"/>
      <c r="J8" s="161"/>
      <c r="K8" s="161"/>
      <c r="L8" s="161"/>
      <c r="M8" s="161"/>
      <c r="N8" s="161"/>
    </row>
    <row r="9" spans="1:17" x14ac:dyDescent="0.2">
      <c r="A9" s="36">
        <v>2026</v>
      </c>
      <c r="C9" s="161">
        <f ca="1">+Mensual!C19</f>
        <v>19233.676534526105</v>
      </c>
      <c r="D9" s="161">
        <f ca="1">+Mensual!D19</f>
        <v>24712.962115886956</v>
      </c>
      <c r="E9" s="161">
        <f ca="1">+Mensual!E19</f>
        <v>12031.612038241952</v>
      </c>
      <c r="F9" s="161">
        <f ca="1">+Mensual!F19</f>
        <v>20860.262700685864</v>
      </c>
      <c r="G9" s="161">
        <f>+Mensual!G19</f>
        <v>0</v>
      </c>
      <c r="H9" s="161">
        <f>+Mensual!H19</f>
        <v>0</v>
      </c>
      <c r="I9" s="161">
        <f>+Mensual!I19</f>
        <v>0</v>
      </c>
      <c r="J9" s="161">
        <f>+Mensual!J19</f>
        <v>0</v>
      </c>
      <c r="K9" s="161">
        <f>+Mensual!K19</f>
        <v>0</v>
      </c>
      <c r="L9" s="161">
        <f>+Mensual!L19</f>
        <v>0</v>
      </c>
      <c r="M9" s="161">
        <f>+Mensual!M19</f>
        <v>0</v>
      </c>
      <c r="N9" s="161">
        <f>+Mensual!N19</f>
        <v>0</v>
      </c>
      <c r="P9" s="51">
        <f ca="1">SUM(C9:O9)</f>
        <v>76838.513389340878</v>
      </c>
    </row>
    <row r="10" spans="1:17" x14ac:dyDescent="0.2">
      <c r="A10" s="36"/>
      <c r="C10" s="161"/>
      <c r="D10" s="161"/>
      <c r="E10" s="161"/>
      <c r="F10" s="161"/>
      <c r="G10" s="161"/>
      <c r="H10" s="161"/>
      <c r="I10" s="161"/>
      <c r="J10" s="161"/>
      <c r="K10" s="161"/>
      <c r="L10" s="161"/>
      <c r="M10" s="161"/>
      <c r="N10" s="161"/>
      <c r="P10" s="51"/>
    </row>
    <row r="11" spans="1:17" x14ac:dyDescent="0.2">
      <c r="A11" s="36">
        <v>2027</v>
      </c>
      <c r="C11" s="161">
        <v>0</v>
      </c>
      <c r="D11" s="161">
        <v>0</v>
      </c>
      <c r="E11" s="161">
        <v>0</v>
      </c>
      <c r="F11" s="161">
        <v>0</v>
      </c>
      <c r="G11" s="161">
        <v>0</v>
      </c>
      <c r="H11" s="161">
        <v>0</v>
      </c>
      <c r="I11" s="161">
        <v>0</v>
      </c>
      <c r="J11" s="161">
        <v>0</v>
      </c>
      <c r="K11" s="161">
        <v>0</v>
      </c>
      <c r="L11" s="161">
        <v>0</v>
      </c>
      <c r="M11" s="161">
        <v>0</v>
      </c>
      <c r="N11" s="161">
        <v>0</v>
      </c>
      <c r="P11" s="51">
        <f>SUM(C11:O11)</f>
        <v>0</v>
      </c>
    </row>
    <row r="12" spans="1:17" x14ac:dyDescent="0.2">
      <c r="A12" s="36"/>
      <c r="C12" s="161"/>
      <c r="D12" s="161"/>
      <c r="E12" s="161"/>
      <c r="F12" s="161"/>
      <c r="G12" s="161"/>
      <c r="H12" s="161"/>
      <c r="I12" s="161"/>
      <c r="J12" s="161"/>
      <c r="K12" s="161"/>
      <c r="L12" s="161"/>
      <c r="M12" s="161"/>
      <c r="N12" s="161"/>
      <c r="P12" s="51"/>
    </row>
    <row r="13" spans="1:17" x14ac:dyDescent="0.2">
      <c r="A13" s="36">
        <v>2028</v>
      </c>
      <c r="C13" s="161">
        <v>0</v>
      </c>
      <c r="D13" s="161">
        <v>0</v>
      </c>
      <c r="E13" s="161">
        <v>0</v>
      </c>
      <c r="F13" s="161">
        <v>0</v>
      </c>
      <c r="G13" s="161">
        <v>0</v>
      </c>
      <c r="H13" s="161">
        <v>0</v>
      </c>
      <c r="I13" s="161">
        <v>0</v>
      </c>
      <c r="J13" s="161">
        <v>0</v>
      </c>
      <c r="K13" s="161">
        <v>0</v>
      </c>
      <c r="L13" s="161">
        <v>0</v>
      </c>
      <c r="M13" s="161">
        <v>0</v>
      </c>
      <c r="N13" s="161">
        <v>0</v>
      </c>
      <c r="P13" s="51">
        <f>SUM(C13:O13)</f>
        <v>0</v>
      </c>
    </row>
    <row r="14" spans="1:17" x14ac:dyDescent="0.2">
      <c r="A14" s="36"/>
      <c r="C14" s="161"/>
      <c r="D14" s="161"/>
      <c r="E14" s="161"/>
      <c r="F14" s="161"/>
      <c r="G14" s="161"/>
      <c r="H14" s="161"/>
      <c r="I14" s="161"/>
      <c r="J14" s="161"/>
      <c r="K14" s="161"/>
      <c r="L14" s="161"/>
      <c r="M14" s="161"/>
      <c r="N14" s="161"/>
      <c r="P14" s="51"/>
    </row>
    <row r="15" spans="1:17" x14ac:dyDescent="0.2">
      <c r="A15" s="36">
        <v>2029</v>
      </c>
      <c r="C15" s="161">
        <v>0</v>
      </c>
      <c r="D15" s="161">
        <v>0</v>
      </c>
      <c r="E15" s="161">
        <v>0</v>
      </c>
      <c r="F15" s="161">
        <v>0</v>
      </c>
      <c r="G15" s="161">
        <v>0</v>
      </c>
      <c r="H15" s="161">
        <v>0</v>
      </c>
      <c r="I15" s="161">
        <v>0</v>
      </c>
      <c r="J15" s="161">
        <v>0</v>
      </c>
      <c r="K15" s="161">
        <v>0</v>
      </c>
      <c r="L15" s="161">
        <v>0</v>
      </c>
      <c r="M15" s="161">
        <v>0</v>
      </c>
      <c r="N15" s="161">
        <v>0</v>
      </c>
      <c r="P15" s="51">
        <f>SUM(C15:O15)</f>
        <v>0</v>
      </c>
    </row>
    <row r="17" spans="1:16" x14ac:dyDescent="0.2">
      <c r="A17" s="36">
        <v>2030</v>
      </c>
      <c r="C17" s="161">
        <v>0</v>
      </c>
      <c r="D17" s="161">
        <v>0</v>
      </c>
      <c r="E17" s="161">
        <v>0</v>
      </c>
      <c r="F17" s="161">
        <v>0</v>
      </c>
      <c r="G17" s="161">
        <v>0</v>
      </c>
      <c r="H17" s="161">
        <v>0</v>
      </c>
      <c r="I17" s="161">
        <v>0</v>
      </c>
      <c r="J17" s="161">
        <v>0</v>
      </c>
      <c r="K17" s="161">
        <v>0</v>
      </c>
      <c r="L17" s="161">
        <v>0</v>
      </c>
      <c r="M17" s="161">
        <v>0</v>
      </c>
      <c r="N17" s="161">
        <v>0</v>
      </c>
      <c r="P17" s="51">
        <f>SUM(C17:O17)</f>
        <v>0</v>
      </c>
    </row>
    <row r="21" spans="1:16" x14ac:dyDescent="0.2">
      <c r="F21" s="390" t="s">
        <v>253</v>
      </c>
      <c r="G21" s="390"/>
      <c r="H21" s="390"/>
      <c r="J21" s="390" t="s">
        <v>254</v>
      </c>
      <c r="K21" s="390"/>
      <c r="L21" s="390"/>
    </row>
    <row r="22" spans="1:16" ht="17" thickBot="1" x14ac:dyDescent="0.25"/>
    <row r="23" spans="1:16" ht="21" customHeight="1" x14ac:dyDescent="0.25">
      <c r="C23" s="36" t="s">
        <v>267</v>
      </c>
      <c r="E23" s="391">
        <v>14</v>
      </c>
      <c r="F23" s="386" t="s">
        <v>252</v>
      </c>
      <c r="G23" s="386"/>
      <c r="H23" s="386"/>
      <c r="I23" s="391">
        <v>12</v>
      </c>
      <c r="J23" s="386" t="s">
        <v>252</v>
      </c>
      <c r="K23" s="386"/>
      <c r="L23" s="387"/>
    </row>
    <row r="24" spans="1:16" ht="25" thickBot="1" x14ac:dyDescent="0.25">
      <c r="C24" s="36"/>
      <c r="E24" s="392"/>
      <c r="F24" s="388">
        <f>+P5/14</f>
        <v>15142.807202768965</v>
      </c>
      <c r="G24" s="388"/>
      <c r="H24" s="388"/>
      <c r="I24" s="392"/>
      <c r="J24" s="388">
        <f>+P5/12</f>
        <v>17666.608403230461</v>
      </c>
      <c r="K24" s="388"/>
      <c r="L24" s="389"/>
    </row>
    <row r="25" spans="1:16" ht="17" thickBot="1" x14ac:dyDescent="0.25">
      <c r="C25" s="36"/>
      <c r="E25" s="392"/>
      <c r="I25" s="392"/>
      <c r="N25" s="74"/>
    </row>
    <row r="26" spans="1:16" ht="21" x14ac:dyDescent="0.25">
      <c r="C26" s="36" t="s">
        <v>268</v>
      </c>
      <c r="E26" s="392"/>
      <c r="F26" s="386" t="s">
        <v>252</v>
      </c>
      <c r="G26" s="386"/>
      <c r="H26" s="386"/>
      <c r="I26" s="392"/>
      <c r="J26" s="386" t="s">
        <v>252</v>
      </c>
      <c r="K26" s="386"/>
      <c r="L26" s="387"/>
    </row>
    <row r="27" spans="1:16" ht="25" thickBot="1" x14ac:dyDescent="0.25">
      <c r="C27" s="36"/>
      <c r="E27" s="392"/>
      <c r="F27" s="388">
        <f>AVERAGE(P5,P7)/14</f>
        <v>15415.265678269951</v>
      </c>
      <c r="G27" s="388"/>
      <c r="H27" s="388"/>
      <c r="I27" s="392"/>
      <c r="J27" s="388">
        <f>AVERAGE(P5,P7)/12</f>
        <v>17984.476624648276</v>
      </c>
      <c r="K27" s="388"/>
      <c r="L27" s="389"/>
    </row>
    <row r="28" spans="1:16" ht="17" thickBot="1" x14ac:dyDescent="0.25">
      <c r="C28" s="36"/>
      <c r="E28" s="392"/>
      <c r="I28" s="392"/>
    </row>
    <row r="29" spans="1:16" ht="21" x14ac:dyDescent="0.25">
      <c r="C29" s="36" t="s">
        <v>269</v>
      </c>
      <c r="E29" s="392"/>
      <c r="F29" s="386" t="s">
        <v>252</v>
      </c>
      <c r="G29" s="386"/>
      <c r="H29" s="386"/>
      <c r="I29" s="392"/>
      <c r="J29" s="386" t="s">
        <v>252</v>
      </c>
      <c r="K29" s="386"/>
      <c r="L29" s="387"/>
    </row>
    <row r="30" spans="1:16" ht="25" thickBot="1" x14ac:dyDescent="0.25">
      <c r="E30" s="392"/>
      <c r="F30" s="388">
        <f ca="1">AVERAGE(P5,P7,P9)/14</f>
        <v>12106.332199545226</v>
      </c>
      <c r="G30" s="388"/>
      <c r="H30" s="388"/>
      <c r="I30" s="392"/>
      <c r="J30" s="388">
        <f ca="1">AVERAGE(P5,P7,P9)/12</f>
        <v>14124.054232802764</v>
      </c>
      <c r="K30" s="388"/>
      <c r="L30" s="389"/>
    </row>
    <row r="31" spans="1:16" ht="17" thickBot="1" x14ac:dyDescent="0.25">
      <c r="C31" s="36"/>
      <c r="E31" s="392"/>
      <c r="I31" s="392"/>
    </row>
    <row r="32" spans="1:16" ht="21" x14ac:dyDescent="0.25">
      <c r="C32" s="36" t="s">
        <v>277</v>
      </c>
      <c r="E32" s="392"/>
      <c r="F32" s="386" t="s">
        <v>252</v>
      </c>
      <c r="G32" s="386"/>
      <c r="H32" s="386"/>
      <c r="I32" s="392"/>
      <c r="J32" s="386" t="s">
        <v>252</v>
      </c>
      <c r="K32" s="386"/>
      <c r="L32" s="387"/>
    </row>
    <row r="33" spans="3:12" ht="25" thickBot="1" x14ac:dyDescent="0.25">
      <c r="E33" s="392"/>
      <c r="F33" s="388">
        <f ca="1">AVERAGE(P5,P7,P9,P11)/14</f>
        <v>9079.7491496589191</v>
      </c>
      <c r="G33" s="388"/>
      <c r="H33" s="388"/>
      <c r="I33" s="392"/>
      <c r="J33" s="388">
        <f ca="1">AVERAGE(P5,P7,P9,P11)/12</f>
        <v>10593.040674602073</v>
      </c>
      <c r="K33" s="388"/>
      <c r="L33" s="389"/>
    </row>
    <row r="34" spans="3:12" ht="17" thickBot="1" x14ac:dyDescent="0.25">
      <c r="C34" s="36"/>
      <c r="E34" s="392"/>
      <c r="I34" s="392"/>
    </row>
    <row r="35" spans="3:12" ht="21" x14ac:dyDescent="0.25">
      <c r="C35" s="36" t="s">
        <v>278</v>
      </c>
      <c r="E35" s="392"/>
      <c r="F35" s="386" t="s">
        <v>252</v>
      </c>
      <c r="G35" s="386"/>
      <c r="H35" s="386"/>
      <c r="I35" s="392"/>
      <c r="J35" s="386" t="s">
        <v>252</v>
      </c>
      <c r="K35" s="386"/>
      <c r="L35" s="387"/>
    </row>
    <row r="36" spans="3:12" ht="25" thickBot="1" x14ac:dyDescent="0.25">
      <c r="E36" s="392"/>
      <c r="F36" s="388">
        <f ca="1">AVERAGE(P5,P7,P9,P11,P13)/14</f>
        <v>7263.7993197271362</v>
      </c>
      <c r="G36" s="388"/>
      <c r="H36" s="388"/>
      <c r="I36" s="392"/>
      <c r="J36" s="388">
        <f ca="1">AVERAGE(P9,P11,P5,P7,P13)/12</f>
        <v>8474.4325396816585</v>
      </c>
      <c r="K36" s="388"/>
      <c r="L36" s="389"/>
    </row>
    <row r="37" spans="3:12" ht="17" thickBot="1" x14ac:dyDescent="0.25">
      <c r="C37" s="36"/>
      <c r="E37" s="392"/>
      <c r="I37" s="392"/>
    </row>
    <row r="38" spans="3:12" ht="21" x14ac:dyDescent="0.25">
      <c r="C38" s="36" t="s">
        <v>279</v>
      </c>
      <c r="E38" s="392"/>
      <c r="F38" s="386" t="s">
        <v>252</v>
      </c>
      <c r="G38" s="386"/>
      <c r="H38" s="386"/>
      <c r="I38" s="392"/>
      <c r="J38" s="386" t="s">
        <v>252</v>
      </c>
      <c r="K38" s="386"/>
      <c r="L38" s="387"/>
    </row>
    <row r="39" spans="3:12" ht="25" thickBot="1" x14ac:dyDescent="0.25">
      <c r="E39" s="392"/>
      <c r="F39" s="388">
        <f ca="1">AVERAGE(P5,P7,P9,P11,P13,P15,P17)/14</f>
        <v>5188.428085519382</v>
      </c>
      <c r="G39" s="388"/>
      <c r="H39" s="388"/>
      <c r="I39" s="392"/>
      <c r="J39" s="388">
        <f ca="1">AVERAGE(P13,P15,P5,P7,P9,P11)/12</f>
        <v>7062.027116401382</v>
      </c>
      <c r="K39" s="388"/>
      <c r="L39" s="389"/>
    </row>
    <row r="40" spans="3:12" ht="17" thickBot="1" x14ac:dyDescent="0.25">
      <c r="C40" s="36"/>
      <c r="E40" s="392"/>
      <c r="I40" s="392"/>
    </row>
    <row r="41" spans="3:12" ht="21" x14ac:dyDescent="0.25">
      <c r="C41" s="36" t="s">
        <v>280</v>
      </c>
      <c r="E41" s="392"/>
      <c r="F41" s="386" t="s">
        <v>252</v>
      </c>
      <c r="G41" s="386"/>
      <c r="H41" s="386"/>
      <c r="I41" s="392"/>
      <c r="J41" s="386" t="s">
        <v>252</v>
      </c>
      <c r="K41" s="386"/>
      <c r="L41" s="387"/>
    </row>
    <row r="42" spans="3:12" ht="25" thickBot="1" x14ac:dyDescent="0.25">
      <c r="E42" s="392"/>
      <c r="F42" s="388">
        <f ca="1">AVERAGE(P5,P7,P9,P11,P13,P15,P17)/14</f>
        <v>5188.428085519382</v>
      </c>
      <c r="G42" s="388"/>
      <c r="H42" s="388"/>
      <c r="I42" s="392"/>
      <c r="J42" s="388">
        <f ca="1">AVERAGE(P13,P15,P5,P7,P9,P11,P17)/12</f>
        <v>6053.1660997726131</v>
      </c>
      <c r="K42" s="388"/>
      <c r="L42" s="389"/>
    </row>
    <row r="43" spans="3:12" ht="17" thickBot="1" x14ac:dyDescent="0.25">
      <c r="C43" s="36"/>
      <c r="E43" s="393"/>
      <c r="I43" s="393"/>
    </row>
  </sheetData>
  <mergeCells count="32">
    <mergeCell ref="F41:H41"/>
    <mergeCell ref="J41:L41"/>
    <mergeCell ref="F42:H42"/>
    <mergeCell ref="J42:L42"/>
    <mergeCell ref="E23:E43"/>
    <mergeCell ref="I23:I43"/>
    <mergeCell ref="F36:H36"/>
    <mergeCell ref="J36:L36"/>
    <mergeCell ref="F38:H38"/>
    <mergeCell ref="J38:L38"/>
    <mergeCell ref="F39:H39"/>
    <mergeCell ref="J39:L39"/>
    <mergeCell ref="F32:H32"/>
    <mergeCell ref="J32:L32"/>
    <mergeCell ref="F33:H33"/>
    <mergeCell ref="J33:L33"/>
    <mergeCell ref="F35:H35"/>
    <mergeCell ref="J35:L35"/>
    <mergeCell ref="F30:H30"/>
    <mergeCell ref="J30:L30"/>
    <mergeCell ref="F21:H21"/>
    <mergeCell ref="J21:L21"/>
    <mergeCell ref="F26:H26"/>
    <mergeCell ref="J26:L26"/>
    <mergeCell ref="F27:H27"/>
    <mergeCell ref="J27:L27"/>
    <mergeCell ref="F29:H29"/>
    <mergeCell ref="J29:L29"/>
    <mergeCell ref="F23:H23"/>
    <mergeCell ref="F24:H24"/>
    <mergeCell ref="J23:L23"/>
    <mergeCell ref="J24:L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458F1-2420-0847-9771-C45EB3EEC66E}">
  <sheetPr codeName="Hoja7">
    <tabColor theme="5" tint="0.39997558519241921"/>
  </sheetPr>
  <dimension ref="A3:M42"/>
  <sheetViews>
    <sheetView topLeftCell="A6" workbookViewId="0">
      <selection activeCell="A24" sqref="A24"/>
    </sheetView>
  </sheetViews>
  <sheetFormatPr baseColWidth="10" defaultRowHeight="16" x14ac:dyDescent="0.2"/>
  <cols>
    <col min="1" max="1" width="14.6640625" style="162" customWidth="1"/>
    <col min="2" max="2" width="7.6640625" customWidth="1"/>
    <col min="4" max="4" width="12.1640625" style="162" bestFit="1" customWidth="1"/>
    <col min="5" max="6" width="10.83203125" style="162"/>
    <col min="9" max="9" width="10.83203125" style="160"/>
    <col min="10" max="10" width="13" bestFit="1" customWidth="1"/>
    <col min="11" max="11" width="14.33203125" style="161" customWidth="1"/>
    <col min="13" max="13" width="12" bestFit="1" customWidth="1"/>
  </cols>
  <sheetData>
    <row r="3" spans="1:11" s="251" customFormat="1" x14ac:dyDescent="0.2">
      <c r="A3" s="404" t="s">
        <v>137</v>
      </c>
      <c r="B3" s="404"/>
      <c r="D3" s="405" t="s">
        <v>138</v>
      </c>
      <c r="E3" s="163"/>
      <c r="F3" s="404" t="s">
        <v>139</v>
      </c>
      <c r="G3" s="404"/>
      <c r="I3" s="403" t="s">
        <v>140</v>
      </c>
      <c r="K3" s="252"/>
    </row>
    <row r="4" spans="1:11" s="251" customFormat="1" x14ac:dyDescent="0.2">
      <c r="A4" s="404"/>
      <c r="B4" s="404"/>
      <c r="D4" s="405"/>
      <c r="E4" s="163"/>
      <c r="F4" s="404"/>
      <c r="G4" s="404"/>
      <c r="I4" s="403"/>
      <c r="K4" s="252"/>
    </row>
    <row r="6" spans="1:11" x14ac:dyDescent="0.2">
      <c r="A6" s="162">
        <v>0</v>
      </c>
      <c r="D6" s="162">
        <v>0</v>
      </c>
      <c r="F6" s="162">
        <v>6000</v>
      </c>
      <c r="I6" s="160">
        <v>0.19</v>
      </c>
    </row>
    <row r="8" spans="1:11" x14ac:dyDescent="0.2">
      <c r="A8" s="162">
        <v>6000</v>
      </c>
      <c r="D8" s="162">
        <v>1140</v>
      </c>
      <c r="E8" s="160">
        <f>+D8/A8</f>
        <v>0.19</v>
      </c>
      <c r="F8" s="162">
        <v>44000</v>
      </c>
      <c r="I8" s="160">
        <v>0.21</v>
      </c>
    </row>
    <row r="10" spans="1:11" x14ac:dyDescent="0.2">
      <c r="A10" s="162">
        <v>50000</v>
      </c>
      <c r="D10" s="162">
        <v>10380</v>
      </c>
      <c r="E10" s="160">
        <f>+D10/A10</f>
        <v>0.20760000000000001</v>
      </c>
      <c r="F10" s="162">
        <v>150000</v>
      </c>
      <c r="I10" s="160">
        <v>0.23</v>
      </c>
    </row>
    <row r="12" spans="1:11" x14ac:dyDescent="0.2">
      <c r="A12" s="162">
        <v>200000</v>
      </c>
      <c r="D12" s="162">
        <v>44800</v>
      </c>
      <c r="E12" s="160">
        <f>+D12/A12</f>
        <v>0.224</v>
      </c>
      <c r="F12" s="162">
        <v>100000</v>
      </c>
      <c r="I12" s="160">
        <v>0.27</v>
      </c>
    </row>
    <row r="14" spans="1:11" x14ac:dyDescent="0.2">
      <c r="A14" s="162">
        <v>300000</v>
      </c>
      <c r="D14" s="162">
        <v>71800</v>
      </c>
      <c r="E14" s="160">
        <f>+D14/A14</f>
        <v>0.23933333333333334</v>
      </c>
      <c r="F14" s="162">
        <v>300001</v>
      </c>
      <c r="I14" s="160">
        <v>0.3</v>
      </c>
    </row>
    <row r="17" spans="1:13" ht="17" thickBot="1" x14ac:dyDescent="0.25">
      <c r="E17" s="163"/>
      <c r="H17" s="251"/>
    </row>
    <row r="18" spans="1:13" x14ac:dyDescent="0.2">
      <c r="A18" s="280" t="s">
        <v>141</v>
      </c>
      <c r="B18" s="267"/>
      <c r="C18" s="267"/>
      <c r="D18" s="394" t="s">
        <v>138</v>
      </c>
      <c r="E18" s="281"/>
      <c r="F18" s="399" t="s">
        <v>139</v>
      </c>
      <c r="G18" s="400"/>
      <c r="H18" s="282"/>
      <c r="I18" s="396" t="s">
        <v>140</v>
      </c>
      <c r="J18" s="267"/>
      <c r="K18" s="394" t="s">
        <v>215</v>
      </c>
      <c r="L18" s="267"/>
      <c r="M18" s="396" t="s">
        <v>66</v>
      </c>
    </row>
    <row r="19" spans="1:13" ht="17" thickBot="1" x14ac:dyDescent="0.25">
      <c r="A19" s="273" t="s">
        <v>202</v>
      </c>
      <c r="D19" s="395"/>
      <c r="E19" s="269"/>
      <c r="F19" s="401"/>
      <c r="G19" s="402"/>
      <c r="I19" s="397"/>
      <c r="K19" s="395"/>
      <c r="M19" s="397"/>
    </row>
    <row r="20" spans="1:13" x14ac:dyDescent="0.2">
      <c r="A20" s="268">
        <f ca="1">(+Mensual!O5+Mensual!O8)/2</f>
        <v>48822.925858950002</v>
      </c>
      <c r="D20" s="269"/>
      <c r="E20" s="269"/>
      <c r="F20" s="269"/>
      <c r="I20" s="270"/>
      <c r="K20" s="271"/>
      <c r="M20" s="272"/>
    </row>
    <row r="21" spans="1:13" x14ac:dyDescent="0.2">
      <c r="A21" s="273" t="s">
        <v>203</v>
      </c>
      <c r="D21" s="269"/>
      <c r="E21" s="269"/>
      <c r="F21" s="269"/>
      <c r="I21" s="270"/>
      <c r="K21" s="271"/>
      <c r="M21" s="272"/>
    </row>
    <row r="22" spans="1:13" x14ac:dyDescent="0.2">
      <c r="A22" s="268">
        <f ca="1">+'2026'!Y265+'2026'!Y268+'2026'!Y277+'2026'!Y290+'2026'!Y302+'2026'!Y306</f>
        <v>12041.150466000003</v>
      </c>
      <c r="B22" t="s">
        <v>352</v>
      </c>
      <c r="D22" s="269"/>
      <c r="E22" s="269"/>
      <c r="F22" s="269"/>
      <c r="I22" s="270"/>
      <c r="K22" s="271"/>
      <c r="M22" s="272"/>
    </row>
    <row r="23" spans="1:13" x14ac:dyDescent="0.2">
      <c r="A23" s="268">
        <f>+'dividendos 26'!H7+'dividendos 26'!H8+'dividendos 26'!H28+'dividendos 26'!H36+'dividendos 26'!H64+'dividendos 26'!H67</f>
        <v>293.97985600000004</v>
      </c>
      <c r="B23" t="s">
        <v>65</v>
      </c>
      <c r="D23" s="269"/>
      <c r="E23" s="269"/>
      <c r="F23" s="269"/>
      <c r="I23" s="270"/>
      <c r="K23" s="271"/>
      <c r="M23" s="272"/>
    </row>
    <row r="24" spans="1:13" x14ac:dyDescent="0.2">
      <c r="A24" s="273" t="s">
        <v>213</v>
      </c>
      <c r="D24" s="269"/>
      <c r="E24" s="269"/>
      <c r="F24" s="269"/>
      <c r="I24" s="270"/>
      <c r="K24" s="271"/>
      <c r="M24" s="272"/>
    </row>
    <row r="25" spans="1:13" x14ac:dyDescent="0.2">
      <c r="A25" s="292">
        <f ca="1">+A20+A22+A23</f>
        <v>61158.05618095</v>
      </c>
      <c r="D25" s="283">
        <v>10380</v>
      </c>
      <c r="E25" s="269"/>
      <c r="F25" s="283">
        <f ca="1">+A25-A10</f>
        <v>11158.05618095</v>
      </c>
      <c r="I25" s="284">
        <f>+I10</f>
        <v>0.23</v>
      </c>
      <c r="K25" s="285">
        <f ca="1">+F25*I25</f>
        <v>2566.3529216185002</v>
      </c>
      <c r="M25" s="286">
        <f ca="1">+K25+D25</f>
        <v>12946.3529216185</v>
      </c>
    </row>
    <row r="26" spans="1:13" ht="17" thickBot="1" x14ac:dyDescent="0.25">
      <c r="A26" s="274"/>
      <c r="B26" s="275"/>
      <c r="C26" s="275"/>
      <c r="D26" s="276"/>
      <c r="E26" s="276"/>
      <c r="F26" s="276"/>
      <c r="G26" s="275"/>
      <c r="H26" s="275"/>
      <c r="I26" s="277"/>
      <c r="J26" s="275"/>
      <c r="K26" s="278"/>
      <c r="L26" s="275"/>
      <c r="M26" s="279"/>
    </row>
    <row r="27" spans="1:13" x14ac:dyDescent="0.2">
      <c r="A27" s="280" t="s">
        <v>142</v>
      </c>
      <c r="B27" s="267"/>
      <c r="C27" s="267"/>
      <c r="D27" s="394" t="s">
        <v>138</v>
      </c>
      <c r="E27" s="281"/>
      <c r="F27" s="399" t="s">
        <v>139</v>
      </c>
      <c r="G27" s="400"/>
      <c r="H27" s="282"/>
      <c r="I27" s="396" t="s">
        <v>140</v>
      </c>
      <c r="J27" s="267"/>
      <c r="K27" s="394" t="s">
        <v>215</v>
      </c>
      <c r="L27" s="267"/>
      <c r="M27" s="396" t="s">
        <v>66</v>
      </c>
    </row>
    <row r="28" spans="1:13" ht="17" thickBot="1" x14ac:dyDescent="0.25">
      <c r="A28" s="268" t="s">
        <v>202</v>
      </c>
      <c r="D28" s="395"/>
      <c r="E28" s="269"/>
      <c r="F28" s="401"/>
      <c r="G28" s="402"/>
      <c r="I28" s="397"/>
      <c r="K28" s="395"/>
      <c r="M28" s="397"/>
    </row>
    <row r="29" spans="1:13" x14ac:dyDescent="0.2">
      <c r="A29" s="273" t="s">
        <v>214</v>
      </c>
      <c r="D29" s="269"/>
      <c r="E29" s="269"/>
      <c r="F29" s="269"/>
      <c r="I29" s="270"/>
      <c r="K29" s="271"/>
      <c r="M29" s="272"/>
    </row>
    <row r="30" spans="1:13" x14ac:dyDescent="0.2">
      <c r="A30" s="292">
        <f ca="1">+A20-A22-A23</f>
        <v>36487.795536950005</v>
      </c>
      <c r="D30" s="283">
        <f>+D8</f>
        <v>1140</v>
      </c>
      <c r="E30" s="269"/>
      <c r="F30" s="283">
        <f ca="1">+A30-A8</f>
        <v>30487.795536950005</v>
      </c>
      <c r="I30" s="284">
        <f>+I8</f>
        <v>0.21</v>
      </c>
      <c r="K30" s="285">
        <f ca="1">+F30*I30</f>
        <v>6402.4370627595008</v>
      </c>
      <c r="M30" s="286">
        <f ca="1">+D30+K30</f>
        <v>7542.4370627595008</v>
      </c>
    </row>
    <row r="31" spans="1:13" ht="17" thickBot="1" x14ac:dyDescent="0.25">
      <c r="A31" s="274"/>
      <c r="B31" s="275"/>
      <c r="C31" s="275"/>
      <c r="D31" s="276"/>
      <c r="E31" s="276"/>
      <c r="F31" s="276"/>
      <c r="G31" s="275"/>
      <c r="H31" s="275"/>
      <c r="I31" s="277"/>
      <c r="J31" s="275"/>
      <c r="K31" s="278"/>
      <c r="L31" s="275"/>
      <c r="M31" s="279"/>
    </row>
    <row r="32" spans="1:13" x14ac:dyDescent="0.2">
      <c r="M32" s="74">
        <f ca="1">+M25+M30</f>
        <v>20488.789984378</v>
      </c>
    </row>
    <row r="33" spans="1:11" x14ac:dyDescent="0.2">
      <c r="A33" s="398" t="s">
        <v>218</v>
      </c>
      <c r="B33" s="398"/>
    </row>
    <row r="34" spans="1:11" x14ac:dyDescent="0.2">
      <c r="A34" s="288" t="s">
        <v>216</v>
      </c>
      <c r="B34" s="251"/>
      <c r="D34" s="287">
        <f ca="1">+A25+A30</f>
        <v>97645.851717900005</v>
      </c>
      <c r="F34" s="224" t="s">
        <v>180</v>
      </c>
      <c r="H34" s="301"/>
      <c r="J34" s="161">
        <f ca="1">+A25</f>
        <v>61158.05618095</v>
      </c>
      <c r="K34" s="161" t="s">
        <v>260</v>
      </c>
    </row>
    <row r="35" spans="1:11" x14ac:dyDescent="0.2">
      <c r="A35" s="162" t="s">
        <v>217</v>
      </c>
      <c r="D35" s="287">
        <f ca="1">+M25+M30</f>
        <v>20488.789984378</v>
      </c>
      <c r="F35" s="300">
        <f ca="1">+D35/D34</f>
        <v>0.20982755154382135</v>
      </c>
      <c r="J35" s="313">
        <f ca="1">+A30</f>
        <v>36487.795536950005</v>
      </c>
      <c r="K35" s="161" t="s">
        <v>261</v>
      </c>
    </row>
    <row r="36" spans="1:11" ht="17" thickBot="1" x14ac:dyDescent="0.25">
      <c r="A36" s="288" t="s">
        <v>149</v>
      </c>
      <c r="D36" s="290">
        <f>-'dividendos 26'!K276</f>
        <v>-1669.2900000000004</v>
      </c>
      <c r="J36" s="314">
        <f ca="1">+J34+J35</f>
        <v>97645.851717900005</v>
      </c>
      <c r="K36" s="161" t="s">
        <v>263</v>
      </c>
    </row>
    <row r="37" spans="1:11" ht="17" thickBot="1" x14ac:dyDescent="0.25">
      <c r="A37" s="265" t="s">
        <v>150</v>
      </c>
      <c r="B37" s="266"/>
      <c r="C37" s="202"/>
      <c r="D37" s="203">
        <f ca="1">+D35+D36</f>
        <v>18819.499984377999</v>
      </c>
    </row>
    <row r="38" spans="1:11" x14ac:dyDescent="0.2">
      <c r="G38" s="301">
        <f ca="1">+D34-D37</f>
        <v>78826.351733522009</v>
      </c>
      <c r="J38" s="301">
        <f ca="1">+D35</f>
        <v>20488.789984378</v>
      </c>
      <c r="K38" s="161" t="s">
        <v>100</v>
      </c>
    </row>
    <row r="40" spans="1:11" x14ac:dyDescent="0.2">
      <c r="A40" s="162" t="s">
        <v>337</v>
      </c>
      <c r="J40" s="301">
        <f ca="1">+J36-J38</f>
        <v>77157.061733522001</v>
      </c>
      <c r="K40" s="161" t="s">
        <v>262</v>
      </c>
    </row>
    <row r="42" spans="1:11" x14ac:dyDescent="0.2">
      <c r="A42" s="328">
        <f ca="1">+A25+A30</f>
        <v>97645.851717900005</v>
      </c>
    </row>
  </sheetData>
  <mergeCells count="15">
    <mergeCell ref="I3:I4"/>
    <mergeCell ref="A3:B4"/>
    <mergeCell ref="D3:D4"/>
    <mergeCell ref="F3:G4"/>
    <mergeCell ref="F18:G19"/>
    <mergeCell ref="D18:D19"/>
    <mergeCell ref="I18:I19"/>
    <mergeCell ref="K18:K19"/>
    <mergeCell ref="M18:M19"/>
    <mergeCell ref="K27:K28"/>
    <mergeCell ref="M27:M28"/>
    <mergeCell ref="A33:B33"/>
    <mergeCell ref="D27:D28"/>
    <mergeCell ref="F27:G28"/>
    <mergeCell ref="I27:I2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E64B6-D01B-134F-ADCC-65277F297869}">
  <sheetPr codeName="Hoja6"/>
  <dimension ref="A2:P11"/>
  <sheetViews>
    <sheetView zoomScale="120" zoomScaleNormal="120" workbookViewId="0">
      <selection activeCell="F12" sqref="F12"/>
    </sheetView>
  </sheetViews>
  <sheetFormatPr baseColWidth="10" defaultRowHeight="16" x14ac:dyDescent="0.2"/>
  <cols>
    <col min="1" max="1" width="9.5" style="161" customWidth="1"/>
    <col min="2" max="2" width="3.1640625" style="161" customWidth="1"/>
    <col min="3" max="4" width="11.5" style="161" bestFit="1" customWidth="1"/>
    <col min="5" max="5" width="3.1640625" style="161" customWidth="1"/>
    <col min="6" max="7" width="10.83203125" style="161"/>
    <col min="8" max="8" width="3.1640625" style="161" customWidth="1"/>
    <col min="9" max="10" width="10.83203125" style="161"/>
    <col min="11" max="11" width="3.1640625" style="161" customWidth="1"/>
    <col min="12" max="12" width="10.83203125" style="161"/>
    <col min="13" max="13" width="11.5" style="161" bestFit="1" customWidth="1"/>
    <col min="14" max="14" width="3.1640625" style="161" customWidth="1"/>
    <col min="15" max="15" width="10.83203125" style="161"/>
    <col min="16" max="16" width="11.5" style="161" bestFit="1" customWidth="1"/>
    <col min="17" max="16384" width="10.83203125" style="161"/>
  </cols>
  <sheetData>
    <row r="2" spans="1:16" ht="17" thickBot="1" x14ac:dyDescent="0.25"/>
    <row r="3" spans="1:16" s="22" customFormat="1" ht="17" thickBot="1" x14ac:dyDescent="0.25">
      <c r="A3" s="213" t="s">
        <v>46</v>
      </c>
      <c r="C3" s="406" t="s">
        <v>26</v>
      </c>
      <c r="D3" s="407"/>
      <c r="F3" s="406" t="s">
        <v>88</v>
      </c>
      <c r="G3" s="407"/>
      <c r="I3" s="406" t="s">
        <v>72</v>
      </c>
      <c r="J3" s="407"/>
      <c r="L3" s="406" t="s">
        <v>200</v>
      </c>
      <c r="M3" s="407"/>
      <c r="O3" s="406" t="s">
        <v>199</v>
      </c>
      <c r="P3" s="407"/>
    </row>
    <row r="4" spans="1:16" x14ac:dyDescent="0.2">
      <c r="C4" s="5" t="s">
        <v>172</v>
      </c>
      <c r="D4" s="5" t="s">
        <v>173</v>
      </c>
      <c r="F4" s="5" t="s">
        <v>172</v>
      </c>
      <c r="G4" s="5" t="s">
        <v>173</v>
      </c>
      <c r="I4" s="5" t="s">
        <v>172</v>
      </c>
      <c r="J4" s="5" t="s">
        <v>173</v>
      </c>
      <c r="L4" s="5" t="s">
        <v>172</v>
      </c>
      <c r="M4" s="5" t="s">
        <v>173</v>
      </c>
      <c r="O4" s="5" t="s">
        <v>172</v>
      </c>
      <c r="P4" s="5" t="s">
        <v>173</v>
      </c>
    </row>
    <row r="6" spans="1:16" x14ac:dyDescent="0.2">
      <c r="A6" s="214">
        <f ca="1">TODAY()</f>
        <v>46140</v>
      </c>
      <c r="C6" s="161">
        <f>14529+'2026'!U318</f>
        <v>14529</v>
      </c>
      <c r="D6" s="161">
        <v>169272</v>
      </c>
      <c r="F6" s="161">
        <f>8796+'2026'!U314</f>
        <v>8796</v>
      </c>
      <c r="J6" s="161">
        <f ca="1">59646+'2026'!V316-'2026'!N120</f>
        <v>53109.1</v>
      </c>
      <c r="M6" s="161">
        <v>136279</v>
      </c>
      <c r="O6" s="161">
        <f>136+'2026'!U315</f>
        <v>136</v>
      </c>
      <c r="P6" s="161">
        <v>10000</v>
      </c>
    </row>
    <row r="9" spans="1:16" x14ac:dyDescent="0.2">
      <c r="C9" s="5" t="s">
        <v>172</v>
      </c>
      <c r="D9" s="5" t="s">
        <v>173</v>
      </c>
    </row>
    <row r="11" spans="1:16" x14ac:dyDescent="0.2">
      <c r="A11" s="252" t="s">
        <v>201</v>
      </c>
      <c r="B11" s="252"/>
      <c r="C11" s="252">
        <f>+C6+F6+I6+L6+O6</f>
        <v>23461</v>
      </c>
      <c r="D11" s="252">
        <f ca="1">+D6+G6+J6+M6+P6</f>
        <v>368660.1</v>
      </c>
    </row>
  </sheetData>
  <mergeCells count="5">
    <mergeCell ref="C3:D3"/>
    <mergeCell ref="F3:G3"/>
    <mergeCell ref="I3:J3"/>
    <mergeCell ref="L3:M3"/>
    <mergeCell ref="O3:P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3D01-D361-9A44-BB6F-8ECA0660AFB9}">
  <sheetPr codeName="Hoja9"/>
  <dimension ref="B2:E22"/>
  <sheetViews>
    <sheetView workbookViewId="0">
      <selection activeCell="E4" sqref="E4"/>
    </sheetView>
  </sheetViews>
  <sheetFormatPr baseColWidth="10" defaultRowHeight="16" x14ac:dyDescent="0.2"/>
  <cols>
    <col min="4" max="4" width="11.5" bestFit="1" customWidth="1"/>
  </cols>
  <sheetData>
    <row r="2" spans="2:5" x14ac:dyDescent="0.2">
      <c r="B2" s="98"/>
      <c r="D2">
        <v>12</v>
      </c>
      <c r="E2">
        <v>14</v>
      </c>
    </row>
    <row r="3" spans="2:5" x14ac:dyDescent="0.2">
      <c r="B3" s="99"/>
      <c r="C3" s="33" t="s">
        <v>231</v>
      </c>
      <c r="D3" s="33" t="s">
        <v>101</v>
      </c>
    </row>
    <row r="4" spans="2:5" x14ac:dyDescent="0.2">
      <c r="B4" s="99" t="s">
        <v>52</v>
      </c>
      <c r="C4" s="51">
        <f ca="1">+Mensual!C$29</f>
        <v>19233.676534526105</v>
      </c>
      <c r="D4" s="51">
        <f ca="1">+Mensual!C$19</f>
        <v>19233.676534526105</v>
      </c>
    </row>
    <row r="5" spans="2:5" x14ac:dyDescent="0.2">
      <c r="B5" t="s">
        <v>53</v>
      </c>
      <c r="C5" s="51">
        <f ca="1">+Mensual!D$29</f>
        <v>21973.319325206532</v>
      </c>
      <c r="D5" s="51">
        <f ca="1">+Mensual!D19</f>
        <v>24712.962115886956</v>
      </c>
    </row>
    <row r="6" spans="2:5" x14ac:dyDescent="0.2">
      <c r="B6" s="99" t="s">
        <v>54</v>
      </c>
      <c r="C6" s="51">
        <f ca="1">+Mensual!E$29</f>
        <v>18659.416896218339</v>
      </c>
      <c r="D6" s="51">
        <f ca="1">+Mensual!E19</f>
        <v>12031.612038241952</v>
      </c>
    </row>
    <row r="7" spans="2:5" x14ac:dyDescent="0.2">
      <c r="B7" t="s">
        <v>55</v>
      </c>
      <c r="C7" s="51">
        <f ca="1">+Mensual!F$29</f>
        <v>19209.62834733522</v>
      </c>
      <c r="D7" s="51">
        <f ca="1">+Mensual!F19</f>
        <v>20860.262700685864</v>
      </c>
    </row>
    <row r="8" spans="2:5" x14ac:dyDescent="0.2">
      <c r="B8" s="99" t="s">
        <v>56</v>
      </c>
      <c r="C8" s="51">
        <f ca="1">+Mensual!G$29</f>
        <v>15367.702677868176</v>
      </c>
      <c r="D8" s="51">
        <f>+Mensual!G19</f>
        <v>0</v>
      </c>
    </row>
    <row r="9" spans="2:5" x14ac:dyDescent="0.2">
      <c r="B9" t="s">
        <v>57</v>
      </c>
      <c r="C9" s="51">
        <f ca="1">+Mensual!H$29</f>
        <v>12806.418898223479</v>
      </c>
      <c r="D9" s="51">
        <f>+Mensual!H19</f>
        <v>0</v>
      </c>
    </row>
    <row r="10" spans="2:5" x14ac:dyDescent="0.2">
      <c r="B10" s="99" t="s">
        <v>58</v>
      </c>
      <c r="C10" s="51">
        <f ca="1">+Mensual!I$29</f>
        <v>10976.930484191555</v>
      </c>
      <c r="D10" s="51">
        <f>+Mensual!I19</f>
        <v>0</v>
      </c>
    </row>
    <row r="11" spans="2:5" x14ac:dyDescent="0.2">
      <c r="B11" t="s">
        <v>59</v>
      </c>
      <c r="C11" s="51">
        <f ca="1">+Mensual!J$29</f>
        <v>9604.8141736676098</v>
      </c>
      <c r="D11" s="51">
        <f>+Mensual!J19</f>
        <v>0</v>
      </c>
    </row>
    <row r="12" spans="2:5" x14ac:dyDescent="0.2">
      <c r="B12" s="99" t="s">
        <v>60</v>
      </c>
      <c r="C12" s="51">
        <f ca="1">+Mensual!K$29</f>
        <v>8537.6125988156527</v>
      </c>
      <c r="D12" s="51">
        <f>+Mensual!K19</f>
        <v>0</v>
      </c>
    </row>
    <row r="13" spans="2:5" x14ac:dyDescent="0.2">
      <c r="B13" t="s">
        <v>61</v>
      </c>
      <c r="C13" s="51">
        <f ca="1">+Mensual!L$29</f>
        <v>7683.8513389340878</v>
      </c>
      <c r="D13" s="51">
        <f>+Mensual!L19</f>
        <v>0</v>
      </c>
    </row>
    <row r="14" spans="2:5" x14ac:dyDescent="0.2">
      <c r="B14" s="99" t="s">
        <v>62</v>
      </c>
      <c r="C14" s="51">
        <f ca="1">+Mensual!M$29</f>
        <v>6985.3193990309892</v>
      </c>
      <c r="D14" s="51">
        <f>+Mensual!M19</f>
        <v>0</v>
      </c>
    </row>
    <row r="15" spans="2:5" x14ac:dyDescent="0.2">
      <c r="B15" s="99" t="s">
        <v>63</v>
      </c>
      <c r="C15" s="51">
        <f ca="1">+Mensual!N$29</f>
        <v>6403.2094491117396</v>
      </c>
      <c r="D15" s="51">
        <f>+Mensual!N19</f>
        <v>0</v>
      </c>
    </row>
    <row r="16" spans="2:5" x14ac:dyDescent="0.2">
      <c r="B16" s="99"/>
    </row>
    <row r="18" spans="2:4" x14ac:dyDescent="0.2">
      <c r="B18" s="99"/>
      <c r="C18" s="33" t="s">
        <v>232</v>
      </c>
      <c r="D18" s="298">
        <f ca="1">SUM(D4:D17)</f>
        <v>76838.513389340878</v>
      </c>
    </row>
    <row r="20" spans="2:4" x14ac:dyDescent="0.2">
      <c r="B20" s="99"/>
    </row>
    <row r="22" spans="2:4" x14ac:dyDescent="0.2">
      <c r="B22" s="99"/>
    </row>
  </sheetData>
  <phoneticPr fontId="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98A7-1ABB-6C42-9730-07EA4642EE15}">
  <dimension ref="A2:G58"/>
  <sheetViews>
    <sheetView topLeftCell="A2" workbookViewId="0">
      <selection activeCell="C20" sqref="C20"/>
    </sheetView>
  </sheetViews>
  <sheetFormatPr baseColWidth="10" defaultRowHeight="16" x14ac:dyDescent="0.2"/>
  <cols>
    <col min="1" max="1" width="14" style="1" customWidth="1"/>
    <col min="2" max="3" width="14.33203125" style="319" customWidth="1"/>
    <col min="4" max="4" width="14.33203125" style="1" customWidth="1"/>
    <col min="5" max="5" width="10.83203125" style="1"/>
    <col min="6" max="6" width="12.6640625" style="1" customWidth="1"/>
    <col min="7" max="7" width="12.6640625" customWidth="1"/>
  </cols>
  <sheetData>
    <row r="2" spans="1:7" x14ac:dyDescent="0.2">
      <c r="A2" s="1" t="s">
        <v>284</v>
      </c>
      <c r="B2" s="319" t="s">
        <v>285</v>
      </c>
      <c r="C2" s="319" t="s">
        <v>285</v>
      </c>
      <c r="D2" s="15" t="s">
        <v>286</v>
      </c>
      <c r="E2" s="53">
        <v>2025</v>
      </c>
      <c r="F2" s="53">
        <v>2026</v>
      </c>
      <c r="G2" s="334" t="s">
        <v>45</v>
      </c>
    </row>
    <row r="4" spans="1:7" x14ac:dyDescent="0.2">
      <c r="A4" s="1">
        <v>1</v>
      </c>
      <c r="B4" s="319">
        <v>16570.669999999998</v>
      </c>
      <c r="C4" s="319">
        <v>44209</v>
      </c>
      <c r="D4" s="1" t="s">
        <v>52</v>
      </c>
      <c r="E4" s="319">
        <f>SUM(B4:B8)</f>
        <v>67241.97</v>
      </c>
      <c r="F4" s="319">
        <f>SUM(C4:C8)</f>
        <v>54077.34</v>
      </c>
      <c r="G4" s="333">
        <f>+F4-E4</f>
        <v>-13164.630000000005</v>
      </c>
    </row>
    <row r="5" spans="1:7" x14ac:dyDescent="0.2">
      <c r="A5" s="1">
        <v>2</v>
      </c>
      <c r="B5" s="319">
        <v>-10743.02</v>
      </c>
      <c r="C5" s="319">
        <v>44730.34</v>
      </c>
      <c r="G5" s="333"/>
    </row>
    <row r="6" spans="1:7" x14ac:dyDescent="0.2">
      <c r="A6" s="1">
        <v>3</v>
      </c>
      <c r="B6" s="319">
        <v>27857.29</v>
      </c>
      <c r="C6" s="319">
        <v>-18906</v>
      </c>
      <c r="G6" s="333"/>
    </row>
    <row r="7" spans="1:7" x14ac:dyDescent="0.2">
      <c r="A7" s="1">
        <v>4</v>
      </c>
      <c r="B7" s="319">
        <v>22250.400000000001</v>
      </c>
      <c r="C7" s="319">
        <v>5693</v>
      </c>
      <c r="G7" s="333"/>
    </row>
    <row r="8" spans="1:7" x14ac:dyDescent="0.2">
      <c r="A8" s="1">
        <v>5</v>
      </c>
      <c r="B8" s="319">
        <v>11306.63</v>
      </c>
      <c r="C8" s="319">
        <v>-21649</v>
      </c>
      <c r="G8" s="333"/>
    </row>
    <row r="9" spans="1:7" x14ac:dyDescent="0.2">
      <c r="A9" s="1">
        <v>6</v>
      </c>
      <c r="B9" s="319">
        <v>4811.3999999999996</v>
      </c>
      <c r="C9" s="319">
        <v>570</v>
      </c>
      <c r="D9" s="1" t="s">
        <v>53</v>
      </c>
      <c r="E9" s="319">
        <f>SUM(B9:B12)</f>
        <v>13236.660000000003</v>
      </c>
      <c r="F9" s="319">
        <f>SUM(C9:C12)</f>
        <v>50754</v>
      </c>
      <c r="G9" s="333">
        <f>+F9-E9</f>
        <v>37517.339999999997</v>
      </c>
    </row>
    <row r="10" spans="1:7" x14ac:dyDescent="0.2">
      <c r="A10" s="1">
        <v>7</v>
      </c>
      <c r="B10" s="319">
        <v>31549.18</v>
      </c>
      <c r="C10" s="319">
        <v>9139</v>
      </c>
      <c r="G10" s="333"/>
    </row>
    <row r="11" spans="1:7" x14ac:dyDescent="0.2">
      <c r="A11" s="1">
        <v>8</v>
      </c>
      <c r="B11" s="319">
        <v>-7914.6</v>
      </c>
      <c r="C11" s="319">
        <v>18167</v>
      </c>
      <c r="G11" s="333"/>
    </row>
    <row r="12" spans="1:7" x14ac:dyDescent="0.2">
      <c r="A12" s="1">
        <v>9</v>
      </c>
      <c r="B12" s="319">
        <v>-15209.32</v>
      </c>
      <c r="C12" s="319">
        <v>22878</v>
      </c>
      <c r="G12" s="333"/>
    </row>
    <row r="13" spans="1:7" x14ac:dyDescent="0.2">
      <c r="A13" s="1">
        <v>10</v>
      </c>
      <c r="B13" s="319">
        <v>4280.55</v>
      </c>
      <c r="C13" s="319">
        <v>-119504</v>
      </c>
      <c r="D13" s="1" t="s">
        <v>54</v>
      </c>
      <c r="E13" s="319">
        <f>SUM(B13:B16)</f>
        <v>-41704.85</v>
      </c>
      <c r="F13" s="319">
        <f>SUM(C13:C16)</f>
        <v>-169959</v>
      </c>
      <c r="G13" s="333">
        <f>+F13-E13</f>
        <v>-128254.15</v>
      </c>
    </row>
    <row r="14" spans="1:7" x14ac:dyDescent="0.2">
      <c r="A14" s="1">
        <v>11</v>
      </c>
      <c r="B14" s="319">
        <v>-33469.089999999997</v>
      </c>
      <c r="C14" s="319">
        <v>-23897</v>
      </c>
      <c r="G14" s="333"/>
    </row>
    <row r="15" spans="1:7" x14ac:dyDescent="0.2">
      <c r="A15" s="1">
        <v>12</v>
      </c>
      <c r="B15" s="319">
        <v>16971.64</v>
      </c>
      <c r="C15" s="319">
        <v>-45873</v>
      </c>
      <c r="G15" s="333"/>
    </row>
    <row r="16" spans="1:7" x14ac:dyDescent="0.2">
      <c r="A16" s="1">
        <v>13</v>
      </c>
      <c r="B16" s="319">
        <v>-29487.95</v>
      </c>
      <c r="C16" s="319">
        <v>19315</v>
      </c>
      <c r="G16" s="333"/>
    </row>
    <row r="17" spans="1:7" x14ac:dyDescent="0.2">
      <c r="A17" s="1">
        <v>14</v>
      </c>
      <c r="B17" s="319">
        <v>-144408.20000000001</v>
      </c>
      <c r="C17" s="319">
        <v>72864</v>
      </c>
      <c r="D17" s="1" t="s">
        <v>55</v>
      </c>
      <c r="E17" s="319">
        <f>SUM(B17:B20)</f>
        <v>-36919.460000000014</v>
      </c>
      <c r="F17" s="319">
        <f>SUM(C17:C20)</f>
        <v>172423</v>
      </c>
      <c r="G17" s="333">
        <f>+F17-E17</f>
        <v>209342.46000000002</v>
      </c>
    </row>
    <row r="18" spans="1:7" x14ac:dyDescent="0.2">
      <c r="A18" s="1">
        <v>15</v>
      </c>
      <c r="B18" s="319">
        <v>-3318.1</v>
      </c>
      <c r="C18" s="319">
        <v>58857</v>
      </c>
      <c r="G18" s="333"/>
    </row>
    <row r="19" spans="1:7" x14ac:dyDescent="0.2">
      <c r="A19" s="1">
        <v>16</v>
      </c>
      <c r="B19" s="319">
        <v>47361.07</v>
      </c>
      <c r="C19" s="319">
        <v>79934</v>
      </c>
      <c r="G19" s="333"/>
    </row>
    <row r="20" spans="1:7" x14ac:dyDescent="0.2">
      <c r="A20" s="1">
        <v>17</v>
      </c>
      <c r="B20" s="319">
        <v>63445.77</v>
      </c>
      <c r="C20" s="319">
        <v>-39232</v>
      </c>
      <c r="G20" s="333"/>
    </row>
    <row r="21" spans="1:7" x14ac:dyDescent="0.2">
      <c r="A21" s="1">
        <v>18</v>
      </c>
      <c r="B21" s="319">
        <v>31320.36</v>
      </c>
      <c r="D21" s="1" t="s">
        <v>56</v>
      </c>
      <c r="E21" s="319">
        <f>SUM(B21:B25)</f>
        <v>93056.9</v>
      </c>
      <c r="F21" s="319">
        <f>SUM(C21:C25)</f>
        <v>0</v>
      </c>
      <c r="G21" s="333">
        <f>+F21-E21</f>
        <v>-93056.9</v>
      </c>
    </row>
    <row r="22" spans="1:7" x14ac:dyDescent="0.2">
      <c r="A22" s="1">
        <v>19</v>
      </c>
      <c r="B22" s="319">
        <v>18679.169999999998</v>
      </c>
      <c r="G22" s="333"/>
    </row>
    <row r="23" spans="1:7" x14ac:dyDescent="0.2">
      <c r="A23" s="1">
        <v>20</v>
      </c>
      <c r="B23" s="319">
        <v>43206.67</v>
      </c>
      <c r="G23" s="333"/>
    </row>
    <row r="24" spans="1:7" x14ac:dyDescent="0.2">
      <c r="A24" s="1">
        <v>21</v>
      </c>
      <c r="B24" s="319">
        <v>-21210.34</v>
      </c>
      <c r="G24" s="333"/>
    </row>
    <row r="25" spans="1:7" x14ac:dyDescent="0.2">
      <c r="A25" s="1">
        <v>22</v>
      </c>
      <c r="B25" s="319">
        <v>21061.040000000001</v>
      </c>
      <c r="G25" s="333"/>
    </row>
    <row r="26" spans="1:7" x14ac:dyDescent="0.2">
      <c r="A26" s="1">
        <v>23</v>
      </c>
      <c r="B26" s="319">
        <v>22070.12</v>
      </c>
      <c r="D26" s="1" t="s">
        <v>57</v>
      </c>
      <c r="E26" s="319">
        <f>SUM(B26:B29)</f>
        <v>69548.359999999986</v>
      </c>
      <c r="F26" s="319">
        <f>SUM(C26:C29)</f>
        <v>0</v>
      </c>
      <c r="G26" s="333">
        <f>+F26-E26</f>
        <v>-69548.359999999986</v>
      </c>
    </row>
    <row r="27" spans="1:7" x14ac:dyDescent="0.2">
      <c r="A27" s="1">
        <v>24</v>
      </c>
      <c r="B27" s="319">
        <v>17070.669999999998</v>
      </c>
      <c r="G27" s="333"/>
    </row>
    <row r="28" spans="1:7" x14ac:dyDescent="0.2">
      <c r="A28" s="1">
        <v>25</v>
      </c>
      <c r="B28" s="319">
        <v>-4248.25</v>
      </c>
      <c r="G28" s="333"/>
    </row>
    <row r="29" spans="1:7" x14ac:dyDescent="0.2">
      <c r="A29" s="1">
        <v>26</v>
      </c>
      <c r="B29" s="319">
        <v>34655.82</v>
      </c>
      <c r="G29" s="333"/>
    </row>
    <row r="30" spans="1:7" x14ac:dyDescent="0.2">
      <c r="A30" s="1">
        <v>27</v>
      </c>
      <c r="B30" s="319">
        <v>17656.650000000001</v>
      </c>
      <c r="D30" s="1" t="s">
        <v>58</v>
      </c>
      <c r="E30" s="319">
        <f>SUM(B30:B33)</f>
        <v>44701.850000000006</v>
      </c>
      <c r="F30" s="319">
        <f>SUM(C30:C33)</f>
        <v>0</v>
      </c>
      <c r="G30" s="333">
        <f>+F30-E30</f>
        <v>-44701.850000000006</v>
      </c>
    </row>
    <row r="31" spans="1:7" x14ac:dyDescent="0.2">
      <c r="A31" s="1">
        <v>28</v>
      </c>
      <c r="B31" s="319">
        <v>569.16</v>
      </c>
      <c r="G31" s="333"/>
    </row>
    <row r="32" spans="1:7" x14ac:dyDescent="0.2">
      <c r="A32" s="1">
        <v>29</v>
      </c>
      <c r="B32" s="319">
        <v>1523.88</v>
      </c>
      <c r="G32" s="333"/>
    </row>
    <row r="33" spans="1:7" x14ac:dyDescent="0.2">
      <c r="A33" s="1">
        <v>30</v>
      </c>
      <c r="B33" s="319">
        <v>24952.16</v>
      </c>
      <c r="G33" s="333"/>
    </row>
    <row r="34" spans="1:7" x14ac:dyDescent="0.2">
      <c r="A34" s="1">
        <v>31</v>
      </c>
      <c r="B34" s="319">
        <v>-70789.740000000005</v>
      </c>
      <c r="D34" s="1" t="s">
        <v>59</v>
      </c>
      <c r="E34" s="319">
        <f>SUM(B34:B38)</f>
        <v>-2029.3500000000058</v>
      </c>
      <c r="F34" s="319">
        <f>SUM(C34:C38)</f>
        <v>0</v>
      </c>
      <c r="G34" s="333">
        <f>+F34-E34</f>
        <v>2029.3500000000058</v>
      </c>
    </row>
    <row r="35" spans="1:7" x14ac:dyDescent="0.2">
      <c r="A35" s="1">
        <v>32</v>
      </c>
      <c r="B35" s="319">
        <v>37810.959999999999</v>
      </c>
      <c r="G35" s="333"/>
    </row>
    <row r="36" spans="1:7" x14ac:dyDescent="0.2">
      <c r="A36" s="1">
        <v>33</v>
      </c>
      <c r="B36" s="319">
        <v>28898.54</v>
      </c>
      <c r="G36" s="333"/>
    </row>
    <row r="37" spans="1:7" x14ac:dyDescent="0.2">
      <c r="A37" s="1">
        <v>34</v>
      </c>
      <c r="B37" s="319">
        <v>31024.82</v>
      </c>
      <c r="G37" s="333"/>
    </row>
    <row r="38" spans="1:7" x14ac:dyDescent="0.2">
      <c r="A38" s="1">
        <v>35</v>
      </c>
      <c r="B38" s="319">
        <v>-28973.93</v>
      </c>
      <c r="G38" s="333"/>
    </row>
    <row r="39" spans="1:7" x14ac:dyDescent="0.2">
      <c r="A39" s="1">
        <v>36</v>
      </c>
      <c r="B39" s="319">
        <v>-3835.05</v>
      </c>
      <c r="D39" s="1" t="s">
        <v>60</v>
      </c>
      <c r="E39" s="319">
        <f>SUM(B39:B42)</f>
        <v>10713.269999999999</v>
      </c>
      <c r="F39" s="319">
        <f>SUM(C39:C42)</f>
        <v>0</v>
      </c>
      <c r="G39" s="333">
        <f>+F39-E39</f>
        <v>-10713.269999999999</v>
      </c>
    </row>
    <row r="40" spans="1:7" x14ac:dyDescent="0.2">
      <c r="A40" s="1">
        <v>37</v>
      </c>
      <c r="B40" s="319">
        <v>6647.01</v>
      </c>
      <c r="G40" s="333"/>
    </row>
    <row r="41" spans="1:7" x14ac:dyDescent="0.2">
      <c r="A41" s="1">
        <v>38</v>
      </c>
      <c r="B41" s="319">
        <v>13575.73</v>
      </c>
      <c r="G41" s="333"/>
    </row>
    <row r="42" spans="1:7" x14ac:dyDescent="0.2">
      <c r="A42" s="1">
        <v>39</v>
      </c>
      <c r="B42" s="319">
        <v>-5674.42</v>
      </c>
      <c r="G42" s="333"/>
    </row>
    <row r="43" spans="1:7" x14ac:dyDescent="0.2">
      <c r="A43" s="1">
        <v>40</v>
      </c>
      <c r="B43" s="319">
        <v>48922.78</v>
      </c>
      <c r="D43" s="1" t="s">
        <v>61</v>
      </c>
      <c r="E43" s="319">
        <f>SUM(B43:B47)</f>
        <v>40140.179999999993</v>
      </c>
      <c r="F43" s="319">
        <f>SUM(C43:C47)</f>
        <v>0</v>
      </c>
      <c r="G43" s="333">
        <f>+F43-E43</f>
        <v>-40140.179999999993</v>
      </c>
    </row>
    <row r="44" spans="1:7" x14ac:dyDescent="0.2">
      <c r="A44" s="1">
        <v>41</v>
      </c>
      <c r="B44" s="319">
        <v>-30813.77</v>
      </c>
      <c r="G44" s="333"/>
    </row>
    <row r="45" spans="1:7" x14ac:dyDescent="0.2">
      <c r="A45" s="1">
        <v>42</v>
      </c>
      <c r="B45" s="319">
        <v>14054.9</v>
      </c>
      <c r="G45" s="333"/>
    </row>
    <row r="46" spans="1:7" x14ac:dyDescent="0.2">
      <c r="A46" s="1">
        <v>43</v>
      </c>
      <c r="B46" s="319">
        <v>36765.29</v>
      </c>
      <c r="G46" s="333"/>
    </row>
    <row r="47" spans="1:7" x14ac:dyDescent="0.2">
      <c r="A47" s="1">
        <v>44</v>
      </c>
      <c r="B47" s="319">
        <v>-28789.02</v>
      </c>
      <c r="G47" s="333"/>
    </row>
    <row r="48" spans="1:7" x14ac:dyDescent="0.2">
      <c r="A48" s="1">
        <v>45</v>
      </c>
      <c r="B48" s="319">
        <v>-56105.15</v>
      </c>
      <c r="D48" s="1" t="s">
        <v>62</v>
      </c>
      <c r="E48" s="319">
        <f>SUM(B48:B51)</f>
        <v>-10073.270000000004</v>
      </c>
      <c r="F48" s="319">
        <f>SUM(C48:C51)</f>
        <v>0</v>
      </c>
      <c r="G48" s="333">
        <f>+F48-E48</f>
        <v>10073.270000000004</v>
      </c>
    </row>
    <row r="49" spans="1:7" x14ac:dyDescent="0.2">
      <c r="A49" s="1">
        <v>46</v>
      </c>
      <c r="B49" s="319">
        <v>26915.91</v>
      </c>
      <c r="G49" s="333"/>
    </row>
    <row r="50" spans="1:7" x14ac:dyDescent="0.2">
      <c r="A50" s="1">
        <v>47</v>
      </c>
      <c r="B50" s="319">
        <v>-47684.66</v>
      </c>
      <c r="G50" s="333"/>
    </row>
    <row r="51" spans="1:7" x14ac:dyDescent="0.2">
      <c r="A51" s="1">
        <v>48</v>
      </c>
      <c r="B51" s="319">
        <v>66800.63</v>
      </c>
      <c r="G51" s="333"/>
    </row>
    <row r="52" spans="1:7" x14ac:dyDescent="0.2">
      <c r="A52" s="1">
        <v>49</v>
      </c>
      <c r="B52" s="319">
        <v>17072</v>
      </c>
      <c r="D52" s="1" t="s">
        <v>63</v>
      </c>
      <c r="E52" s="319">
        <f>SUM(B52:B55)</f>
        <v>34066</v>
      </c>
      <c r="F52" s="319">
        <f>SUM(C52:C55)</f>
        <v>0</v>
      </c>
      <c r="G52" s="333">
        <f>+F52-E52</f>
        <v>-34066</v>
      </c>
    </row>
    <row r="53" spans="1:7" x14ac:dyDescent="0.2">
      <c r="A53" s="1">
        <v>50</v>
      </c>
      <c r="B53" s="319">
        <v>7929</v>
      </c>
      <c r="G53" s="333"/>
    </row>
    <row r="54" spans="1:7" x14ac:dyDescent="0.2">
      <c r="A54" s="1">
        <v>51</v>
      </c>
      <c r="B54" s="319">
        <v>1093</v>
      </c>
      <c r="G54" s="333"/>
    </row>
    <row r="55" spans="1:7" x14ac:dyDescent="0.2">
      <c r="A55" s="1">
        <v>52</v>
      </c>
      <c r="B55" s="319">
        <v>7972</v>
      </c>
      <c r="G55" s="333"/>
    </row>
    <row r="57" spans="1:7" x14ac:dyDescent="0.2">
      <c r="B57" s="319">
        <f>SUM(B4:B55)</f>
        <v>281978.26</v>
      </c>
      <c r="C57" s="319">
        <f>SUM(C4:C55)</f>
        <v>107295.34</v>
      </c>
      <c r="D57" s="319"/>
      <c r="E57" s="319">
        <f>SUM(E4:E55)</f>
        <v>281978.25999999995</v>
      </c>
      <c r="F57" s="319">
        <f>SUM(F4:F55)</f>
        <v>107295.34</v>
      </c>
      <c r="G57" s="319">
        <f>SUM(G4:G55)</f>
        <v>-174682.91999999993</v>
      </c>
    </row>
    <row r="58" spans="1:7" x14ac:dyDescent="0.2">
      <c r="E58" s="1">
        <v>2025</v>
      </c>
      <c r="F58" s="1">
        <v>2026</v>
      </c>
      <c r="G58" s="1" t="s">
        <v>45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2E045-02B8-364D-8395-7B3686B2794C}">
  <sheetPr codeName="Hoja5">
    <tabColor theme="5" tint="0.39997558519241921"/>
  </sheetPr>
  <dimension ref="A1:C11"/>
  <sheetViews>
    <sheetView workbookViewId="0">
      <selection activeCell="D5" sqref="D5"/>
    </sheetView>
  </sheetViews>
  <sheetFormatPr baseColWidth="10" defaultRowHeight="16" x14ac:dyDescent="0.2"/>
  <cols>
    <col min="2" max="2" width="13" bestFit="1" customWidth="1"/>
    <col min="3" max="3" width="13.1640625" bestFit="1" customWidth="1"/>
  </cols>
  <sheetData>
    <row r="1" spans="1:3" s="1" customFormat="1" x14ac:dyDescent="0.2">
      <c r="A1" s="1" t="s">
        <v>46</v>
      </c>
      <c r="B1" s="1" t="s">
        <v>220</v>
      </c>
    </row>
    <row r="2" spans="1:3" x14ac:dyDescent="0.2">
      <c r="A2" s="291">
        <v>45814</v>
      </c>
      <c r="B2" s="161">
        <f ca="1">+'2026'!N259</f>
        <v>2139393.1874684417</v>
      </c>
    </row>
    <row r="3" spans="1:3" x14ac:dyDescent="0.2">
      <c r="A3" s="291">
        <v>45814</v>
      </c>
      <c r="B3">
        <v>1795727.7167990594</v>
      </c>
    </row>
    <row r="4" spans="1:3" x14ac:dyDescent="0.2">
      <c r="A4" s="291">
        <v>45814</v>
      </c>
      <c r="B4" s="4">
        <v>1795727.7167990594</v>
      </c>
      <c r="C4" s="5"/>
    </row>
    <row r="5" spans="1:3" x14ac:dyDescent="0.2">
      <c r="A5" s="291">
        <v>45814</v>
      </c>
      <c r="B5">
        <v>1795727.7167990594</v>
      </c>
    </row>
    <row r="6" spans="1:3" x14ac:dyDescent="0.2">
      <c r="A6" s="291"/>
    </row>
    <row r="7" spans="1:3" x14ac:dyDescent="0.2">
      <c r="A7" s="291"/>
    </row>
    <row r="8" spans="1:3" x14ac:dyDescent="0.2">
      <c r="A8" s="291"/>
    </row>
    <row r="9" spans="1:3" x14ac:dyDescent="0.2">
      <c r="A9" s="291"/>
    </row>
    <row r="10" spans="1:3" x14ac:dyDescent="0.2">
      <c r="A10" s="291"/>
    </row>
    <row r="11" spans="1:3" x14ac:dyDescent="0.2">
      <c r="A11" s="2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Actualiza" altText="Actualiza">
                <anchor moveWithCells="1" sizeWithCells="1">
                  <from>
                    <xdr:col>6</xdr:col>
                    <xdr:colOff>800100</xdr:colOff>
                    <xdr:row>4</xdr:row>
                    <xdr:rowOff>63500</xdr:rowOff>
                  </from>
                  <to>
                    <xdr:col>8</xdr:col>
                    <xdr:colOff>673100</xdr:colOff>
                    <xdr:row>6</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2026</vt:lpstr>
      <vt:lpstr>DIANA</vt:lpstr>
      <vt:lpstr>dividendos 26</vt:lpstr>
      <vt:lpstr>Mensual</vt:lpstr>
      <vt:lpstr>Histórico</vt:lpstr>
      <vt:lpstr>IRPF</vt:lpstr>
      <vt:lpstr>liquidez</vt:lpstr>
      <vt:lpstr>Calendario sueldo mensual</vt:lpstr>
      <vt:lpstr>Semanal</vt:lpstr>
      <vt:lpstr>Gráfico posiciones activas</vt:lpstr>
      <vt:lpstr>ABRIL</vt:lpstr>
      <vt:lpstr>Cartera</vt:lpstr>
      <vt:lpstr>Idea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Mario Abascal</dc:creator>
  <cp:lastModifiedBy>Mario Abascal Acebal</cp:lastModifiedBy>
  <dcterms:created xsi:type="dcterms:W3CDTF">2023-05-27T06:50:06Z</dcterms:created>
  <dcterms:modified xsi:type="dcterms:W3CDTF">2026-04-27T22:29:23Z</dcterms:modified>
</cp:coreProperties>
</file>